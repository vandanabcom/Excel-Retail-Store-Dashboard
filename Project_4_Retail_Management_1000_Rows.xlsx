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ROHIT VERMA\Downloads\"/>
    </mc:Choice>
  </mc:AlternateContent>
  <xr:revisionPtr revIDLastSave="0" documentId="13_ncr:1_{36B9E823-2CE4-4566-A38D-6441CA212158}" xr6:coauthVersionLast="47" xr6:coauthVersionMax="47" xr10:uidLastSave="{00000000-0000-0000-0000-000000000000}"/>
  <bookViews>
    <workbookView xWindow="-108" yWindow="-108" windowWidth="23256" windowHeight="12456" firstSheet="5" activeTab="12" xr2:uid="{00000000-000D-0000-FFFF-FFFF00000000}"/>
  </bookViews>
  <sheets>
    <sheet name="Customer_Master" sheetId="1" r:id="rId1"/>
    <sheet name="Product_Master" sheetId="2" r:id="rId2"/>
    <sheet name="Sales_Data" sheetId="3" r:id="rId3"/>
    <sheet name="Pivot Table 1" sheetId="14" r:id="rId4"/>
    <sheet name="Pivot Table 2" sheetId="15" r:id="rId5"/>
    <sheet name="Pivot Table 3" sheetId="16" r:id="rId6"/>
    <sheet name="Pivot Table 4" sheetId="17" r:id="rId7"/>
    <sheet name="Pivot Table 5" sheetId="18" r:id="rId8"/>
    <sheet name="Pivot Table 6" sheetId="19" r:id="rId9"/>
    <sheet name="Sheet7" sheetId="20" state="hidden" r:id="rId10"/>
    <sheet name="Clean_Data" sheetId="4" r:id="rId11"/>
    <sheet name="Analysis" sheetId="5" r:id="rId12"/>
    <sheet name="Dashboard" sheetId="6" r:id="rId13"/>
  </sheets>
  <definedNames>
    <definedName name="_xlnm._FilterDatabase" localSheetId="10" hidden="1">Clean_Data!$A$1:$Q$1001</definedName>
    <definedName name="Slicer_Category">#N/A</definedName>
    <definedName name="Slicer_City">#N/A</definedName>
    <definedName name="Slicer_Month">#N/A</definedName>
    <definedName name="Slicer_Product_name">#N/A</definedName>
  </definedNames>
  <calcPr calcId="191029"/>
  <pivotCaches>
    <pivotCache cacheId="2"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4" l="1" a="1"/>
  <c r="Q2" i="4" s="1"/>
  <c r="K2" i="4"/>
  <c r="C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F10" i="5"/>
  <c r="F9" i="5"/>
  <c r="L3" i="4"/>
  <c r="M3" i="4" s="1"/>
  <c r="L4" i="4"/>
  <c r="M4" i="4" s="1"/>
  <c r="L5" i="4"/>
  <c r="M5" i="4" s="1"/>
  <c r="L6" i="4"/>
  <c r="M6" i="4" s="1"/>
  <c r="L7" i="4"/>
  <c r="M7" i="4" s="1"/>
  <c r="L8" i="4"/>
  <c r="M8" i="4" s="1"/>
  <c r="L9" i="4"/>
  <c r="M9" i="4" s="1"/>
  <c r="L10" i="4"/>
  <c r="M10" i="4" s="1"/>
  <c r="L11" i="4"/>
  <c r="M11" i="4" s="1"/>
  <c r="L12" i="4"/>
  <c r="M12" i="4" s="1"/>
  <c r="L13" i="4"/>
  <c r="M13" i="4" s="1"/>
  <c r="L14" i="4"/>
  <c r="M14" i="4" s="1"/>
  <c r="L15" i="4"/>
  <c r="M15" i="4" s="1"/>
  <c r="L16" i="4"/>
  <c r="M16" i="4" s="1"/>
  <c r="L17" i="4"/>
  <c r="M17" i="4" s="1"/>
  <c r="L18" i="4"/>
  <c r="M18" i="4" s="1"/>
  <c r="L19" i="4"/>
  <c r="M19" i="4" s="1"/>
  <c r="L20" i="4"/>
  <c r="M20" i="4" s="1"/>
  <c r="L21" i="4"/>
  <c r="M21" i="4" s="1"/>
  <c r="L22" i="4"/>
  <c r="M22" i="4" s="1"/>
  <c r="L23" i="4"/>
  <c r="M23" i="4" s="1"/>
  <c r="L24" i="4"/>
  <c r="M24" i="4" s="1"/>
  <c r="L25" i="4"/>
  <c r="M25" i="4" s="1"/>
  <c r="L26" i="4"/>
  <c r="M26" i="4" s="1"/>
  <c r="L27" i="4"/>
  <c r="M27" i="4" s="1"/>
  <c r="L28" i="4"/>
  <c r="M28" i="4" s="1"/>
  <c r="L29" i="4"/>
  <c r="M29" i="4" s="1"/>
  <c r="L30" i="4"/>
  <c r="M30" i="4" s="1"/>
  <c r="L31" i="4"/>
  <c r="M31" i="4" s="1"/>
  <c r="L32" i="4"/>
  <c r="M32" i="4" s="1"/>
  <c r="L33" i="4"/>
  <c r="M33" i="4" s="1"/>
  <c r="L34" i="4"/>
  <c r="M34" i="4" s="1"/>
  <c r="L35" i="4"/>
  <c r="M35" i="4" s="1"/>
  <c r="L36" i="4"/>
  <c r="M36" i="4" s="1"/>
  <c r="L37" i="4"/>
  <c r="M37" i="4" s="1"/>
  <c r="L38" i="4"/>
  <c r="M38" i="4" s="1"/>
  <c r="L39" i="4"/>
  <c r="M39" i="4" s="1"/>
  <c r="L40" i="4"/>
  <c r="M40" i="4" s="1"/>
  <c r="L41" i="4"/>
  <c r="M41" i="4" s="1"/>
  <c r="L42" i="4"/>
  <c r="M42" i="4" s="1"/>
  <c r="L43" i="4"/>
  <c r="M43" i="4" s="1"/>
  <c r="L44" i="4"/>
  <c r="M44" i="4" s="1"/>
  <c r="L45" i="4"/>
  <c r="M45" i="4" s="1"/>
  <c r="L46" i="4"/>
  <c r="M46" i="4" s="1"/>
  <c r="L47" i="4"/>
  <c r="M47" i="4" s="1"/>
  <c r="L48" i="4"/>
  <c r="M48" i="4" s="1"/>
  <c r="L49" i="4"/>
  <c r="M49" i="4" s="1"/>
  <c r="L50" i="4"/>
  <c r="M50" i="4" s="1"/>
  <c r="L51" i="4"/>
  <c r="M51" i="4" s="1"/>
  <c r="L52" i="4"/>
  <c r="M52" i="4" s="1"/>
  <c r="L53" i="4"/>
  <c r="M53" i="4" s="1"/>
  <c r="L54" i="4"/>
  <c r="M54" i="4" s="1"/>
  <c r="L55" i="4"/>
  <c r="M55" i="4" s="1"/>
  <c r="L56" i="4"/>
  <c r="M56" i="4" s="1"/>
  <c r="L57" i="4"/>
  <c r="M57" i="4" s="1"/>
  <c r="L58" i="4"/>
  <c r="M58" i="4" s="1"/>
  <c r="L59" i="4"/>
  <c r="M59" i="4" s="1"/>
  <c r="L60" i="4"/>
  <c r="M60" i="4" s="1"/>
  <c r="L61" i="4"/>
  <c r="M61" i="4" s="1"/>
  <c r="L62" i="4"/>
  <c r="M62" i="4" s="1"/>
  <c r="L63" i="4"/>
  <c r="M63" i="4" s="1"/>
  <c r="L64" i="4"/>
  <c r="M64" i="4" s="1"/>
  <c r="L65" i="4"/>
  <c r="M65" i="4" s="1"/>
  <c r="L66" i="4"/>
  <c r="M66" i="4" s="1"/>
  <c r="L67" i="4"/>
  <c r="M67" i="4" s="1"/>
  <c r="L68" i="4"/>
  <c r="M68" i="4" s="1"/>
  <c r="L69" i="4"/>
  <c r="M69" i="4" s="1"/>
  <c r="L70" i="4"/>
  <c r="M70" i="4" s="1"/>
  <c r="L71" i="4"/>
  <c r="M71" i="4" s="1"/>
  <c r="L72" i="4"/>
  <c r="M72" i="4" s="1"/>
  <c r="L73" i="4"/>
  <c r="M73" i="4" s="1"/>
  <c r="L74" i="4"/>
  <c r="M74" i="4" s="1"/>
  <c r="L75" i="4"/>
  <c r="M75" i="4" s="1"/>
  <c r="L76" i="4"/>
  <c r="M76" i="4" s="1"/>
  <c r="L77" i="4"/>
  <c r="M77" i="4" s="1"/>
  <c r="L78" i="4"/>
  <c r="M78" i="4" s="1"/>
  <c r="L79" i="4"/>
  <c r="M79" i="4" s="1"/>
  <c r="L80" i="4"/>
  <c r="M80" i="4" s="1"/>
  <c r="L81" i="4"/>
  <c r="M81" i="4" s="1"/>
  <c r="L82" i="4"/>
  <c r="M82" i="4" s="1"/>
  <c r="L83" i="4"/>
  <c r="M83" i="4" s="1"/>
  <c r="L84" i="4"/>
  <c r="M84" i="4" s="1"/>
  <c r="L85" i="4"/>
  <c r="M85" i="4" s="1"/>
  <c r="L86" i="4"/>
  <c r="M86" i="4" s="1"/>
  <c r="L87" i="4"/>
  <c r="M87" i="4" s="1"/>
  <c r="L88" i="4"/>
  <c r="M88" i="4" s="1"/>
  <c r="L89" i="4"/>
  <c r="M89" i="4" s="1"/>
  <c r="L90" i="4"/>
  <c r="M90" i="4" s="1"/>
  <c r="L91" i="4"/>
  <c r="M91" i="4" s="1"/>
  <c r="L92" i="4"/>
  <c r="M92" i="4" s="1"/>
  <c r="L93" i="4"/>
  <c r="M93" i="4" s="1"/>
  <c r="L94" i="4"/>
  <c r="M94" i="4" s="1"/>
  <c r="L95" i="4"/>
  <c r="M95" i="4" s="1"/>
  <c r="L96" i="4"/>
  <c r="M96" i="4" s="1"/>
  <c r="L97" i="4"/>
  <c r="M97" i="4" s="1"/>
  <c r="L98" i="4"/>
  <c r="M98" i="4" s="1"/>
  <c r="L99" i="4"/>
  <c r="M99" i="4" s="1"/>
  <c r="L100" i="4"/>
  <c r="M100" i="4" s="1"/>
  <c r="L101" i="4"/>
  <c r="M101" i="4" s="1"/>
  <c r="L102" i="4"/>
  <c r="M102" i="4" s="1"/>
  <c r="L103" i="4"/>
  <c r="M103" i="4" s="1"/>
  <c r="L104" i="4"/>
  <c r="M104" i="4" s="1"/>
  <c r="L105" i="4"/>
  <c r="M105" i="4" s="1"/>
  <c r="L106" i="4"/>
  <c r="M106" i="4" s="1"/>
  <c r="L107" i="4"/>
  <c r="M107" i="4" s="1"/>
  <c r="L108" i="4"/>
  <c r="M108" i="4" s="1"/>
  <c r="L109" i="4"/>
  <c r="M109" i="4" s="1"/>
  <c r="L110" i="4"/>
  <c r="M110" i="4" s="1"/>
  <c r="L111" i="4"/>
  <c r="M111" i="4" s="1"/>
  <c r="L112" i="4"/>
  <c r="M112" i="4" s="1"/>
  <c r="L113" i="4"/>
  <c r="M113" i="4" s="1"/>
  <c r="L114" i="4"/>
  <c r="M114" i="4" s="1"/>
  <c r="L115" i="4"/>
  <c r="M115" i="4" s="1"/>
  <c r="L116" i="4"/>
  <c r="M116" i="4" s="1"/>
  <c r="L117" i="4"/>
  <c r="M117" i="4" s="1"/>
  <c r="L118" i="4"/>
  <c r="M118" i="4" s="1"/>
  <c r="L119" i="4"/>
  <c r="M119" i="4" s="1"/>
  <c r="L120" i="4"/>
  <c r="M120" i="4" s="1"/>
  <c r="L121" i="4"/>
  <c r="M121" i="4" s="1"/>
  <c r="L122" i="4"/>
  <c r="M122" i="4" s="1"/>
  <c r="L123" i="4"/>
  <c r="M123" i="4" s="1"/>
  <c r="L124" i="4"/>
  <c r="M124" i="4" s="1"/>
  <c r="L125" i="4"/>
  <c r="M125" i="4" s="1"/>
  <c r="L126" i="4"/>
  <c r="M126" i="4" s="1"/>
  <c r="L127" i="4"/>
  <c r="M127" i="4" s="1"/>
  <c r="L128" i="4"/>
  <c r="M128" i="4" s="1"/>
  <c r="L129" i="4"/>
  <c r="M129" i="4" s="1"/>
  <c r="L130" i="4"/>
  <c r="M130" i="4" s="1"/>
  <c r="L131" i="4"/>
  <c r="M131" i="4" s="1"/>
  <c r="L132" i="4"/>
  <c r="M132" i="4" s="1"/>
  <c r="L133" i="4"/>
  <c r="M133" i="4" s="1"/>
  <c r="L134" i="4"/>
  <c r="M134" i="4" s="1"/>
  <c r="L135" i="4"/>
  <c r="M135" i="4" s="1"/>
  <c r="L136" i="4"/>
  <c r="M136" i="4" s="1"/>
  <c r="L137" i="4"/>
  <c r="M137" i="4" s="1"/>
  <c r="L138" i="4"/>
  <c r="M138" i="4" s="1"/>
  <c r="L139" i="4"/>
  <c r="M139" i="4" s="1"/>
  <c r="L140" i="4"/>
  <c r="M140" i="4" s="1"/>
  <c r="L141" i="4"/>
  <c r="M141" i="4" s="1"/>
  <c r="L142" i="4"/>
  <c r="M142" i="4" s="1"/>
  <c r="L143" i="4"/>
  <c r="M143" i="4" s="1"/>
  <c r="L144" i="4"/>
  <c r="M144" i="4" s="1"/>
  <c r="L145" i="4"/>
  <c r="M145" i="4" s="1"/>
  <c r="L146" i="4"/>
  <c r="M146" i="4" s="1"/>
  <c r="L147" i="4"/>
  <c r="M147" i="4" s="1"/>
  <c r="L148" i="4"/>
  <c r="M148" i="4" s="1"/>
  <c r="L149" i="4"/>
  <c r="M149" i="4" s="1"/>
  <c r="L150" i="4"/>
  <c r="M150" i="4" s="1"/>
  <c r="L151" i="4"/>
  <c r="M151" i="4" s="1"/>
  <c r="L152" i="4"/>
  <c r="M152" i="4" s="1"/>
  <c r="L153" i="4"/>
  <c r="M153" i="4" s="1"/>
  <c r="L154" i="4"/>
  <c r="M154" i="4" s="1"/>
  <c r="L155" i="4"/>
  <c r="M155" i="4" s="1"/>
  <c r="L156" i="4"/>
  <c r="M156" i="4" s="1"/>
  <c r="L157" i="4"/>
  <c r="M157" i="4" s="1"/>
  <c r="L158" i="4"/>
  <c r="M158" i="4" s="1"/>
  <c r="L159" i="4"/>
  <c r="M159" i="4" s="1"/>
  <c r="L160" i="4"/>
  <c r="M160" i="4" s="1"/>
  <c r="L161" i="4"/>
  <c r="M161" i="4" s="1"/>
  <c r="L162" i="4"/>
  <c r="M162" i="4" s="1"/>
  <c r="L163" i="4"/>
  <c r="M163" i="4" s="1"/>
  <c r="L164" i="4"/>
  <c r="M164" i="4" s="1"/>
  <c r="L165" i="4"/>
  <c r="M165" i="4" s="1"/>
  <c r="L166" i="4"/>
  <c r="M166" i="4" s="1"/>
  <c r="L167" i="4"/>
  <c r="M167" i="4" s="1"/>
  <c r="L168" i="4"/>
  <c r="M168" i="4" s="1"/>
  <c r="L169" i="4"/>
  <c r="M169" i="4" s="1"/>
  <c r="L170" i="4"/>
  <c r="M170" i="4" s="1"/>
  <c r="L171" i="4"/>
  <c r="M171" i="4" s="1"/>
  <c r="L172" i="4"/>
  <c r="M172" i="4" s="1"/>
  <c r="L173" i="4"/>
  <c r="M173" i="4" s="1"/>
  <c r="L174" i="4"/>
  <c r="M174" i="4" s="1"/>
  <c r="L175" i="4"/>
  <c r="M175" i="4" s="1"/>
  <c r="L176" i="4"/>
  <c r="M176" i="4" s="1"/>
  <c r="L177" i="4"/>
  <c r="M177" i="4" s="1"/>
  <c r="L178" i="4"/>
  <c r="M178" i="4" s="1"/>
  <c r="L179" i="4"/>
  <c r="M179" i="4" s="1"/>
  <c r="L180" i="4"/>
  <c r="M180" i="4" s="1"/>
  <c r="L181" i="4"/>
  <c r="M181" i="4" s="1"/>
  <c r="L182" i="4"/>
  <c r="M182" i="4" s="1"/>
  <c r="L183" i="4"/>
  <c r="M183" i="4" s="1"/>
  <c r="L184" i="4"/>
  <c r="M184" i="4" s="1"/>
  <c r="L185" i="4"/>
  <c r="M185" i="4" s="1"/>
  <c r="L186" i="4"/>
  <c r="M186" i="4" s="1"/>
  <c r="L187" i="4"/>
  <c r="M187" i="4" s="1"/>
  <c r="L188" i="4"/>
  <c r="M188" i="4" s="1"/>
  <c r="L189" i="4"/>
  <c r="M189" i="4" s="1"/>
  <c r="L190" i="4"/>
  <c r="M190" i="4" s="1"/>
  <c r="L191" i="4"/>
  <c r="M191" i="4" s="1"/>
  <c r="L192" i="4"/>
  <c r="M192" i="4" s="1"/>
  <c r="L193" i="4"/>
  <c r="M193" i="4" s="1"/>
  <c r="L194" i="4"/>
  <c r="M194" i="4" s="1"/>
  <c r="L195" i="4"/>
  <c r="M195" i="4" s="1"/>
  <c r="L196" i="4"/>
  <c r="M196" i="4" s="1"/>
  <c r="L197" i="4"/>
  <c r="M197" i="4" s="1"/>
  <c r="L198" i="4"/>
  <c r="M198" i="4" s="1"/>
  <c r="L199" i="4"/>
  <c r="M199" i="4" s="1"/>
  <c r="L200" i="4"/>
  <c r="M200" i="4" s="1"/>
  <c r="L201" i="4"/>
  <c r="M201" i="4" s="1"/>
  <c r="L202" i="4"/>
  <c r="M202" i="4" s="1"/>
  <c r="L203" i="4"/>
  <c r="M203" i="4" s="1"/>
  <c r="L204" i="4"/>
  <c r="M204" i="4" s="1"/>
  <c r="L205" i="4"/>
  <c r="M205" i="4" s="1"/>
  <c r="L206" i="4"/>
  <c r="M206" i="4" s="1"/>
  <c r="L207" i="4"/>
  <c r="M207" i="4" s="1"/>
  <c r="L208" i="4"/>
  <c r="M208" i="4" s="1"/>
  <c r="L209" i="4"/>
  <c r="M209" i="4" s="1"/>
  <c r="L210" i="4"/>
  <c r="M210" i="4" s="1"/>
  <c r="L211" i="4"/>
  <c r="M211" i="4" s="1"/>
  <c r="L212" i="4"/>
  <c r="M212" i="4" s="1"/>
  <c r="L213" i="4"/>
  <c r="M213" i="4" s="1"/>
  <c r="L214" i="4"/>
  <c r="M214" i="4" s="1"/>
  <c r="L215" i="4"/>
  <c r="M215" i="4" s="1"/>
  <c r="L216" i="4"/>
  <c r="M216" i="4" s="1"/>
  <c r="L217" i="4"/>
  <c r="M217" i="4" s="1"/>
  <c r="L218" i="4"/>
  <c r="M218" i="4" s="1"/>
  <c r="L219" i="4"/>
  <c r="M219" i="4" s="1"/>
  <c r="L220" i="4"/>
  <c r="M220" i="4" s="1"/>
  <c r="L221" i="4"/>
  <c r="M221" i="4" s="1"/>
  <c r="L222" i="4"/>
  <c r="M222" i="4" s="1"/>
  <c r="L223" i="4"/>
  <c r="M223" i="4" s="1"/>
  <c r="L224" i="4"/>
  <c r="M224" i="4" s="1"/>
  <c r="L225" i="4"/>
  <c r="M225" i="4" s="1"/>
  <c r="L226" i="4"/>
  <c r="M226" i="4" s="1"/>
  <c r="L227" i="4"/>
  <c r="M227" i="4" s="1"/>
  <c r="L228" i="4"/>
  <c r="M228" i="4" s="1"/>
  <c r="L229" i="4"/>
  <c r="M229" i="4" s="1"/>
  <c r="L230" i="4"/>
  <c r="M230" i="4" s="1"/>
  <c r="L231" i="4"/>
  <c r="M231" i="4" s="1"/>
  <c r="L232" i="4"/>
  <c r="M232" i="4" s="1"/>
  <c r="L233" i="4"/>
  <c r="M233" i="4" s="1"/>
  <c r="L234" i="4"/>
  <c r="M234" i="4" s="1"/>
  <c r="L235" i="4"/>
  <c r="M235" i="4" s="1"/>
  <c r="L236" i="4"/>
  <c r="M236" i="4" s="1"/>
  <c r="L237" i="4"/>
  <c r="M237" i="4" s="1"/>
  <c r="L238" i="4"/>
  <c r="M238" i="4" s="1"/>
  <c r="L239" i="4"/>
  <c r="M239" i="4" s="1"/>
  <c r="L240" i="4"/>
  <c r="M240" i="4" s="1"/>
  <c r="L241" i="4"/>
  <c r="M241" i="4" s="1"/>
  <c r="L242" i="4"/>
  <c r="M242" i="4" s="1"/>
  <c r="L243" i="4"/>
  <c r="M243" i="4" s="1"/>
  <c r="L244" i="4"/>
  <c r="M244" i="4" s="1"/>
  <c r="L245" i="4"/>
  <c r="M245" i="4" s="1"/>
  <c r="L246" i="4"/>
  <c r="M246" i="4" s="1"/>
  <c r="L247" i="4"/>
  <c r="M247" i="4" s="1"/>
  <c r="L248" i="4"/>
  <c r="M248" i="4" s="1"/>
  <c r="L249" i="4"/>
  <c r="M249" i="4" s="1"/>
  <c r="L250" i="4"/>
  <c r="M250" i="4" s="1"/>
  <c r="L251" i="4"/>
  <c r="M251" i="4" s="1"/>
  <c r="L252" i="4"/>
  <c r="M252" i="4" s="1"/>
  <c r="L253" i="4"/>
  <c r="M253" i="4" s="1"/>
  <c r="L254" i="4"/>
  <c r="M254" i="4" s="1"/>
  <c r="L255" i="4"/>
  <c r="M255" i="4" s="1"/>
  <c r="L256" i="4"/>
  <c r="M256" i="4" s="1"/>
  <c r="L257" i="4"/>
  <c r="M257" i="4" s="1"/>
  <c r="L258" i="4"/>
  <c r="M258" i="4" s="1"/>
  <c r="L259" i="4"/>
  <c r="M259" i="4" s="1"/>
  <c r="L260" i="4"/>
  <c r="M260" i="4" s="1"/>
  <c r="L261" i="4"/>
  <c r="M261" i="4" s="1"/>
  <c r="L262" i="4"/>
  <c r="M262" i="4" s="1"/>
  <c r="L263" i="4"/>
  <c r="M263" i="4" s="1"/>
  <c r="L264" i="4"/>
  <c r="M264" i="4" s="1"/>
  <c r="L265" i="4"/>
  <c r="M265" i="4" s="1"/>
  <c r="L266" i="4"/>
  <c r="M266" i="4" s="1"/>
  <c r="L267" i="4"/>
  <c r="M267" i="4" s="1"/>
  <c r="L268" i="4"/>
  <c r="M268" i="4" s="1"/>
  <c r="L269" i="4"/>
  <c r="M269" i="4" s="1"/>
  <c r="L270" i="4"/>
  <c r="M270" i="4" s="1"/>
  <c r="L271" i="4"/>
  <c r="M271" i="4" s="1"/>
  <c r="L272" i="4"/>
  <c r="M272" i="4" s="1"/>
  <c r="L273" i="4"/>
  <c r="M273" i="4" s="1"/>
  <c r="L274" i="4"/>
  <c r="M274" i="4" s="1"/>
  <c r="L275" i="4"/>
  <c r="M275" i="4" s="1"/>
  <c r="L276" i="4"/>
  <c r="M276" i="4" s="1"/>
  <c r="L277" i="4"/>
  <c r="M277" i="4" s="1"/>
  <c r="L278" i="4"/>
  <c r="M278" i="4" s="1"/>
  <c r="L279" i="4"/>
  <c r="M279" i="4" s="1"/>
  <c r="L280" i="4"/>
  <c r="M280" i="4" s="1"/>
  <c r="L281" i="4"/>
  <c r="M281" i="4" s="1"/>
  <c r="L282" i="4"/>
  <c r="M282" i="4" s="1"/>
  <c r="L283" i="4"/>
  <c r="M283" i="4" s="1"/>
  <c r="L284" i="4"/>
  <c r="M284" i="4" s="1"/>
  <c r="L285" i="4"/>
  <c r="M285" i="4" s="1"/>
  <c r="L286" i="4"/>
  <c r="M286" i="4" s="1"/>
  <c r="L287" i="4"/>
  <c r="M287" i="4" s="1"/>
  <c r="L288" i="4"/>
  <c r="M288" i="4" s="1"/>
  <c r="L289" i="4"/>
  <c r="M289" i="4" s="1"/>
  <c r="L290" i="4"/>
  <c r="M290" i="4" s="1"/>
  <c r="L291" i="4"/>
  <c r="M291" i="4" s="1"/>
  <c r="L292" i="4"/>
  <c r="M292" i="4" s="1"/>
  <c r="L293" i="4"/>
  <c r="M293" i="4" s="1"/>
  <c r="L294" i="4"/>
  <c r="M294" i="4" s="1"/>
  <c r="L295" i="4"/>
  <c r="M295" i="4" s="1"/>
  <c r="L296" i="4"/>
  <c r="M296" i="4" s="1"/>
  <c r="L297" i="4"/>
  <c r="M297" i="4" s="1"/>
  <c r="L298" i="4"/>
  <c r="M298" i="4" s="1"/>
  <c r="L299" i="4"/>
  <c r="M299" i="4" s="1"/>
  <c r="L300" i="4"/>
  <c r="M300" i="4" s="1"/>
  <c r="L301" i="4"/>
  <c r="M301" i="4" s="1"/>
  <c r="L302" i="4"/>
  <c r="M302" i="4" s="1"/>
  <c r="L303" i="4"/>
  <c r="M303" i="4" s="1"/>
  <c r="L304" i="4"/>
  <c r="M304" i="4" s="1"/>
  <c r="L305" i="4"/>
  <c r="M305" i="4" s="1"/>
  <c r="L306" i="4"/>
  <c r="M306" i="4" s="1"/>
  <c r="L307" i="4"/>
  <c r="M307" i="4" s="1"/>
  <c r="L308" i="4"/>
  <c r="M308" i="4" s="1"/>
  <c r="L309" i="4"/>
  <c r="M309" i="4" s="1"/>
  <c r="L310" i="4"/>
  <c r="M310" i="4" s="1"/>
  <c r="L311" i="4"/>
  <c r="M311" i="4" s="1"/>
  <c r="L312" i="4"/>
  <c r="M312" i="4" s="1"/>
  <c r="L313" i="4"/>
  <c r="M313" i="4" s="1"/>
  <c r="L314" i="4"/>
  <c r="M314" i="4" s="1"/>
  <c r="L315" i="4"/>
  <c r="M315" i="4" s="1"/>
  <c r="L316" i="4"/>
  <c r="M316" i="4" s="1"/>
  <c r="L317" i="4"/>
  <c r="M317" i="4" s="1"/>
  <c r="L318" i="4"/>
  <c r="M318" i="4" s="1"/>
  <c r="L319" i="4"/>
  <c r="M319" i="4" s="1"/>
  <c r="L320" i="4"/>
  <c r="M320" i="4" s="1"/>
  <c r="L321" i="4"/>
  <c r="M321" i="4" s="1"/>
  <c r="L322" i="4"/>
  <c r="M322" i="4" s="1"/>
  <c r="L323" i="4"/>
  <c r="M323" i="4" s="1"/>
  <c r="L324" i="4"/>
  <c r="M324" i="4" s="1"/>
  <c r="L325" i="4"/>
  <c r="M325" i="4" s="1"/>
  <c r="L326" i="4"/>
  <c r="M326" i="4" s="1"/>
  <c r="L327" i="4"/>
  <c r="M327" i="4" s="1"/>
  <c r="L328" i="4"/>
  <c r="M328" i="4" s="1"/>
  <c r="L329" i="4"/>
  <c r="M329" i="4" s="1"/>
  <c r="L330" i="4"/>
  <c r="M330" i="4" s="1"/>
  <c r="L331" i="4"/>
  <c r="M331" i="4" s="1"/>
  <c r="L332" i="4"/>
  <c r="M332" i="4" s="1"/>
  <c r="L333" i="4"/>
  <c r="M333" i="4" s="1"/>
  <c r="L334" i="4"/>
  <c r="M334" i="4" s="1"/>
  <c r="L335" i="4"/>
  <c r="M335" i="4" s="1"/>
  <c r="L336" i="4"/>
  <c r="M336" i="4" s="1"/>
  <c r="L337" i="4"/>
  <c r="M337" i="4" s="1"/>
  <c r="L338" i="4"/>
  <c r="M338" i="4" s="1"/>
  <c r="L339" i="4"/>
  <c r="M339" i="4" s="1"/>
  <c r="L340" i="4"/>
  <c r="M340" i="4" s="1"/>
  <c r="L341" i="4"/>
  <c r="M341" i="4" s="1"/>
  <c r="L342" i="4"/>
  <c r="M342" i="4" s="1"/>
  <c r="L343" i="4"/>
  <c r="M343" i="4" s="1"/>
  <c r="L344" i="4"/>
  <c r="M344" i="4" s="1"/>
  <c r="L345" i="4"/>
  <c r="M345" i="4" s="1"/>
  <c r="L346" i="4"/>
  <c r="M346" i="4" s="1"/>
  <c r="L347" i="4"/>
  <c r="M347" i="4" s="1"/>
  <c r="L348" i="4"/>
  <c r="M348" i="4" s="1"/>
  <c r="L349" i="4"/>
  <c r="M349" i="4" s="1"/>
  <c r="L350" i="4"/>
  <c r="M350" i="4" s="1"/>
  <c r="L351" i="4"/>
  <c r="M351" i="4" s="1"/>
  <c r="L352" i="4"/>
  <c r="M352" i="4" s="1"/>
  <c r="L353" i="4"/>
  <c r="M353" i="4" s="1"/>
  <c r="L354" i="4"/>
  <c r="M354" i="4" s="1"/>
  <c r="L355" i="4"/>
  <c r="M355" i="4" s="1"/>
  <c r="L356" i="4"/>
  <c r="M356" i="4" s="1"/>
  <c r="L357" i="4"/>
  <c r="M357" i="4" s="1"/>
  <c r="L358" i="4"/>
  <c r="M358" i="4" s="1"/>
  <c r="L359" i="4"/>
  <c r="M359" i="4" s="1"/>
  <c r="L360" i="4"/>
  <c r="M360" i="4" s="1"/>
  <c r="L361" i="4"/>
  <c r="M361" i="4" s="1"/>
  <c r="L362" i="4"/>
  <c r="M362" i="4" s="1"/>
  <c r="L363" i="4"/>
  <c r="M363" i="4" s="1"/>
  <c r="L364" i="4"/>
  <c r="M364" i="4" s="1"/>
  <c r="L365" i="4"/>
  <c r="M365" i="4" s="1"/>
  <c r="L366" i="4"/>
  <c r="M366" i="4" s="1"/>
  <c r="L367" i="4"/>
  <c r="M367" i="4" s="1"/>
  <c r="L368" i="4"/>
  <c r="M368" i="4" s="1"/>
  <c r="L369" i="4"/>
  <c r="M369" i="4" s="1"/>
  <c r="L370" i="4"/>
  <c r="M370" i="4" s="1"/>
  <c r="L371" i="4"/>
  <c r="M371" i="4" s="1"/>
  <c r="L372" i="4"/>
  <c r="M372" i="4" s="1"/>
  <c r="L373" i="4"/>
  <c r="M373" i="4" s="1"/>
  <c r="L374" i="4"/>
  <c r="M374" i="4" s="1"/>
  <c r="L375" i="4"/>
  <c r="M375" i="4" s="1"/>
  <c r="L376" i="4"/>
  <c r="M376" i="4" s="1"/>
  <c r="L377" i="4"/>
  <c r="M377" i="4" s="1"/>
  <c r="L378" i="4"/>
  <c r="M378" i="4" s="1"/>
  <c r="L379" i="4"/>
  <c r="M379" i="4" s="1"/>
  <c r="L380" i="4"/>
  <c r="M380" i="4" s="1"/>
  <c r="L381" i="4"/>
  <c r="M381" i="4" s="1"/>
  <c r="L382" i="4"/>
  <c r="M382" i="4" s="1"/>
  <c r="L383" i="4"/>
  <c r="M383" i="4" s="1"/>
  <c r="L384" i="4"/>
  <c r="M384" i="4" s="1"/>
  <c r="L385" i="4"/>
  <c r="M385" i="4" s="1"/>
  <c r="L386" i="4"/>
  <c r="M386" i="4" s="1"/>
  <c r="L387" i="4"/>
  <c r="M387" i="4" s="1"/>
  <c r="L388" i="4"/>
  <c r="M388" i="4" s="1"/>
  <c r="L389" i="4"/>
  <c r="M389" i="4" s="1"/>
  <c r="L390" i="4"/>
  <c r="M390" i="4" s="1"/>
  <c r="L391" i="4"/>
  <c r="M391" i="4" s="1"/>
  <c r="L392" i="4"/>
  <c r="M392" i="4" s="1"/>
  <c r="L393" i="4"/>
  <c r="M393" i="4" s="1"/>
  <c r="L394" i="4"/>
  <c r="M394" i="4" s="1"/>
  <c r="L395" i="4"/>
  <c r="M395" i="4" s="1"/>
  <c r="L396" i="4"/>
  <c r="M396" i="4" s="1"/>
  <c r="L397" i="4"/>
  <c r="M397" i="4" s="1"/>
  <c r="L398" i="4"/>
  <c r="M398" i="4" s="1"/>
  <c r="L399" i="4"/>
  <c r="M399" i="4" s="1"/>
  <c r="L400" i="4"/>
  <c r="M400" i="4" s="1"/>
  <c r="L401" i="4"/>
  <c r="M401" i="4" s="1"/>
  <c r="L402" i="4"/>
  <c r="M402" i="4" s="1"/>
  <c r="L403" i="4"/>
  <c r="M403" i="4" s="1"/>
  <c r="L404" i="4"/>
  <c r="M404" i="4" s="1"/>
  <c r="L405" i="4"/>
  <c r="M405" i="4" s="1"/>
  <c r="L406" i="4"/>
  <c r="M406" i="4" s="1"/>
  <c r="L407" i="4"/>
  <c r="M407" i="4" s="1"/>
  <c r="L408" i="4"/>
  <c r="M408" i="4" s="1"/>
  <c r="L409" i="4"/>
  <c r="M409" i="4" s="1"/>
  <c r="L410" i="4"/>
  <c r="M410" i="4" s="1"/>
  <c r="L411" i="4"/>
  <c r="M411" i="4" s="1"/>
  <c r="L412" i="4"/>
  <c r="M412" i="4" s="1"/>
  <c r="L413" i="4"/>
  <c r="M413" i="4" s="1"/>
  <c r="L414" i="4"/>
  <c r="M414" i="4" s="1"/>
  <c r="L415" i="4"/>
  <c r="M415" i="4" s="1"/>
  <c r="L416" i="4"/>
  <c r="M416" i="4" s="1"/>
  <c r="L417" i="4"/>
  <c r="M417" i="4" s="1"/>
  <c r="L418" i="4"/>
  <c r="M418" i="4" s="1"/>
  <c r="L419" i="4"/>
  <c r="M419" i="4" s="1"/>
  <c r="L420" i="4"/>
  <c r="M420" i="4" s="1"/>
  <c r="L421" i="4"/>
  <c r="M421" i="4" s="1"/>
  <c r="L422" i="4"/>
  <c r="M422" i="4" s="1"/>
  <c r="L423" i="4"/>
  <c r="M423" i="4" s="1"/>
  <c r="L424" i="4"/>
  <c r="M424" i="4" s="1"/>
  <c r="L425" i="4"/>
  <c r="M425" i="4" s="1"/>
  <c r="L426" i="4"/>
  <c r="M426" i="4" s="1"/>
  <c r="L427" i="4"/>
  <c r="M427" i="4" s="1"/>
  <c r="L428" i="4"/>
  <c r="M428" i="4" s="1"/>
  <c r="L429" i="4"/>
  <c r="M429" i="4" s="1"/>
  <c r="L430" i="4"/>
  <c r="M430" i="4" s="1"/>
  <c r="L431" i="4"/>
  <c r="M431" i="4" s="1"/>
  <c r="L432" i="4"/>
  <c r="M432" i="4" s="1"/>
  <c r="L433" i="4"/>
  <c r="M433" i="4" s="1"/>
  <c r="L434" i="4"/>
  <c r="M434" i="4" s="1"/>
  <c r="L435" i="4"/>
  <c r="M435" i="4" s="1"/>
  <c r="L436" i="4"/>
  <c r="M436" i="4" s="1"/>
  <c r="L437" i="4"/>
  <c r="M437" i="4" s="1"/>
  <c r="L438" i="4"/>
  <c r="M438" i="4" s="1"/>
  <c r="L439" i="4"/>
  <c r="M439" i="4" s="1"/>
  <c r="L440" i="4"/>
  <c r="M440" i="4" s="1"/>
  <c r="L441" i="4"/>
  <c r="M441" i="4" s="1"/>
  <c r="L442" i="4"/>
  <c r="M442" i="4" s="1"/>
  <c r="L443" i="4"/>
  <c r="M443" i="4" s="1"/>
  <c r="L444" i="4"/>
  <c r="M444" i="4" s="1"/>
  <c r="L445" i="4"/>
  <c r="M445" i="4" s="1"/>
  <c r="L446" i="4"/>
  <c r="M446" i="4" s="1"/>
  <c r="L447" i="4"/>
  <c r="M447" i="4" s="1"/>
  <c r="L448" i="4"/>
  <c r="M448" i="4" s="1"/>
  <c r="L449" i="4"/>
  <c r="M449" i="4" s="1"/>
  <c r="L450" i="4"/>
  <c r="M450" i="4" s="1"/>
  <c r="L451" i="4"/>
  <c r="M451" i="4" s="1"/>
  <c r="L452" i="4"/>
  <c r="M452" i="4" s="1"/>
  <c r="L453" i="4"/>
  <c r="M453" i="4" s="1"/>
  <c r="L454" i="4"/>
  <c r="M454" i="4" s="1"/>
  <c r="L455" i="4"/>
  <c r="M455" i="4" s="1"/>
  <c r="L456" i="4"/>
  <c r="M456" i="4" s="1"/>
  <c r="L457" i="4"/>
  <c r="M457" i="4" s="1"/>
  <c r="L458" i="4"/>
  <c r="M458" i="4" s="1"/>
  <c r="L459" i="4"/>
  <c r="M459" i="4" s="1"/>
  <c r="L460" i="4"/>
  <c r="M460" i="4" s="1"/>
  <c r="L461" i="4"/>
  <c r="M461" i="4" s="1"/>
  <c r="L462" i="4"/>
  <c r="M462" i="4" s="1"/>
  <c r="L463" i="4"/>
  <c r="M463" i="4" s="1"/>
  <c r="L464" i="4"/>
  <c r="M464" i="4" s="1"/>
  <c r="L465" i="4"/>
  <c r="M465" i="4" s="1"/>
  <c r="L466" i="4"/>
  <c r="M466" i="4" s="1"/>
  <c r="L467" i="4"/>
  <c r="M467" i="4" s="1"/>
  <c r="L468" i="4"/>
  <c r="M468" i="4" s="1"/>
  <c r="L469" i="4"/>
  <c r="M469" i="4" s="1"/>
  <c r="L470" i="4"/>
  <c r="M470" i="4" s="1"/>
  <c r="L471" i="4"/>
  <c r="M471" i="4" s="1"/>
  <c r="L472" i="4"/>
  <c r="M472" i="4" s="1"/>
  <c r="L473" i="4"/>
  <c r="M473" i="4" s="1"/>
  <c r="L474" i="4"/>
  <c r="M474" i="4" s="1"/>
  <c r="L475" i="4"/>
  <c r="M475" i="4" s="1"/>
  <c r="L476" i="4"/>
  <c r="M476" i="4" s="1"/>
  <c r="L477" i="4"/>
  <c r="M477" i="4" s="1"/>
  <c r="L478" i="4"/>
  <c r="M478" i="4" s="1"/>
  <c r="L479" i="4"/>
  <c r="M479" i="4" s="1"/>
  <c r="L480" i="4"/>
  <c r="M480" i="4" s="1"/>
  <c r="L481" i="4"/>
  <c r="M481" i="4" s="1"/>
  <c r="L482" i="4"/>
  <c r="M482" i="4" s="1"/>
  <c r="L483" i="4"/>
  <c r="M483" i="4" s="1"/>
  <c r="L484" i="4"/>
  <c r="M484" i="4" s="1"/>
  <c r="L485" i="4"/>
  <c r="M485" i="4" s="1"/>
  <c r="L486" i="4"/>
  <c r="M486" i="4" s="1"/>
  <c r="L487" i="4"/>
  <c r="M487" i="4" s="1"/>
  <c r="L488" i="4"/>
  <c r="M488" i="4" s="1"/>
  <c r="L489" i="4"/>
  <c r="M489" i="4" s="1"/>
  <c r="L490" i="4"/>
  <c r="M490" i="4" s="1"/>
  <c r="L491" i="4"/>
  <c r="M491" i="4" s="1"/>
  <c r="L492" i="4"/>
  <c r="M492" i="4" s="1"/>
  <c r="L493" i="4"/>
  <c r="M493" i="4" s="1"/>
  <c r="L494" i="4"/>
  <c r="M494" i="4" s="1"/>
  <c r="L495" i="4"/>
  <c r="M495" i="4" s="1"/>
  <c r="L496" i="4"/>
  <c r="M496" i="4" s="1"/>
  <c r="L497" i="4"/>
  <c r="M497" i="4" s="1"/>
  <c r="L498" i="4"/>
  <c r="M498" i="4" s="1"/>
  <c r="L499" i="4"/>
  <c r="M499" i="4" s="1"/>
  <c r="L500" i="4"/>
  <c r="M500" i="4" s="1"/>
  <c r="L501" i="4"/>
  <c r="M501" i="4" s="1"/>
  <c r="L502" i="4"/>
  <c r="M502" i="4" s="1"/>
  <c r="L503" i="4"/>
  <c r="M503" i="4" s="1"/>
  <c r="L504" i="4"/>
  <c r="M504" i="4" s="1"/>
  <c r="L505" i="4"/>
  <c r="M505" i="4" s="1"/>
  <c r="L506" i="4"/>
  <c r="M506" i="4" s="1"/>
  <c r="L507" i="4"/>
  <c r="M507" i="4" s="1"/>
  <c r="L508" i="4"/>
  <c r="M508" i="4" s="1"/>
  <c r="L509" i="4"/>
  <c r="M509" i="4" s="1"/>
  <c r="L510" i="4"/>
  <c r="M510" i="4" s="1"/>
  <c r="L511" i="4"/>
  <c r="M511" i="4" s="1"/>
  <c r="L512" i="4"/>
  <c r="M512" i="4" s="1"/>
  <c r="L513" i="4"/>
  <c r="M513" i="4" s="1"/>
  <c r="L514" i="4"/>
  <c r="M514" i="4" s="1"/>
  <c r="L515" i="4"/>
  <c r="M515" i="4" s="1"/>
  <c r="L516" i="4"/>
  <c r="M516" i="4" s="1"/>
  <c r="L517" i="4"/>
  <c r="M517" i="4" s="1"/>
  <c r="L518" i="4"/>
  <c r="M518" i="4" s="1"/>
  <c r="L519" i="4"/>
  <c r="M519" i="4" s="1"/>
  <c r="L520" i="4"/>
  <c r="M520" i="4" s="1"/>
  <c r="L521" i="4"/>
  <c r="M521" i="4" s="1"/>
  <c r="L522" i="4"/>
  <c r="M522" i="4" s="1"/>
  <c r="L523" i="4"/>
  <c r="M523" i="4" s="1"/>
  <c r="L524" i="4"/>
  <c r="M524" i="4" s="1"/>
  <c r="L525" i="4"/>
  <c r="M525" i="4" s="1"/>
  <c r="L526" i="4"/>
  <c r="M526" i="4" s="1"/>
  <c r="L527" i="4"/>
  <c r="M527" i="4" s="1"/>
  <c r="L528" i="4"/>
  <c r="M528" i="4" s="1"/>
  <c r="L529" i="4"/>
  <c r="M529" i="4" s="1"/>
  <c r="L530" i="4"/>
  <c r="M530" i="4" s="1"/>
  <c r="L531" i="4"/>
  <c r="M531" i="4" s="1"/>
  <c r="L532" i="4"/>
  <c r="M532" i="4" s="1"/>
  <c r="L533" i="4"/>
  <c r="M533" i="4" s="1"/>
  <c r="L534" i="4"/>
  <c r="M534" i="4" s="1"/>
  <c r="L535" i="4"/>
  <c r="M535" i="4" s="1"/>
  <c r="L536" i="4"/>
  <c r="M536" i="4" s="1"/>
  <c r="L537" i="4"/>
  <c r="M537" i="4" s="1"/>
  <c r="L538" i="4"/>
  <c r="M538" i="4" s="1"/>
  <c r="L539" i="4"/>
  <c r="M539" i="4" s="1"/>
  <c r="L540" i="4"/>
  <c r="M540" i="4" s="1"/>
  <c r="L541" i="4"/>
  <c r="M541" i="4" s="1"/>
  <c r="L542" i="4"/>
  <c r="M542" i="4" s="1"/>
  <c r="L543" i="4"/>
  <c r="M543" i="4" s="1"/>
  <c r="L544" i="4"/>
  <c r="M544" i="4" s="1"/>
  <c r="L545" i="4"/>
  <c r="M545" i="4" s="1"/>
  <c r="L546" i="4"/>
  <c r="M546" i="4" s="1"/>
  <c r="L547" i="4"/>
  <c r="M547" i="4" s="1"/>
  <c r="L548" i="4"/>
  <c r="M548" i="4" s="1"/>
  <c r="L549" i="4"/>
  <c r="M549" i="4" s="1"/>
  <c r="L550" i="4"/>
  <c r="M550" i="4" s="1"/>
  <c r="L551" i="4"/>
  <c r="M551" i="4" s="1"/>
  <c r="L552" i="4"/>
  <c r="M552" i="4" s="1"/>
  <c r="L553" i="4"/>
  <c r="M553" i="4" s="1"/>
  <c r="L554" i="4"/>
  <c r="M554" i="4" s="1"/>
  <c r="L555" i="4"/>
  <c r="M555" i="4" s="1"/>
  <c r="L556" i="4"/>
  <c r="M556" i="4" s="1"/>
  <c r="L557" i="4"/>
  <c r="M557" i="4" s="1"/>
  <c r="L558" i="4"/>
  <c r="M558" i="4" s="1"/>
  <c r="L559" i="4"/>
  <c r="M559" i="4" s="1"/>
  <c r="L560" i="4"/>
  <c r="M560" i="4" s="1"/>
  <c r="L561" i="4"/>
  <c r="M561" i="4" s="1"/>
  <c r="L562" i="4"/>
  <c r="M562" i="4" s="1"/>
  <c r="L563" i="4"/>
  <c r="M563" i="4" s="1"/>
  <c r="L564" i="4"/>
  <c r="M564" i="4" s="1"/>
  <c r="L565" i="4"/>
  <c r="M565" i="4" s="1"/>
  <c r="L566" i="4"/>
  <c r="M566" i="4" s="1"/>
  <c r="L567" i="4"/>
  <c r="M567" i="4" s="1"/>
  <c r="L568" i="4"/>
  <c r="M568" i="4" s="1"/>
  <c r="L569" i="4"/>
  <c r="M569" i="4" s="1"/>
  <c r="L570" i="4"/>
  <c r="M570" i="4" s="1"/>
  <c r="L571" i="4"/>
  <c r="M571" i="4" s="1"/>
  <c r="L572" i="4"/>
  <c r="M572" i="4" s="1"/>
  <c r="L573" i="4"/>
  <c r="M573" i="4" s="1"/>
  <c r="L574" i="4"/>
  <c r="M574" i="4" s="1"/>
  <c r="L575" i="4"/>
  <c r="M575" i="4" s="1"/>
  <c r="L576" i="4"/>
  <c r="M576" i="4" s="1"/>
  <c r="L577" i="4"/>
  <c r="M577" i="4" s="1"/>
  <c r="L578" i="4"/>
  <c r="M578" i="4" s="1"/>
  <c r="L579" i="4"/>
  <c r="M579" i="4" s="1"/>
  <c r="L580" i="4"/>
  <c r="M580" i="4" s="1"/>
  <c r="L581" i="4"/>
  <c r="M581" i="4" s="1"/>
  <c r="L582" i="4"/>
  <c r="M582" i="4" s="1"/>
  <c r="L583" i="4"/>
  <c r="M583" i="4" s="1"/>
  <c r="L584" i="4"/>
  <c r="M584" i="4" s="1"/>
  <c r="L585" i="4"/>
  <c r="M585" i="4" s="1"/>
  <c r="L586" i="4"/>
  <c r="M586" i="4" s="1"/>
  <c r="L587" i="4"/>
  <c r="M587" i="4" s="1"/>
  <c r="L588" i="4"/>
  <c r="M588" i="4" s="1"/>
  <c r="L589" i="4"/>
  <c r="M589" i="4" s="1"/>
  <c r="L590" i="4"/>
  <c r="M590" i="4" s="1"/>
  <c r="L591" i="4"/>
  <c r="M591" i="4" s="1"/>
  <c r="L592" i="4"/>
  <c r="M592" i="4" s="1"/>
  <c r="L593" i="4"/>
  <c r="M593" i="4" s="1"/>
  <c r="L594" i="4"/>
  <c r="M594" i="4" s="1"/>
  <c r="L595" i="4"/>
  <c r="M595" i="4" s="1"/>
  <c r="L596" i="4"/>
  <c r="M596" i="4" s="1"/>
  <c r="L597" i="4"/>
  <c r="M597" i="4" s="1"/>
  <c r="L598" i="4"/>
  <c r="M598" i="4" s="1"/>
  <c r="L599" i="4"/>
  <c r="M599" i="4" s="1"/>
  <c r="L600" i="4"/>
  <c r="M600" i="4" s="1"/>
  <c r="L601" i="4"/>
  <c r="M601" i="4" s="1"/>
  <c r="L602" i="4"/>
  <c r="M602" i="4" s="1"/>
  <c r="L603" i="4"/>
  <c r="M603" i="4" s="1"/>
  <c r="L604" i="4"/>
  <c r="M604" i="4" s="1"/>
  <c r="L605" i="4"/>
  <c r="M605" i="4" s="1"/>
  <c r="L606" i="4"/>
  <c r="M606" i="4" s="1"/>
  <c r="L607" i="4"/>
  <c r="M607" i="4" s="1"/>
  <c r="L608" i="4"/>
  <c r="M608" i="4" s="1"/>
  <c r="L609" i="4"/>
  <c r="M609" i="4" s="1"/>
  <c r="L610" i="4"/>
  <c r="M610" i="4" s="1"/>
  <c r="L611" i="4"/>
  <c r="M611" i="4" s="1"/>
  <c r="L612" i="4"/>
  <c r="M612" i="4" s="1"/>
  <c r="L613" i="4"/>
  <c r="M613" i="4" s="1"/>
  <c r="L614" i="4"/>
  <c r="M614" i="4" s="1"/>
  <c r="L615" i="4"/>
  <c r="M615" i="4" s="1"/>
  <c r="L616" i="4"/>
  <c r="M616" i="4" s="1"/>
  <c r="L617" i="4"/>
  <c r="M617" i="4" s="1"/>
  <c r="L618" i="4"/>
  <c r="M618" i="4" s="1"/>
  <c r="L619" i="4"/>
  <c r="M619" i="4" s="1"/>
  <c r="L620" i="4"/>
  <c r="M620" i="4" s="1"/>
  <c r="L621" i="4"/>
  <c r="M621" i="4" s="1"/>
  <c r="L622" i="4"/>
  <c r="M622" i="4" s="1"/>
  <c r="L623" i="4"/>
  <c r="M623" i="4" s="1"/>
  <c r="L624" i="4"/>
  <c r="M624" i="4" s="1"/>
  <c r="L625" i="4"/>
  <c r="M625" i="4" s="1"/>
  <c r="L626" i="4"/>
  <c r="M626" i="4" s="1"/>
  <c r="L627" i="4"/>
  <c r="M627" i="4" s="1"/>
  <c r="L628" i="4"/>
  <c r="M628" i="4" s="1"/>
  <c r="L629" i="4"/>
  <c r="M629" i="4" s="1"/>
  <c r="L630" i="4"/>
  <c r="M630" i="4" s="1"/>
  <c r="L631" i="4"/>
  <c r="M631" i="4" s="1"/>
  <c r="L632" i="4"/>
  <c r="M632" i="4" s="1"/>
  <c r="L633" i="4"/>
  <c r="M633" i="4" s="1"/>
  <c r="L634" i="4"/>
  <c r="M634" i="4" s="1"/>
  <c r="L635" i="4"/>
  <c r="M635" i="4" s="1"/>
  <c r="L636" i="4"/>
  <c r="M636" i="4" s="1"/>
  <c r="L637" i="4"/>
  <c r="M637" i="4" s="1"/>
  <c r="L638" i="4"/>
  <c r="M638" i="4" s="1"/>
  <c r="L639" i="4"/>
  <c r="M639" i="4" s="1"/>
  <c r="L640" i="4"/>
  <c r="M640" i="4" s="1"/>
  <c r="L641" i="4"/>
  <c r="M641" i="4" s="1"/>
  <c r="L642" i="4"/>
  <c r="M642" i="4" s="1"/>
  <c r="L643" i="4"/>
  <c r="M643" i="4" s="1"/>
  <c r="L644" i="4"/>
  <c r="M644" i="4" s="1"/>
  <c r="L645" i="4"/>
  <c r="M645" i="4" s="1"/>
  <c r="L646" i="4"/>
  <c r="M646" i="4" s="1"/>
  <c r="L647" i="4"/>
  <c r="M647" i="4" s="1"/>
  <c r="L648" i="4"/>
  <c r="M648" i="4" s="1"/>
  <c r="L649" i="4"/>
  <c r="M649" i="4" s="1"/>
  <c r="L650" i="4"/>
  <c r="M650" i="4" s="1"/>
  <c r="L651" i="4"/>
  <c r="M651" i="4" s="1"/>
  <c r="L652" i="4"/>
  <c r="M652" i="4" s="1"/>
  <c r="L653" i="4"/>
  <c r="M653" i="4" s="1"/>
  <c r="L654" i="4"/>
  <c r="M654" i="4" s="1"/>
  <c r="L655" i="4"/>
  <c r="M655" i="4" s="1"/>
  <c r="L656" i="4"/>
  <c r="M656" i="4" s="1"/>
  <c r="L657" i="4"/>
  <c r="M657" i="4" s="1"/>
  <c r="L658" i="4"/>
  <c r="M658" i="4" s="1"/>
  <c r="L659" i="4"/>
  <c r="M659" i="4" s="1"/>
  <c r="L660" i="4"/>
  <c r="M660" i="4" s="1"/>
  <c r="L661" i="4"/>
  <c r="M661" i="4" s="1"/>
  <c r="L662" i="4"/>
  <c r="M662" i="4" s="1"/>
  <c r="L663" i="4"/>
  <c r="M663" i="4" s="1"/>
  <c r="L664" i="4"/>
  <c r="M664" i="4" s="1"/>
  <c r="L665" i="4"/>
  <c r="M665" i="4" s="1"/>
  <c r="L666" i="4"/>
  <c r="M666" i="4" s="1"/>
  <c r="L667" i="4"/>
  <c r="M667" i="4" s="1"/>
  <c r="L668" i="4"/>
  <c r="M668" i="4" s="1"/>
  <c r="L669" i="4"/>
  <c r="M669" i="4" s="1"/>
  <c r="L670" i="4"/>
  <c r="M670" i="4" s="1"/>
  <c r="L671" i="4"/>
  <c r="M671" i="4" s="1"/>
  <c r="L672" i="4"/>
  <c r="M672" i="4" s="1"/>
  <c r="L673" i="4"/>
  <c r="M673" i="4" s="1"/>
  <c r="L674" i="4"/>
  <c r="M674" i="4" s="1"/>
  <c r="L675" i="4"/>
  <c r="M675" i="4" s="1"/>
  <c r="L676" i="4"/>
  <c r="M676" i="4" s="1"/>
  <c r="L677" i="4"/>
  <c r="M677" i="4" s="1"/>
  <c r="L678" i="4"/>
  <c r="M678" i="4" s="1"/>
  <c r="L679" i="4"/>
  <c r="M679" i="4" s="1"/>
  <c r="L680" i="4"/>
  <c r="M680" i="4" s="1"/>
  <c r="L681" i="4"/>
  <c r="M681" i="4" s="1"/>
  <c r="L682" i="4"/>
  <c r="M682" i="4" s="1"/>
  <c r="L683" i="4"/>
  <c r="M683" i="4" s="1"/>
  <c r="L684" i="4"/>
  <c r="M684" i="4" s="1"/>
  <c r="L685" i="4"/>
  <c r="M685" i="4" s="1"/>
  <c r="L686" i="4"/>
  <c r="M686" i="4" s="1"/>
  <c r="L687" i="4"/>
  <c r="M687" i="4" s="1"/>
  <c r="L688" i="4"/>
  <c r="M688" i="4" s="1"/>
  <c r="L689" i="4"/>
  <c r="M689" i="4" s="1"/>
  <c r="L690" i="4"/>
  <c r="M690" i="4" s="1"/>
  <c r="L691" i="4"/>
  <c r="M691" i="4" s="1"/>
  <c r="L692" i="4"/>
  <c r="M692" i="4" s="1"/>
  <c r="L693" i="4"/>
  <c r="M693" i="4" s="1"/>
  <c r="L694" i="4"/>
  <c r="M694" i="4" s="1"/>
  <c r="L695" i="4"/>
  <c r="M695" i="4" s="1"/>
  <c r="L696" i="4"/>
  <c r="M696" i="4" s="1"/>
  <c r="L697" i="4"/>
  <c r="M697" i="4" s="1"/>
  <c r="L698" i="4"/>
  <c r="M698" i="4" s="1"/>
  <c r="L699" i="4"/>
  <c r="M699" i="4" s="1"/>
  <c r="L700" i="4"/>
  <c r="M700" i="4" s="1"/>
  <c r="L701" i="4"/>
  <c r="M701" i="4" s="1"/>
  <c r="L702" i="4"/>
  <c r="M702" i="4" s="1"/>
  <c r="L703" i="4"/>
  <c r="M703" i="4" s="1"/>
  <c r="L704" i="4"/>
  <c r="M704" i="4" s="1"/>
  <c r="L705" i="4"/>
  <c r="M705" i="4" s="1"/>
  <c r="L706" i="4"/>
  <c r="M706" i="4" s="1"/>
  <c r="L707" i="4"/>
  <c r="M707" i="4" s="1"/>
  <c r="L708" i="4"/>
  <c r="M708" i="4" s="1"/>
  <c r="L709" i="4"/>
  <c r="M709" i="4" s="1"/>
  <c r="L710" i="4"/>
  <c r="M710" i="4" s="1"/>
  <c r="L711" i="4"/>
  <c r="M711" i="4" s="1"/>
  <c r="L712" i="4"/>
  <c r="M712" i="4" s="1"/>
  <c r="L713" i="4"/>
  <c r="M713" i="4" s="1"/>
  <c r="L714" i="4"/>
  <c r="M714" i="4" s="1"/>
  <c r="L715" i="4"/>
  <c r="M715" i="4" s="1"/>
  <c r="L716" i="4"/>
  <c r="M716" i="4" s="1"/>
  <c r="L717" i="4"/>
  <c r="M717" i="4" s="1"/>
  <c r="L718" i="4"/>
  <c r="M718" i="4" s="1"/>
  <c r="L719" i="4"/>
  <c r="M719" i="4" s="1"/>
  <c r="L720" i="4"/>
  <c r="M720" i="4" s="1"/>
  <c r="L721" i="4"/>
  <c r="M721" i="4" s="1"/>
  <c r="L722" i="4"/>
  <c r="M722" i="4" s="1"/>
  <c r="L723" i="4"/>
  <c r="M723" i="4" s="1"/>
  <c r="L724" i="4"/>
  <c r="M724" i="4" s="1"/>
  <c r="L725" i="4"/>
  <c r="M725" i="4" s="1"/>
  <c r="L726" i="4"/>
  <c r="M726" i="4" s="1"/>
  <c r="L727" i="4"/>
  <c r="M727" i="4" s="1"/>
  <c r="L728" i="4"/>
  <c r="M728" i="4" s="1"/>
  <c r="L729" i="4"/>
  <c r="M729" i="4" s="1"/>
  <c r="L730" i="4"/>
  <c r="M730" i="4" s="1"/>
  <c r="L731" i="4"/>
  <c r="M731" i="4" s="1"/>
  <c r="L732" i="4"/>
  <c r="M732" i="4" s="1"/>
  <c r="L733" i="4"/>
  <c r="M733" i="4" s="1"/>
  <c r="L734" i="4"/>
  <c r="M734" i="4" s="1"/>
  <c r="L735" i="4"/>
  <c r="M735" i="4" s="1"/>
  <c r="L736" i="4"/>
  <c r="M736" i="4" s="1"/>
  <c r="L737" i="4"/>
  <c r="M737" i="4" s="1"/>
  <c r="L738" i="4"/>
  <c r="M738" i="4" s="1"/>
  <c r="L739" i="4"/>
  <c r="M739" i="4" s="1"/>
  <c r="L740" i="4"/>
  <c r="M740" i="4" s="1"/>
  <c r="L741" i="4"/>
  <c r="M741" i="4" s="1"/>
  <c r="L742" i="4"/>
  <c r="M742" i="4" s="1"/>
  <c r="L743" i="4"/>
  <c r="M743" i="4" s="1"/>
  <c r="L744" i="4"/>
  <c r="M744" i="4" s="1"/>
  <c r="L745" i="4"/>
  <c r="M745" i="4" s="1"/>
  <c r="L746" i="4"/>
  <c r="M746" i="4" s="1"/>
  <c r="L747" i="4"/>
  <c r="M747" i="4" s="1"/>
  <c r="L748" i="4"/>
  <c r="M748" i="4" s="1"/>
  <c r="L749" i="4"/>
  <c r="M749" i="4" s="1"/>
  <c r="L750" i="4"/>
  <c r="M750" i="4" s="1"/>
  <c r="L751" i="4"/>
  <c r="M751" i="4" s="1"/>
  <c r="L752" i="4"/>
  <c r="M752" i="4" s="1"/>
  <c r="L753" i="4"/>
  <c r="M753" i="4" s="1"/>
  <c r="L754" i="4"/>
  <c r="M754" i="4" s="1"/>
  <c r="L755" i="4"/>
  <c r="M755" i="4" s="1"/>
  <c r="L756" i="4"/>
  <c r="M756" i="4" s="1"/>
  <c r="L757" i="4"/>
  <c r="M757" i="4" s="1"/>
  <c r="L758" i="4"/>
  <c r="M758" i="4" s="1"/>
  <c r="L759" i="4"/>
  <c r="M759" i="4" s="1"/>
  <c r="L760" i="4"/>
  <c r="M760" i="4" s="1"/>
  <c r="L761" i="4"/>
  <c r="M761" i="4" s="1"/>
  <c r="L762" i="4"/>
  <c r="M762" i="4" s="1"/>
  <c r="L763" i="4"/>
  <c r="M763" i="4" s="1"/>
  <c r="L764" i="4"/>
  <c r="M764" i="4" s="1"/>
  <c r="L765" i="4"/>
  <c r="M765" i="4" s="1"/>
  <c r="L766" i="4"/>
  <c r="M766" i="4" s="1"/>
  <c r="L767" i="4"/>
  <c r="M767" i="4" s="1"/>
  <c r="L768" i="4"/>
  <c r="M768" i="4" s="1"/>
  <c r="L769" i="4"/>
  <c r="M769" i="4" s="1"/>
  <c r="L770" i="4"/>
  <c r="M770" i="4" s="1"/>
  <c r="L771" i="4"/>
  <c r="M771" i="4" s="1"/>
  <c r="L772" i="4"/>
  <c r="M772" i="4" s="1"/>
  <c r="L773" i="4"/>
  <c r="M773" i="4" s="1"/>
  <c r="L774" i="4"/>
  <c r="M774" i="4" s="1"/>
  <c r="L775" i="4"/>
  <c r="M775" i="4" s="1"/>
  <c r="L776" i="4"/>
  <c r="M776" i="4" s="1"/>
  <c r="L777" i="4"/>
  <c r="M777" i="4" s="1"/>
  <c r="L778" i="4"/>
  <c r="M778" i="4" s="1"/>
  <c r="L779" i="4"/>
  <c r="M779" i="4" s="1"/>
  <c r="L780" i="4"/>
  <c r="M780" i="4" s="1"/>
  <c r="L781" i="4"/>
  <c r="M781" i="4" s="1"/>
  <c r="L782" i="4"/>
  <c r="M782" i="4" s="1"/>
  <c r="L783" i="4"/>
  <c r="M783" i="4" s="1"/>
  <c r="L784" i="4"/>
  <c r="M784" i="4" s="1"/>
  <c r="L785" i="4"/>
  <c r="M785" i="4" s="1"/>
  <c r="L786" i="4"/>
  <c r="M786" i="4" s="1"/>
  <c r="L787" i="4"/>
  <c r="M787" i="4" s="1"/>
  <c r="L788" i="4"/>
  <c r="M788" i="4" s="1"/>
  <c r="L789" i="4"/>
  <c r="M789" i="4" s="1"/>
  <c r="L790" i="4"/>
  <c r="M790" i="4" s="1"/>
  <c r="L791" i="4"/>
  <c r="M791" i="4" s="1"/>
  <c r="L792" i="4"/>
  <c r="M792" i="4" s="1"/>
  <c r="L793" i="4"/>
  <c r="M793" i="4" s="1"/>
  <c r="L794" i="4"/>
  <c r="M794" i="4" s="1"/>
  <c r="L795" i="4"/>
  <c r="M795" i="4" s="1"/>
  <c r="L796" i="4"/>
  <c r="M796" i="4" s="1"/>
  <c r="L797" i="4"/>
  <c r="M797" i="4" s="1"/>
  <c r="L798" i="4"/>
  <c r="M798" i="4" s="1"/>
  <c r="L799" i="4"/>
  <c r="M799" i="4" s="1"/>
  <c r="L800" i="4"/>
  <c r="M800" i="4" s="1"/>
  <c r="L801" i="4"/>
  <c r="M801" i="4" s="1"/>
  <c r="L802" i="4"/>
  <c r="M802" i="4" s="1"/>
  <c r="L803" i="4"/>
  <c r="M803" i="4" s="1"/>
  <c r="L804" i="4"/>
  <c r="M804" i="4" s="1"/>
  <c r="L805" i="4"/>
  <c r="M805" i="4" s="1"/>
  <c r="L806" i="4"/>
  <c r="M806" i="4" s="1"/>
  <c r="L807" i="4"/>
  <c r="M807" i="4" s="1"/>
  <c r="L808" i="4"/>
  <c r="M808" i="4" s="1"/>
  <c r="L809" i="4"/>
  <c r="M809" i="4" s="1"/>
  <c r="L810" i="4"/>
  <c r="M810" i="4" s="1"/>
  <c r="L811" i="4"/>
  <c r="M811" i="4" s="1"/>
  <c r="L812" i="4"/>
  <c r="M812" i="4" s="1"/>
  <c r="L813" i="4"/>
  <c r="M813" i="4" s="1"/>
  <c r="L814" i="4"/>
  <c r="M814" i="4" s="1"/>
  <c r="L815" i="4"/>
  <c r="M815" i="4" s="1"/>
  <c r="L816" i="4"/>
  <c r="M816" i="4" s="1"/>
  <c r="L817" i="4"/>
  <c r="M817" i="4" s="1"/>
  <c r="L818" i="4"/>
  <c r="M818" i="4" s="1"/>
  <c r="L819" i="4"/>
  <c r="M819" i="4" s="1"/>
  <c r="L820" i="4"/>
  <c r="M820" i="4" s="1"/>
  <c r="L821" i="4"/>
  <c r="M821" i="4" s="1"/>
  <c r="L822" i="4"/>
  <c r="M822" i="4" s="1"/>
  <c r="L823" i="4"/>
  <c r="M823" i="4" s="1"/>
  <c r="L824" i="4"/>
  <c r="M824" i="4" s="1"/>
  <c r="L825" i="4"/>
  <c r="M825" i="4" s="1"/>
  <c r="L826" i="4"/>
  <c r="M826" i="4" s="1"/>
  <c r="L827" i="4"/>
  <c r="M827" i="4" s="1"/>
  <c r="L828" i="4"/>
  <c r="M828" i="4" s="1"/>
  <c r="L829" i="4"/>
  <c r="M829" i="4" s="1"/>
  <c r="L830" i="4"/>
  <c r="M830" i="4" s="1"/>
  <c r="L831" i="4"/>
  <c r="M831" i="4" s="1"/>
  <c r="L832" i="4"/>
  <c r="M832" i="4" s="1"/>
  <c r="L833" i="4"/>
  <c r="M833" i="4" s="1"/>
  <c r="L834" i="4"/>
  <c r="M834" i="4" s="1"/>
  <c r="L835" i="4"/>
  <c r="M835" i="4" s="1"/>
  <c r="L836" i="4"/>
  <c r="M836" i="4" s="1"/>
  <c r="L837" i="4"/>
  <c r="M837" i="4" s="1"/>
  <c r="L838" i="4"/>
  <c r="M838" i="4" s="1"/>
  <c r="L839" i="4"/>
  <c r="M839" i="4" s="1"/>
  <c r="L840" i="4"/>
  <c r="M840" i="4" s="1"/>
  <c r="L841" i="4"/>
  <c r="M841" i="4" s="1"/>
  <c r="L842" i="4"/>
  <c r="M842" i="4" s="1"/>
  <c r="L843" i="4"/>
  <c r="M843" i="4" s="1"/>
  <c r="L844" i="4"/>
  <c r="M844" i="4" s="1"/>
  <c r="L845" i="4"/>
  <c r="M845" i="4" s="1"/>
  <c r="L846" i="4"/>
  <c r="M846" i="4" s="1"/>
  <c r="L847" i="4"/>
  <c r="M847" i="4" s="1"/>
  <c r="L848" i="4"/>
  <c r="M848" i="4" s="1"/>
  <c r="L849" i="4"/>
  <c r="M849" i="4" s="1"/>
  <c r="L850" i="4"/>
  <c r="M850" i="4" s="1"/>
  <c r="L851" i="4"/>
  <c r="M851" i="4" s="1"/>
  <c r="L852" i="4"/>
  <c r="M852" i="4" s="1"/>
  <c r="L853" i="4"/>
  <c r="M853" i="4" s="1"/>
  <c r="L854" i="4"/>
  <c r="M854" i="4" s="1"/>
  <c r="L855" i="4"/>
  <c r="M855" i="4" s="1"/>
  <c r="L856" i="4"/>
  <c r="M856" i="4" s="1"/>
  <c r="L857" i="4"/>
  <c r="M857" i="4" s="1"/>
  <c r="L858" i="4"/>
  <c r="M858" i="4" s="1"/>
  <c r="L859" i="4"/>
  <c r="M859" i="4" s="1"/>
  <c r="L860" i="4"/>
  <c r="M860" i="4" s="1"/>
  <c r="L861" i="4"/>
  <c r="M861" i="4" s="1"/>
  <c r="L862" i="4"/>
  <c r="M862" i="4" s="1"/>
  <c r="L863" i="4"/>
  <c r="M863" i="4" s="1"/>
  <c r="L864" i="4"/>
  <c r="M864" i="4" s="1"/>
  <c r="L865" i="4"/>
  <c r="M865" i="4" s="1"/>
  <c r="L866" i="4"/>
  <c r="M866" i="4" s="1"/>
  <c r="L867" i="4"/>
  <c r="M867" i="4" s="1"/>
  <c r="L868" i="4"/>
  <c r="M868" i="4" s="1"/>
  <c r="L869" i="4"/>
  <c r="M869" i="4" s="1"/>
  <c r="L870" i="4"/>
  <c r="M870" i="4" s="1"/>
  <c r="L871" i="4"/>
  <c r="M871" i="4" s="1"/>
  <c r="L872" i="4"/>
  <c r="M872" i="4" s="1"/>
  <c r="L873" i="4"/>
  <c r="M873" i="4" s="1"/>
  <c r="L874" i="4"/>
  <c r="M874" i="4" s="1"/>
  <c r="L875" i="4"/>
  <c r="M875" i="4" s="1"/>
  <c r="L876" i="4"/>
  <c r="M876" i="4" s="1"/>
  <c r="L877" i="4"/>
  <c r="M877" i="4" s="1"/>
  <c r="L878" i="4"/>
  <c r="M878" i="4" s="1"/>
  <c r="L879" i="4"/>
  <c r="M879" i="4" s="1"/>
  <c r="L880" i="4"/>
  <c r="M880" i="4" s="1"/>
  <c r="L881" i="4"/>
  <c r="M881" i="4" s="1"/>
  <c r="L882" i="4"/>
  <c r="M882" i="4" s="1"/>
  <c r="L883" i="4"/>
  <c r="M883" i="4" s="1"/>
  <c r="L884" i="4"/>
  <c r="M884" i="4" s="1"/>
  <c r="L885" i="4"/>
  <c r="M885" i="4" s="1"/>
  <c r="L886" i="4"/>
  <c r="M886" i="4" s="1"/>
  <c r="L887" i="4"/>
  <c r="M887" i="4" s="1"/>
  <c r="L888" i="4"/>
  <c r="M888" i="4" s="1"/>
  <c r="L889" i="4"/>
  <c r="M889" i="4" s="1"/>
  <c r="L890" i="4"/>
  <c r="M890" i="4" s="1"/>
  <c r="L891" i="4"/>
  <c r="M891" i="4" s="1"/>
  <c r="L892" i="4"/>
  <c r="M892" i="4" s="1"/>
  <c r="L893" i="4"/>
  <c r="M893" i="4" s="1"/>
  <c r="L894" i="4"/>
  <c r="M894" i="4" s="1"/>
  <c r="L895" i="4"/>
  <c r="M895" i="4" s="1"/>
  <c r="L896" i="4"/>
  <c r="M896" i="4" s="1"/>
  <c r="L897" i="4"/>
  <c r="M897" i="4" s="1"/>
  <c r="L898" i="4"/>
  <c r="M898" i="4" s="1"/>
  <c r="L899" i="4"/>
  <c r="M899" i="4" s="1"/>
  <c r="L900" i="4"/>
  <c r="M900" i="4" s="1"/>
  <c r="L901" i="4"/>
  <c r="M901" i="4" s="1"/>
  <c r="L902" i="4"/>
  <c r="M902" i="4" s="1"/>
  <c r="L903" i="4"/>
  <c r="M903" i="4" s="1"/>
  <c r="L904" i="4"/>
  <c r="M904" i="4" s="1"/>
  <c r="L905" i="4"/>
  <c r="M905" i="4" s="1"/>
  <c r="L906" i="4"/>
  <c r="M906" i="4" s="1"/>
  <c r="L907" i="4"/>
  <c r="M907" i="4" s="1"/>
  <c r="L908" i="4"/>
  <c r="M908" i="4" s="1"/>
  <c r="L909" i="4"/>
  <c r="M909" i="4" s="1"/>
  <c r="L910" i="4"/>
  <c r="M910" i="4" s="1"/>
  <c r="L911" i="4"/>
  <c r="M911" i="4" s="1"/>
  <c r="L912" i="4"/>
  <c r="M912" i="4" s="1"/>
  <c r="L913" i="4"/>
  <c r="M913" i="4" s="1"/>
  <c r="L914" i="4"/>
  <c r="M914" i="4" s="1"/>
  <c r="L915" i="4"/>
  <c r="M915" i="4" s="1"/>
  <c r="L916" i="4"/>
  <c r="M916" i="4" s="1"/>
  <c r="L917" i="4"/>
  <c r="M917" i="4" s="1"/>
  <c r="L918" i="4"/>
  <c r="M918" i="4" s="1"/>
  <c r="L919" i="4"/>
  <c r="M919" i="4" s="1"/>
  <c r="L920" i="4"/>
  <c r="M920" i="4" s="1"/>
  <c r="L921" i="4"/>
  <c r="M921" i="4" s="1"/>
  <c r="L922" i="4"/>
  <c r="M922" i="4" s="1"/>
  <c r="L923" i="4"/>
  <c r="M923" i="4" s="1"/>
  <c r="L924" i="4"/>
  <c r="M924" i="4" s="1"/>
  <c r="L925" i="4"/>
  <c r="M925" i="4" s="1"/>
  <c r="L926" i="4"/>
  <c r="M926" i="4" s="1"/>
  <c r="L927" i="4"/>
  <c r="M927" i="4" s="1"/>
  <c r="L928" i="4"/>
  <c r="M928" i="4" s="1"/>
  <c r="L929" i="4"/>
  <c r="M929" i="4" s="1"/>
  <c r="L930" i="4"/>
  <c r="M930" i="4" s="1"/>
  <c r="L931" i="4"/>
  <c r="M931" i="4" s="1"/>
  <c r="L932" i="4"/>
  <c r="M932" i="4" s="1"/>
  <c r="L933" i="4"/>
  <c r="M933" i="4" s="1"/>
  <c r="L934" i="4"/>
  <c r="M934" i="4" s="1"/>
  <c r="L935" i="4"/>
  <c r="M935" i="4" s="1"/>
  <c r="L936" i="4"/>
  <c r="M936" i="4" s="1"/>
  <c r="L937" i="4"/>
  <c r="M937" i="4" s="1"/>
  <c r="L938" i="4"/>
  <c r="M938" i="4" s="1"/>
  <c r="L939" i="4"/>
  <c r="M939" i="4" s="1"/>
  <c r="L940" i="4"/>
  <c r="M940" i="4" s="1"/>
  <c r="L941" i="4"/>
  <c r="M941" i="4" s="1"/>
  <c r="L942" i="4"/>
  <c r="M942" i="4" s="1"/>
  <c r="L943" i="4"/>
  <c r="M943" i="4" s="1"/>
  <c r="L944" i="4"/>
  <c r="M944" i="4" s="1"/>
  <c r="L945" i="4"/>
  <c r="M945" i="4" s="1"/>
  <c r="L946" i="4"/>
  <c r="M946" i="4" s="1"/>
  <c r="L947" i="4"/>
  <c r="M947" i="4" s="1"/>
  <c r="L948" i="4"/>
  <c r="M948" i="4" s="1"/>
  <c r="L949" i="4"/>
  <c r="M949" i="4" s="1"/>
  <c r="L950" i="4"/>
  <c r="M950" i="4" s="1"/>
  <c r="L951" i="4"/>
  <c r="M951" i="4" s="1"/>
  <c r="L952" i="4"/>
  <c r="M952" i="4" s="1"/>
  <c r="L953" i="4"/>
  <c r="M953" i="4" s="1"/>
  <c r="L954" i="4"/>
  <c r="M954" i="4" s="1"/>
  <c r="L955" i="4"/>
  <c r="M955" i="4" s="1"/>
  <c r="L956" i="4"/>
  <c r="M956" i="4" s="1"/>
  <c r="L957" i="4"/>
  <c r="M957" i="4" s="1"/>
  <c r="L958" i="4"/>
  <c r="M958" i="4" s="1"/>
  <c r="L959" i="4"/>
  <c r="M959" i="4" s="1"/>
  <c r="L960" i="4"/>
  <c r="M960" i="4" s="1"/>
  <c r="L961" i="4"/>
  <c r="M961" i="4" s="1"/>
  <c r="L962" i="4"/>
  <c r="M962" i="4" s="1"/>
  <c r="L963" i="4"/>
  <c r="M963" i="4" s="1"/>
  <c r="L964" i="4"/>
  <c r="M964" i="4" s="1"/>
  <c r="L965" i="4"/>
  <c r="M965" i="4" s="1"/>
  <c r="L966" i="4"/>
  <c r="M966" i="4" s="1"/>
  <c r="L967" i="4"/>
  <c r="M967" i="4" s="1"/>
  <c r="L968" i="4"/>
  <c r="M968" i="4" s="1"/>
  <c r="L969" i="4"/>
  <c r="M969" i="4" s="1"/>
  <c r="L970" i="4"/>
  <c r="M970" i="4" s="1"/>
  <c r="L971" i="4"/>
  <c r="M971" i="4" s="1"/>
  <c r="L972" i="4"/>
  <c r="M972" i="4" s="1"/>
  <c r="L973" i="4"/>
  <c r="M973" i="4" s="1"/>
  <c r="L974" i="4"/>
  <c r="M974" i="4" s="1"/>
  <c r="L975" i="4"/>
  <c r="M975" i="4" s="1"/>
  <c r="L976" i="4"/>
  <c r="M976" i="4" s="1"/>
  <c r="L977" i="4"/>
  <c r="M977" i="4" s="1"/>
  <c r="L978" i="4"/>
  <c r="M978" i="4" s="1"/>
  <c r="L979" i="4"/>
  <c r="M979" i="4" s="1"/>
  <c r="L980" i="4"/>
  <c r="M980" i="4" s="1"/>
  <c r="L981" i="4"/>
  <c r="M981" i="4" s="1"/>
  <c r="L982" i="4"/>
  <c r="M982" i="4" s="1"/>
  <c r="L983" i="4"/>
  <c r="M983" i="4" s="1"/>
  <c r="L984" i="4"/>
  <c r="M984" i="4" s="1"/>
  <c r="L985" i="4"/>
  <c r="M985" i="4" s="1"/>
  <c r="L986" i="4"/>
  <c r="M986" i="4" s="1"/>
  <c r="L987" i="4"/>
  <c r="M987" i="4" s="1"/>
  <c r="L988" i="4"/>
  <c r="M988" i="4" s="1"/>
  <c r="L989" i="4"/>
  <c r="M989" i="4" s="1"/>
  <c r="L990" i="4"/>
  <c r="M990" i="4" s="1"/>
  <c r="L991" i="4"/>
  <c r="M991" i="4" s="1"/>
  <c r="L992" i="4"/>
  <c r="M992" i="4" s="1"/>
  <c r="L993" i="4"/>
  <c r="M993" i="4" s="1"/>
  <c r="L994" i="4"/>
  <c r="M994" i="4" s="1"/>
  <c r="L995" i="4"/>
  <c r="M995" i="4" s="1"/>
  <c r="L996" i="4"/>
  <c r="M996" i="4" s="1"/>
  <c r="L997" i="4"/>
  <c r="M997" i="4" s="1"/>
  <c r="L998" i="4"/>
  <c r="M998" i="4" s="1"/>
  <c r="L999" i="4"/>
  <c r="M999" i="4" s="1"/>
  <c r="L1000" i="4"/>
  <c r="M1000" i="4" s="1"/>
  <c r="L1001" i="4"/>
  <c r="M1001" i="4" s="1"/>
  <c r="L2" i="4"/>
  <c r="M2" i="4" s="1"/>
  <c r="K3" i="4"/>
  <c r="N3" i="4" s="1"/>
  <c r="K4" i="4"/>
  <c r="N4" i="4" s="1"/>
  <c r="K5" i="4"/>
  <c r="N5" i="4" s="1"/>
  <c r="K6" i="4"/>
  <c r="N6" i="4" s="1"/>
  <c r="K7" i="4"/>
  <c r="N7" i="4" s="1"/>
  <c r="K8" i="4"/>
  <c r="N8" i="4" s="1"/>
  <c r="K9" i="4"/>
  <c r="N9" i="4" s="1"/>
  <c r="K10" i="4"/>
  <c r="N10" i="4" s="1"/>
  <c r="K11" i="4"/>
  <c r="N11" i="4" s="1"/>
  <c r="K12" i="4"/>
  <c r="N12" i="4" s="1"/>
  <c r="K13" i="4"/>
  <c r="N13" i="4" s="1"/>
  <c r="K14" i="4"/>
  <c r="N14" i="4" s="1"/>
  <c r="K15" i="4"/>
  <c r="N15" i="4" s="1"/>
  <c r="K16" i="4"/>
  <c r="N16" i="4" s="1"/>
  <c r="K17" i="4"/>
  <c r="N17" i="4" s="1"/>
  <c r="K18" i="4"/>
  <c r="N18" i="4" s="1"/>
  <c r="K19" i="4"/>
  <c r="N19" i="4" s="1"/>
  <c r="K20" i="4"/>
  <c r="N20" i="4" s="1"/>
  <c r="K21" i="4"/>
  <c r="N21" i="4" s="1"/>
  <c r="K22" i="4"/>
  <c r="N22" i="4" s="1"/>
  <c r="K23" i="4"/>
  <c r="N23" i="4" s="1"/>
  <c r="K24" i="4"/>
  <c r="N24" i="4" s="1"/>
  <c r="K25" i="4"/>
  <c r="N25" i="4" s="1"/>
  <c r="K26" i="4"/>
  <c r="N26" i="4" s="1"/>
  <c r="K27" i="4"/>
  <c r="N27" i="4" s="1"/>
  <c r="K28" i="4"/>
  <c r="N28" i="4" s="1"/>
  <c r="K29" i="4"/>
  <c r="N29" i="4" s="1"/>
  <c r="K30" i="4"/>
  <c r="N30" i="4" s="1"/>
  <c r="K31" i="4"/>
  <c r="N31" i="4" s="1"/>
  <c r="K32" i="4"/>
  <c r="N32" i="4" s="1"/>
  <c r="K33" i="4"/>
  <c r="N33" i="4" s="1"/>
  <c r="K34" i="4"/>
  <c r="N34" i="4" s="1"/>
  <c r="K35" i="4"/>
  <c r="N35" i="4" s="1"/>
  <c r="K36" i="4"/>
  <c r="N36" i="4" s="1"/>
  <c r="K37" i="4"/>
  <c r="N37" i="4" s="1"/>
  <c r="K38" i="4"/>
  <c r="N38" i="4" s="1"/>
  <c r="K39" i="4"/>
  <c r="N39" i="4" s="1"/>
  <c r="K40" i="4"/>
  <c r="N40" i="4" s="1"/>
  <c r="K41" i="4"/>
  <c r="N41" i="4" s="1"/>
  <c r="K42" i="4"/>
  <c r="N42" i="4" s="1"/>
  <c r="K43" i="4"/>
  <c r="N43" i="4" s="1"/>
  <c r="K44" i="4"/>
  <c r="N44" i="4" s="1"/>
  <c r="K45" i="4"/>
  <c r="N45" i="4" s="1"/>
  <c r="K46" i="4"/>
  <c r="N46" i="4" s="1"/>
  <c r="K47" i="4"/>
  <c r="N47" i="4" s="1"/>
  <c r="K48" i="4"/>
  <c r="N48" i="4" s="1"/>
  <c r="K49" i="4"/>
  <c r="N49" i="4" s="1"/>
  <c r="K50" i="4"/>
  <c r="N50" i="4" s="1"/>
  <c r="K51" i="4"/>
  <c r="N51" i="4" s="1"/>
  <c r="K52" i="4"/>
  <c r="N52" i="4" s="1"/>
  <c r="K53" i="4"/>
  <c r="N53" i="4" s="1"/>
  <c r="K54" i="4"/>
  <c r="N54" i="4" s="1"/>
  <c r="K55" i="4"/>
  <c r="N55" i="4" s="1"/>
  <c r="K56" i="4"/>
  <c r="N56" i="4" s="1"/>
  <c r="K57" i="4"/>
  <c r="N57" i="4" s="1"/>
  <c r="K58" i="4"/>
  <c r="N58" i="4" s="1"/>
  <c r="K59" i="4"/>
  <c r="N59" i="4" s="1"/>
  <c r="K60" i="4"/>
  <c r="N60" i="4" s="1"/>
  <c r="K61" i="4"/>
  <c r="N61" i="4" s="1"/>
  <c r="K62" i="4"/>
  <c r="N62" i="4" s="1"/>
  <c r="K63" i="4"/>
  <c r="N63" i="4" s="1"/>
  <c r="K64" i="4"/>
  <c r="N64" i="4" s="1"/>
  <c r="K65" i="4"/>
  <c r="N65" i="4" s="1"/>
  <c r="K66" i="4"/>
  <c r="N66" i="4" s="1"/>
  <c r="K67" i="4"/>
  <c r="N67" i="4" s="1"/>
  <c r="K68" i="4"/>
  <c r="N68" i="4" s="1"/>
  <c r="K69" i="4"/>
  <c r="N69" i="4" s="1"/>
  <c r="K70" i="4"/>
  <c r="N70" i="4" s="1"/>
  <c r="K71" i="4"/>
  <c r="N71" i="4" s="1"/>
  <c r="K72" i="4"/>
  <c r="N72" i="4" s="1"/>
  <c r="K73" i="4"/>
  <c r="N73" i="4" s="1"/>
  <c r="K74" i="4"/>
  <c r="N74" i="4" s="1"/>
  <c r="K75" i="4"/>
  <c r="N75" i="4" s="1"/>
  <c r="K76" i="4"/>
  <c r="N76" i="4" s="1"/>
  <c r="K77" i="4"/>
  <c r="N77" i="4" s="1"/>
  <c r="K78" i="4"/>
  <c r="N78" i="4" s="1"/>
  <c r="K79" i="4"/>
  <c r="N79" i="4" s="1"/>
  <c r="K80" i="4"/>
  <c r="N80" i="4" s="1"/>
  <c r="K81" i="4"/>
  <c r="N81" i="4" s="1"/>
  <c r="K82" i="4"/>
  <c r="N82" i="4" s="1"/>
  <c r="K83" i="4"/>
  <c r="N83" i="4" s="1"/>
  <c r="K84" i="4"/>
  <c r="N84" i="4" s="1"/>
  <c r="K85" i="4"/>
  <c r="N85" i="4" s="1"/>
  <c r="K86" i="4"/>
  <c r="N86" i="4" s="1"/>
  <c r="K87" i="4"/>
  <c r="N87" i="4" s="1"/>
  <c r="K88" i="4"/>
  <c r="N88" i="4" s="1"/>
  <c r="K89" i="4"/>
  <c r="N89" i="4" s="1"/>
  <c r="K90" i="4"/>
  <c r="N90" i="4" s="1"/>
  <c r="K91" i="4"/>
  <c r="N91" i="4" s="1"/>
  <c r="K92" i="4"/>
  <c r="N92" i="4" s="1"/>
  <c r="K93" i="4"/>
  <c r="N93" i="4" s="1"/>
  <c r="K94" i="4"/>
  <c r="N94" i="4" s="1"/>
  <c r="K95" i="4"/>
  <c r="N95" i="4" s="1"/>
  <c r="K96" i="4"/>
  <c r="N96" i="4" s="1"/>
  <c r="K97" i="4"/>
  <c r="N97" i="4" s="1"/>
  <c r="K98" i="4"/>
  <c r="N98" i="4" s="1"/>
  <c r="K99" i="4"/>
  <c r="N99" i="4" s="1"/>
  <c r="K100" i="4"/>
  <c r="N100" i="4" s="1"/>
  <c r="K101" i="4"/>
  <c r="N101" i="4" s="1"/>
  <c r="K102" i="4"/>
  <c r="N102" i="4" s="1"/>
  <c r="K103" i="4"/>
  <c r="N103" i="4" s="1"/>
  <c r="K104" i="4"/>
  <c r="N104" i="4" s="1"/>
  <c r="K105" i="4"/>
  <c r="N105" i="4" s="1"/>
  <c r="K106" i="4"/>
  <c r="N106" i="4" s="1"/>
  <c r="K107" i="4"/>
  <c r="N107" i="4" s="1"/>
  <c r="K108" i="4"/>
  <c r="N108" i="4" s="1"/>
  <c r="K109" i="4"/>
  <c r="N109" i="4" s="1"/>
  <c r="K110" i="4"/>
  <c r="N110" i="4" s="1"/>
  <c r="K111" i="4"/>
  <c r="N111" i="4" s="1"/>
  <c r="K112" i="4"/>
  <c r="N112" i="4" s="1"/>
  <c r="K113" i="4"/>
  <c r="N113" i="4" s="1"/>
  <c r="K114" i="4"/>
  <c r="N114" i="4" s="1"/>
  <c r="K115" i="4"/>
  <c r="N115" i="4" s="1"/>
  <c r="K116" i="4"/>
  <c r="N116" i="4" s="1"/>
  <c r="K117" i="4"/>
  <c r="N117" i="4" s="1"/>
  <c r="K118" i="4"/>
  <c r="N118" i="4" s="1"/>
  <c r="K119" i="4"/>
  <c r="N119" i="4" s="1"/>
  <c r="K120" i="4"/>
  <c r="N120" i="4" s="1"/>
  <c r="K121" i="4"/>
  <c r="N121" i="4" s="1"/>
  <c r="K122" i="4"/>
  <c r="N122" i="4" s="1"/>
  <c r="K123" i="4"/>
  <c r="N123" i="4" s="1"/>
  <c r="K124" i="4"/>
  <c r="N124" i="4" s="1"/>
  <c r="K125" i="4"/>
  <c r="N125" i="4" s="1"/>
  <c r="K126" i="4"/>
  <c r="N126" i="4" s="1"/>
  <c r="K127" i="4"/>
  <c r="N127" i="4" s="1"/>
  <c r="K128" i="4"/>
  <c r="N128" i="4" s="1"/>
  <c r="K129" i="4"/>
  <c r="N129" i="4" s="1"/>
  <c r="K130" i="4"/>
  <c r="N130" i="4" s="1"/>
  <c r="K131" i="4"/>
  <c r="N131" i="4" s="1"/>
  <c r="K132" i="4"/>
  <c r="N132" i="4" s="1"/>
  <c r="K133" i="4"/>
  <c r="N133" i="4" s="1"/>
  <c r="K134" i="4"/>
  <c r="N134" i="4" s="1"/>
  <c r="K135" i="4"/>
  <c r="N135" i="4" s="1"/>
  <c r="K136" i="4"/>
  <c r="N136" i="4" s="1"/>
  <c r="K137" i="4"/>
  <c r="N137" i="4" s="1"/>
  <c r="K138" i="4"/>
  <c r="N138" i="4" s="1"/>
  <c r="K139" i="4"/>
  <c r="N139" i="4" s="1"/>
  <c r="K140" i="4"/>
  <c r="N140" i="4" s="1"/>
  <c r="K141" i="4"/>
  <c r="N141" i="4" s="1"/>
  <c r="K142" i="4"/>
  <c r="N142" i="4" s="1"/>
  <c r="K143" i="4"/>
  <c r="N143" i="4" s="1"/>
  <c r="K144" i="4"/>
  <c r="N144" i="4" s="1"/>
  <c r="K145" i="4"/>
  <c r="N145" i="4" s="1"/>
  <c r="K146" i="4"/>
  <c r="N146" i="4" s="1"/>
  <c r="K147" i="4"/>
  <c r="N147" i="4" s="1"/>
  <c r="K148" i="4"/>
  <c r="N148" i="4" s="1"/>
  <c r="K149" i="4"/>
  <c r="N149" i="4" s="1"/>
  <c r="K150" i="4"/>
  <c r="N150" i="4" s="1"/>
  <c r="K151" i="4"/>
  <c r="N151" i="4" s="1"/>
  <c r="K152" i="4"/>
  <c r="N152" i="4" s="1"/>
  <c r="K153" i="4"/>
  <c r="N153" i="4" s="1"/>
  <c r="K154" i="4"/>
  <c r="N154" i="4" s="1"/>
  <c r="K155" i="4"/>
  <c r="N155" i="4" s="1"/>
  <c r="K156" i="4"/>
  <c r="N156" i="4" s="1"/>
  <c r="K157" i="4"/>
  <c r="N157" i="4" s="1"/>
  <c r="K158" i="4"/>
  <c r="N158" i="4" s="1"/>
  <c r="K159" i="4"/>
  <c r="N159" i="4" s="1"/>
  <c r="K160" i="4"/>
  <c r="N160" i="4" s="1"/>
  <c r="K161" i="4"/>
  <c r="N161" i="4" s="1"/>
  <c r="K162" i="4"/>
  <c r="N162" i="4" s="1"/>
  <c r="K163" i="4"/>
  <c r="N163" i="4" s="1"/>
  <c r="K164" i="4"/>
  <c r="N164" i="4" s="1"/>
  <c r="K165" i="4"/>
  <c r="N165" i="4" s="1"/>
  <c r="K166" i="4"/>
  <c r="N166" i="4" s="1"/>
  <c r="K167" i="4"/>
  <c r="N167" i="4" s="1"/>
  <c r="K168" i="4"/>
  <c r="N168" i="4" s="1"/>
  <c r="K169" i="4"/>
  <c r="N169" i="4" s="1"/>
  <c r="K170" i="4"/>
  <c r="N170" i="4" s="1"/>
  <c r="K171" i="4"/>
  <c r="N171" i="4" s="1"/>
  <c r="K172" i="4"/>
  <c r="N172" i="4" s="1"/>
  <c r="K173" i="4"/>
  <c r="N173" i="4" s="1"/>
  <c r="K174" i="4"/>
  <c r="N174" i="4" s="1"/>
  <c r="K175" i="4"/>
  <c r="N175" i="4" s="1"/>
  <c r="K176" i="4"/>
  <c r="N176" i="4" s="1"/>
  <c r="K177" i="4"/>
  <c r="N177" i="4" s="1"/>
  <c r="K178" i="4"/>
  <c r="N178" i="4" s="1"/>
  <c r="K179" i="4"/>
  <c r="N179" i="4" s="1"/>
  <c r="K180" i="4"/>
  <c r="N180" i="4" s="1"/>
  <c r="K181" i="4"/>
  <c r="N181" i="4" s="1"/>
  <c r="K182" i="4"/>
  <c r="N182" i="4" s="1"/>
  <c r="K183" i="4"/>
  <c r="N183" i="4" s="1"/>
  <c r="K184" i="4"/>
  <c r="N184" i="4" s="1"/>
  <c r="K185" i="4"/>
  <c r="N185" i="4" s="1"/>
  <c r="K186" i="4"/>
  <c r="N186" i="4" s="1"/>
  <c r="K187" i="4"/>
  <c r="N187" i="4" s="1"/>
  <c r="K188" i="4"/>
  <c r="N188" i="4" s="1"/>
  <c r="K189" i="4"/>
  <c r="N189" i="4" s="1"/>
  <c r="K190" i="4"/>
  <c r="N190" i="4" s="1"/>
  <c r="K191" i="4"/>
  <c r="N191" i="4" s="1"/>
  <c r="K192" i="4"/>
  <c r="N192" i="4" s="1"/>
  <c r="K193" i="4"/>
  <c r="N193" i="4" s="1"/>
  <c r="K194" i="4"/>
  <c r="N194" i="4" s="1"/>
  <c r="K195" i="4"/>
  <c r="N195" i="4" s="1"/>
  <c r="K196" i="4"/>
  <c r="N196" i="4" s="1"/>
  <c r="K197" i="4"/>
  <c r="N197" i="4" s="1"/>
  <c r="K198" i="4"/>
  <c r="N198" i="4" s="1"/>
  <c r="K199" i="4"/>
  <c r="N199" i="4" s="1"/>
  <c r="K200" i="4"/>
  <c r="N200" i="4" s="1"/>
  <c r="K201" i="4"/>
  <c r="N201" i="4" s="1"/>
  <c r="K202" i="4"/>
  <c r="N202" i="4" s="1"/>
  <c r="K203" i="4"/>
  <c r="N203" i="4" s="1"/>
  <c r="K204" i="4"/>
  <c r="N204" i="4" s="1"/>
  <c r="K205" i="4"/>
  <c r="N205" i="4" s="1"/>
  <c r="K206" i="4"/>
  <c r="N206" i="4" s="1"/>
  <c r="K207" i="4"/>
  <c r="N207" i="4" s="1"/>
  <c r="K208" i="4"/>
  <c r="N208" i="4" s="1"/>
  <c r="K209" i="4"/>
  <c r="N209" i="4" s="1"/>
  <c r="K210" i="4"/>
  <c r="N210" i="4" s="1"/>
  <c r="K211" i="4"/>
  <c r="N211" i="4" s="1"/>
  <c r="K212" i="4"/>
  <c r="N212" i="4" s="1"/>
  <c r="K213" i="4"/>
  <c r="N213" i="4" s="1"/>
  <c r="K214" i="4"/>
  <c r="N214" i="4" s="1"/>
  <c r="K215" i="4"/>
  <c r="N215" i="4" s="1"/>
  <c r="K216" i="4"/>
  <c r="N216" i="4" s="1"/>
  <c r="K217" i="4"/>
  <c r="N217" i="4" s="1"/>
  <c r="K218" i="4"/>
  <c r="N218" i="4" s="1"/>
  <c r="K219" i="4"/>
  <c r="N219" i="4" s="1"/>
  <c r="K220" i="4"/>
  <c r="N220" i="4" s="1"/>
  <c r="K221" i="4"/>
  <c r="N221" i="4" s="1"/>
  <c r="K222" i="4"/>
  <c r="N222" i="4" s="1"/>
  <c r="K223" i="4"/>
  <c r="N223" i="4" s="1"/>
  <c r="K224" i="4"/>
  <c r="N224" i="4" s="1"/>
  <c r="K225" i="4"/>
  <c r="N225" i="4" s="1"/>
  <c r="K226" i="4"/>
  <c r="N226" i="4" s="1"/>
  <c r="K227" i="4"/>
  <c r="N227" i="4" s="1"/>
  <c r="K228" i="4"/>
  <c r="N228" i="4" s="1"/>
  <c r="K229" i="4"/>
  <c r="N229" i="4" s="1"/>
  <c r="K230" i="4"/>
  <c r="N230" i="4" s="1"/>
  <c r="K231" i="4"/>
  <c r="N231" i="4" s="1"/>
  <c r="K232" i="4"/>
  <c r="N232" i="4" s="1"/>
  <c r="K233" i="4"/>
  <c r="N233" i="4" s="1"/>
  <c r="K234" i="4"/>
  <c r="N234" i="4" s="1"/>
  <c r="K235" i="4"/>
  <c r="N235" i="4" s="1"/>
  <c r="K236" i="4"/>
  <c r="N236" i="4" s="1"/>
  <c r="K237" i="4"/>
  <c r="N237" i="4" s="1"/>
  <c r="K238" i="4"/>
  <c r="N238" i="4" s="1"/>
  <c r="K239" i="4"/>
  <c r="N239" i="4" s="1"/>
  <c r="K240" i="4"/>
  <c r="N240" i="4" s="1"/>
  <c r="K241" i="4"/>
  <c r="N241" i="4" s="1"/>
  <c r="K242" i="4"/>
  <c r="N242" i="4" s="1"/>
  <c r="K243" i="4"/>
  <c r="N243" i="4" s="1"/>
  <c r="K244" i="4"/>
  <c r="N244" i="4" s="1"/>
  <c r="K245" i="4"/>
  <c r="N245" i="4" s="1"/>
  <c r="K246" i="4"/>
  <c r="N246" i="4" s="1"/>
  <c r="K247" i="4"/>
  <c r="N247" i="4" s="1"/>
  <c r="K248" i="4"/>
  <c r="N248" i="4" s="1"/>
  <c r="K249" i="4"/>
  <c r="N249" i="4" s="1"/>
  <c r="K250" i="4"/>
  <c r="N250" i="4" s="1"/>
  <c r="K251" i="4"/>
  <c r="N251" i="4" s="1"/>
  <c r="K252" i="4"/>
  <c r="N252" i="4" s="1"/>
  <c r="K253" i="4"/>
  <c r="N253" i="4" s="1"/>
  <c r="K254" i="4"/>
  <c r="N254" i="4" s="1"/>
  <c r="K255" i="4"/>
  <c r="N255" i="4" s="1"/>
  <c r="K256" i="4"/>
  <c r="N256" i="4" s="1"/>
  <c r="K257" i="4"/>
  <c r="N257" i="4" s="1"/>
  <c r="K258" i="4"/>
  <c r="N258" i="4" s="1"/>
  <c r="K259" i="4"/>
  <c r="N259" i="4" s="1"/>
  <c r="K260" i="4"/>
  <c r="N260" i="4" s="1"/>
  <c r="K261" i="4"/>
  <c r="N261" i="4" s="1"/>
  <c r="K262" i="4"/>
  <c r="N262" i="4" s="1"/>
  <c r="K263" i="4"/>
  <c r="N263" i="4" s="1"/>
  <c r="K264" i="4"/>
  <c r="N264" i="4" s="1"/>
  <c r="K265" i="4"/>
  <c r="N265" i="4" s="1"/>
  <c r="K266" i="4"/>
  <c r="N266" i="4" s="1"/>
  <c r="K267" i="4"/>
  <c r="N267" i="4" s="1"/>
  <c r="K268" i="4"/>
  <c r="N268" i="4" s="1"/>
  <c r="K269" i="4"/>
  <c r="N269" i="4" s="1"/>
  <c r="K270" i="4"/>
  <c r="N270" i="4" s="1"/>
  <c r="K271" i="4"/>
  <c r="N271" i="4" s="1"/>
  <c r="K272" i="4"/>
  <c r="N272" i="4" s="1"/>
  <c r="K273" i="4"/>
  <c r="N273" i="4" s="1"/>
  <c r="K274" i="4"/>
  <c r="N274" i="4" s="1"/>
  <c r="K275" i="4"/>
  <c r="N275" i="4" s="1"/>
  <c r="K276" i="4"/>
  <c r="N276" i="4" s="1"/>
  <c r="K277" i="4"/>
  <c r="N277" i="4" s="1"/>
  <c r="K278" i="4"/>
  <c r="N278" i="4" s="1"/>
  <c r="K279" i="4"/>
  <c r="N279" i="4" s="1"/>
  <c r="K280" i="4"/>
  <c r="N280" i="4" s="1"/>
  <c r="K281" i="4"/>
  <c r="N281" i="4" s="1"/>
  <c r="K282" i="4"/>
  <c r="N282" i="4" s="1"/>
  <c r="K283" i="4"/>
  <c r="N283" i="4" s="1"/>
  <c r="K284" i="4"/>
  <c r="N284" i="4" s="1"/>
  <c r="K285" i="4"/>
  <c r="N285" i="4" s="1"/>
  <c r="K286" i="4"/>
  <c r="N286" i="4" s="1"/>
  <c r="K287" i="4"/>
  <c r="N287" i="4" s="1"/>
  <c r="K288" i="4"/>
  <c r="N288" i="4" s="1"/>
  <c r="K289" i="4"/>
  <c r="N289" i="4" s="1"/>
  <c r="K290" i="4"/>
  <c r="N290" i="4" s="1"/>
  <c r="K291" i="4"/>
  <c r="N291" i="4" s="1"/>
  <c r="K292" i="4"/>
  <c r="N292" i="4" s="1"/>
  <c r="K293" i="4"/>
  <c r="N293" i="4" s="1"/>
  <c r="K294" i="4"/>
  <c r="N294" i="4" s="1"/>
  <c r="K295" i="4"/>
  <c r="N295" i="4" s="1"/>
  <c r="K296" i="4"/>
  <c r="N296" i="4" s="1"/>
  <c r="K297" i="4"/>
  <c r="N297" i="4" s="1"/>
  <c r="K298" i="4"/>
  <c r="N298" i="4" s="1"/>
  <c r="K299" i="4"/>
  <c r="N299" i="4" s="1"/>
  <c r="K300" i="4"/>
  <c r="N300" i="4" s="1"/>
  <c r="K301" i="4"/>
  <c r="N301" i="4" s="1"/>
  <c r="K302" i="4"/>
  <c r="N302" i="4" s="1"/>
  <c r="K303" i="4"/>
  <c r="N303" i="4" s="1"/>
  <c r="K304" i="4"/>
  <c r="N304" i="4" s="1"/>
  <c r="K305" i="4"/>
  <c r="N305" i="4" s="1"/>
  <c r="K306" i="4"/>
  <c r="N306" i="4" s="1"/>
  <c r="K307" i="4"/>
  <c r="N307" i="4" s="1"/>
  <c r="K308" i="4"/>
  <c r="N308" i="4" s="1"/>
  <c r="K309" i="4"/>
  <c r="N309" i="4" s="1"/>
  <c r="K310" i="4"/>
  <c r="N310" i="4" s="1"/>
  <c r="K311" i="4"/>
  <c r="N311" i="4" s="1"/>
  <c r="K312" i="4"/>
  <c r="N312" i="4" s="1"/>
  <c r="K313" i="4"/>
  <c r="N313" i="4" s="1"/>
  <c r="K314" i="4"/>
  <c r="N314" i="4" s="1"/>
  <c r="K315" i="4"/>
  <c r="N315" i="4" s="1"/>
  <c r="K316" i="4"/>
  <c r="N316" i="4" s="1"/>
  <c r="K317" i="4"/>
  <c r="N317" i="4" s="1"/>
  <c r="K318" i="4"/>
  <c r="N318" i="4" s="1"/>
  <c r="K319" i="4"/>
  <c r="N319" i="4" s="1"/>
  <c r="K320" i="4"/>
  <c r="N320" i="4" s="1"/>
  <c r="K321" i="4"/>
  <c r="N321" i="4" s="1"/>
  <c r="K322" i="4"/>
  <c r="N322" i="4" s="1"/>
  <c r="K323" i="4"/>
  <c r="N323" i="4" s="1"/>
  <c r="K324" i="4"/>
  <c r="N324" i="4" s="1"/>
  <c r="K325" i="4"/>
  <c r="N325" i="4" s="1"/>
  <c r="K326" i="4"/>
  <c r="N326" i="4" s="1"/>
  <c r="K327" i="4"/>
  <c r="N327" i="4" s="1"/>
  <c r="K328" i="4"/>
  <c r="N328" i="4" s="1"/>
  <c r="K329" i="4"/>
  <c r="N329" i="4" s="1"/>
  <c r="K330" i="4"/>
  <c r="N330" i="4" s="1"/>
  <c r="K331" i="4"/>
  <c r="N331" i="4" s="1"/>
  <c r="K332" i="4"/>
  <c r="N332" i="4" s="1"/>
  <c r="K333" i="4"/>
  <c r="N333" i="4" s="1"/>
  <c r="K334" i="4"/>
  <c r="N334" i="4" s="1"/>
  <c r="K335" i="4"/>
  <c r="N335" i="4" s="1"/>
  <c r="K336" i="4"/>
  <c r="N336" i="4" s="1"/>
  <c r="K337" i="4"/>
  <c r="N337" i="4" s="1"/>
  <c r="K338" i="4"/>
  <c r="N338" i="4" s="1"/>
  <c r="K339" i="4"/>
  <c r="N339" i="4" s="1"/>
  <c r="K340" i="4"/>
  <c r="N340" i="4" s="1"/>
  <c r="K341" i="4"/>
  <c r="N341" i="4" s="1"/>
  <c r="K342" i="4"/>
  <c r="N342" i="4" s="1"/>
  <c r="K343" i="4"/>
  <c r="N343" i="4" s="1"/>
  <c r="K344" i="4"/>
  <c r="N344" i="4" s="1"/>
  <c r="K345" i="4"/>
  <c r="N345" i="4" s="1"/>
  <c r="K346" i="4"/>
  <c r="N346" i="4" s="1"/>
  <c r="K347" i="4"/>
  <c r="N347" i="4" s="1"/>
  <c r="K348" i="4"/>
  <c r="N348" i="4" s="1"/>
  <c r="K349" i="4"/>
  <c r="N349" i="4" s="1"/>
  <c r="K350" i="4"/>
  <c r="N350" i="4" s="1"/>
  <c r="K351" i="4"/>
  <c r="N351" i="4" s="1"/>
  <c r="K352" i="4"/>
  <c r="N352" i="4" s="1"/>
  <c r="K353" i="4"/>
  <c r="N353" i="4" s="1"/>
  <c r="K354" i="4"/>
  <c r="N354" i="4" s="1"/>
  <c r="K355" i="4"/>
  <c r="N355" i="4" s="1"/>
  <c r="K356" i="4"/>
  <c r="N356" i="4" s="1"/>
  <c r="K357" i="4"/>
  <c r="N357" i="4" s="1"/>
  <c r="K358" i="4"/>
  <c r="N358" i="4" s="1"/>
  <c r="K359" i="4"/>
  <c r="N359" i="4" s="1"/>
  <c r="K360" i="4"/>
  <c r="N360" i="4" s="1"/>
  <c r="K361" i="4"/>
  <c r="N361" i="4" s="1"/>
  <c r="K362" i="4"/>
  <c r="N362" i="4" s="1"/>
  <c r="K363" i="4"/>
  <c r="N363" i="4" s="1"/>
  <c r="K364" i="4"/>
  <c r="N364" i="4" s="1"/>
  <c r="K365" i="4"/>
  <c r="N365" i="4" s="1"/>
  <c r="K366" i="4"/>
  <c r="N366" i="4" s="1"/>
  <c r="K367" i="4"/>
  <c r="N367" i="4" s="1"/>
  <c r="K368" i="4"/>
  <c r="N368" i="4" s="1"/>
  <c r="K369" i="4"/>
  <c r="N369" i="4" s="1"/>
  <c r="K370" i="4"/>
  <c r="N370" i="4" s="1"/>
  <c r="K371" i="4"/>
  <c r="N371" i="4" s="1"/>
  <c r="K372" i="4"/>
  <c r="N372" i="4" s="1"/>
  <c r="K373" i="4"/>
  <c r="N373" i="4" s="1"/>
  <c r="K374" i="4"/>
  <c r="N374" i="4" s="1"/>
  <c r="K375" i="4"/>
  <c r="N375" i="4" s="1"/>
  <c r="K376" i="4"/>
  <c r="N376" i="4" s="1"/>
  <c r="K377" i="4"/>
  <c r="N377" i="4" s="1"/>
  <c r="K378" i="4"/>
  <c r="N378" i="4" s="1"/>
  <c r="K379" i="4"/>
  <c r="N379" i="4" s="1"/>
  <c r="K380" i="4"/>
  <c r="N380" i="4" s="1"/>
  <c r="K381" i="4"/>
  <c r="N381" i="4" s="1"/>
  <c r="K382" i="4"/>
  <c r="N382" i="4" s="1"/>
  <c r="K383" i="4"/>
  <c r="N383" i="4" s="1"/>
  <c r="K384" i="4"/>
  <c r="N384" i="4" s="1"/>
  <c r="K385" i="4"/>
  <c r="N385" i="4" s="1"/>
  <c r="K386" i="4"/>
  <c r="N386" i="4" s="1"/>
  <c r="K387" i="4"/>
  <c r="N387" i="4" s="1"/>
  <c r="K388" i="4"/>
  <c r="N388" i="4" s="1"/>
  <c r="K389" i="4"/>
  <c r="N389" i="4" s="1"/>
  <c r="K390" i="4"/>
  <c r="N390" i="4" s="1"/>
  <c r="K391" i="4"/>
  <c r="N391" i="4" s="1"/>
  <c r="K392" i="4"/>
  <c r="N392" i="4" s="1"/>
  <c r="K393" i="4"/>
  <c r="N393" i="4" s="1"/>
  <c r="K394" i="4"/>
  <c r="N394" i="4" s="1"/>
  <c r="K395" i="4"/>
  <c r="N395" i="4" s="1"/>
  <c r="K396" i="4"/>
  <c r="N396" i="4" s="1"/>
  <c r="K397" i="4"/>
  <c r="N397" i="4" s="1"/>
  <c r="K398" i="4"/>
  <c r="N398" i="4" s="1"/>
  <c r="K399" i="4"/>
  <c r="N399" i="4" s="1"/>
  <c r="K400" i="4"/>
  <c r="N400" i="4" s="1"/>
  <c r="K401" i="4"/>
  <c r="N401" i="4" s="1"/>
  <c r="K402" i="4"/>
  <c r="N402" i="4" s="1"/>
  <c r="K403" i="4"/>
  <c r="N403" i="4" s="1"/>
  <c r="K404" i="4"/>
  <c r="N404" i="4" s="1"/>
  <c r="K405" i="4"/>
  <c r="N405" i="4" s="1"/>
  <c r="K406" i="4"/>
  <c r="N406" i="4" s="1"/>
  <c r="K407" i="4"/>
  <c r="N407" i="4" s="1"/>
  <c r="K408" i="4"/>
  <c r="N408" i="4" s="1"/>
  <c r="K409" i="4"/>
  <c r="N409" i="4" s="1"/>
  <c r="K410" i="4"/>
  <c r="N410" i="4" s="1"/>
  <c r="K411" i="4"/>
  <c r="N411" i="4" s="1"/>
  <c r="K412" i="4"/>
  <c r="N412" i="4" s="1"/>
  <c r="K413" i="4"/>
  <c r="N413" i="4" s="1"/>
  <c r="K414" i="4"/>
  <c r="N414" i="4" s="1"/>
  <c r="K415" i="4"/>
  <c r="N415" i="4" s="1"/>
  <c r="K416" i="4"/>
  <c r="N416" i="4" s="1"/>
  <c r="K417" i="4"/>
  <c r="N417" i="4" s="1"/>
  <c r="K418" i="4"/>
  <c r="N418" i="4" s="1"/>
  <c r="K419" i="4"/>
  <c r="N419" i="4" s="1"/>
  <c r="K420" i="4"/>
  <c r="N420" i="4" s="1"/>
  <c r="K421" i="4"/>
  <c r="N421" i="4" s="1"/>
  <c r="K422" i="4"/>
  <c r="N422" i="4" s="1"/>
  <c r="K423" i="4"/>
  <c r="N423" i="4" s="1"/>
  <c r="K424" i="4"/>
  <c r="N424" i="4" s="1"/>
  <c r="K425" i="4"/>
  <c r="N425" i="4" s="1"/>
  <c r="K426" i="4"/>
  <c r="N426" i="4" s="1"/>
  <c r="K427" i="4"/>
  <c r="N427" i="4" s="1"/>
  <c r="K428" i="4"/>
  <c r="N428" i="4" s="1"/>
  <c r="K429" i="4"/>
  <c r="N429" i="4" s="1"/>
  <c r="K430" i="4"/>
  <c r="N430" i="4" s="1"/>
  <c r="K431" i="4"/>
  <c r="N431" i="4" s="1"/>
  <c r="K432" i="4"/>
  <c r="N432" i="4" s="1"/>
  <c r="K433" i="4"/>
  <c r="N433" i="4" s="1"/>
  <c r="K434" i="4"/>
  <c r="N434" i="4" s="1"/>
  <c r="K435" i="4"/>
  <c r="N435" i="4" s="1"/>
  <c r="K436" i="4"/>
  <c r="N436" i="4" s="1"/>
  <c r="K437" i="4"/>
  <c r="N437" i="4" s="1"/>
  <c r="K438" i="4"/>
  <c r="N438" i="4" s="1"/>
  <c r="K439" i="4"/>
  <c r="N439" i="4" s="1"/>
  <c r="K440" i="4"/>
  <c r="N440" i="4" s="1"/>
  <c r="K441" i="4"/>
  <c r="N441" i="4" s="1"/>
  <c r="K442" i="4"/>
  <c r="N442" i="4" s="1"/>
  <c r="K443" i="4"/>
  <c r="N443" i="4" s="1"/>
  <c r="K444" i="4"/>
  <c r="N444" i="4" s="1"/>
  <c r="K445" i="4"/>
  <c r="N445" i="4" s="1"/>
  <c r="K446" i="4"/>
  <c r="N446" i="4" s="1"/>
  <c r="K447" i="4"/>
  <c r="N447" i="4" s="1"/>
  <c r="K448" i="4"/>
  <c r="N448" i="4" s="1"/>
  <c r="K449" i="4"/>
  <c r="N449" i="4" s="1"/>
  <c r="K450" i="4"/>
  <c r="N450" i="4" s="1"/>
  <c r="K451" i="4"/>
  <c r="N451" i="4" s="1"/>
  <c r="K452" i="4"/>
  <c r="N452" i="4" s="1"/>
  <c r="K453" i="4"/>
  <c r="N453" i="4" s="1"/>
  <c r="K454" i="4"/>
  <c r="N454" i="4" s="1"/>
  <c r="K455" i="4"/>
  <c r="N455" i="4" s="1"/>
  <c r="K456" i="4"/>
  <c r="N456" i="4" s="1"/>
  <c r="K457" i="4"/>
  <c r="N457" i="4" s="1"/>
  <c r="K458" i="4"/>
  <c r="N458" i="4" s="1"/>
  <c r="K459" i="4"/>
  <c r="N459" i="4" s="1"/>
  <c r="K460" i="4"/>
  <c r="N460" i="4" s="1"/>
  <c r="K461" i="4"/>
  <c r="N461" i="4" s="1"/>
  <c r="K462" i="4"/>
  <c r="N462" i="4" s="1"/>
  <c r="K463" i="4"/>
  <c r="N463" i="4" s="1"/>
  <c r="K464" i="4"/>
  <c r="N464" i="4" s="1"/>
  <c r="K465" i="4"/>
  <c r="N465" i="4" s="1"/>
  <c r="K466" i="4"/>
  <c r="N466" i="4" s="1"/>
  <c r="K467" i="4"/>
  <c r="N467" i="4" s="1"/>
  <c r="K468" i="4"/>
  <c r="N468" i="4" s="1"/>
  <c r="K469" i="4"/>
  <c r="N469" i="4" s="1"/>
  <c r="K470" i="4"/>
  <c r="N470" i="4" s="1"/>
  <c r="K471" i="4"/>
  <c r="N471" i="4" s="1"/>
  <c r="K472" i="4"/>
  <c r="N472" i="4" s="1"/>
  <c r="K473" i="4"/>
  <c r="N473" i="4" s="1"/>
  <c r="K474" i="4"/>
  <c r="N474" i="4" s="1"/>
  <c r="K475" i="4"/>
  <c r="N475" i="4" s="1"/>
  <c r="K476" i="4"/>
  <c r="N476" i="4" s="1"/>
  <c r="K477" i="4"/>
  <c r="N477" i="4" s="1"/>
  <c r="K478" i="4"/>
  <c r="N478" i="4" s="1"/>
  <c r="K479" i="4"/>
  <c r="N479" i="4" s="1"/>
  <c r="K480" i="4"/>
  <c r="N480" i="4" s="1"/>
  <c r="K481" i="4"/>
  <c r="N481" i="4" s="1"/>
  <c r="K482" i="4"/>
  <c r="N482" i="4" s="1"/>
  <c r="K483" i="4"/>
  <c r="N483" i="4" s="1"/>
  <c r="K484" i="4"/>
  <c r="N484" i="4" s="1"/>
  <c r="K485" i="4"/>
  <c r="N485" i="4" s="1"/>
  <c r="K486" i="4"/>
  <c r="N486" i="4" s="1"/>
  <c r="K487" i="4"/>
  <c r="N487" i="4" s="1"/>
  <c r="K488" i="4"/>
  <c r="N488" i="4" s="1"/>
  <c r="K489" i="4"/>
  <c r="N489" i="4" s="1"/>
  <c r="K490" i="4"/>
  <c r="N490" i="4" s="1"/>
  <c r="K491" i="4"/>
  <c r="N491" i="4" s="1"/>
  <c r="K492" i="4"/>
  <c r="N492" i="4" s="1"/>
  <c r="K493" i="4"/>
  <c r="N493" i="4" s="1"/>
  <c r="K494" i="4"/>
  <c r="N494" i="4" s="1"/>
  <c r="K495" i="4"/>
  <c r="N495" i="4" s="1"/>
  <c r="K496" i="4"/>
  <c r="N496" i="4" s="1"/>
  <c r="K497" i="4"/>
  <c r="N497" i="4" s="1"/>
  <c r="K498" i="4"/>
  <c r="N498" i="4" s="1"/>
  <c r="K499" i="4"/>
  <c r="N499" i="4" s="1"/>
  <c r="K500" i="4"/>
  <c r="N500" i="4" s="1"/>
  <c r="K501" i="4"/>
  <c r="N501" i="4" s="1"/>
  <c r="K502" i="4"/>
  <c r="N502" i="4" s="1"/>
  <c r="K503" i="4"/>
  <c r="N503" i="4" s="1"/>
  <c r="K504" i="4"/>
  <c r="N504" i="4" s="1"/>
  <c r="K505" i="4"/>
  <c r="N505" i="4" s="1"/>
  <c r="K506" i="4"/>
  <c r="N506" i="4" s="1"/>
  <c r="K507" i="4"/>
  <c r="N507" i="4" s="1"/>
  <c r="K508" i="4"/>
  <c r="N508" i="4" s="1"/>
  <c r="K509" i="4"/>
  <c r="N509" i="4" s="1"/>
  <c r="K510" i="4"/>
  <c r="N510" i="4" s="1"/>
  <c r="K511" i="4"/>
  <c r="N511" i="4" s="1"/>
  <c r="K512" i="4"/>
  <c r="N512" i="4" s="1"/>
  <c r="K513" i="4"/>
  <c r="N513" i="4" s="1"/>
  <c r="K514" i="4"/>
  <c r="N514" i="4" s="1"/>
  <c r="K515" i="4"/>
  <c r="N515" i="4" s="1"/>
  <c r="K516" i="4"/>
  <c r="N516" i="4" s="1"/>
  <c r="K517" i="4"/>
  <c r="N517" i="4" s="1"/>
  <c r="K518" i="4"/>
  <c r="N518" i="4" s="1"/>
  <c r="K519" i="4"/>
  <c r="N519" i="4" s="1"/>
  <c r="K520" i="4"/>
  <c r="N520" i="4" s="1"/>
  <c r="K521" i="4"/>
  <c r="N521" i="4" s="1"/>
  <c r="K522" i="4"/>
  <c r="N522" i="4" s="1"/>
  <c r="K523" i="4"/>
  <c r="N523" i="4" s="1"/>
  <c r="K524" i="4"/>
  <c r="N524" i="4" s="1"/>
  <c r="K525" i="4"/>
  <c r="N525" i="4" s="1"/>
  <c r="K526" i="4"/>
  <c r="N526" i="4" s="1"/>
  <c r="K527" i="4"/>
  <c r="N527" i="4" s="1"/>
  <c r="K528" i="4"/>
  <c r="N528" i="4" s="1"/>
  <c r="K529" i="4"/>
  <c r="N529" i="4" s="1"/>
  <c r="K530" i="4"/>
  <c r="N530" i="4" s="1"/>
  <c r="K531" i="4"/>
  <c r="N531" i="4" s="1"/>
  <c r="K532" i="4"/>
  <c r="N532" i="4" s="1"/>
  <c r="K533" i="4"/>
  <c r="N533" i="4" s="1"/>
  <c r="K534" i="4"/>
  <c r="N534" i="4" s="1"/>
  <c r="K535" i="4"/>
  <c r="N535" i="4" s="1"/>
  <c r="K536" i="4"/>
  <c r="N536" i="4" s="1"/>
  <c r="K537" i="4"/>
  <c r="N537" i="4" s="1"/>
  <c r="K538" i="4"/>
  <c r="N538" i="4" s="1"/>
  <c r="K539" i="4"/>
  <c r="N539" i="4" s="1"/>
  <c r="K540" i="4"/>
  <c r="N540" i="4" s="1"/>
  <c r="K541" i="4"/>
  <c r="N541" i="4" s="1"/>
  <c r="K542" i="4"/>
  <c r="N542" i="4" s="1"/>
  <c r="K543" i="4"/>
  <c r="N543" i="4" s="1"/>
  <c r="K544" i="4"/>
  <c r="N544" i="4" s="1"/>
  <c r="K545" i="4"/>
  <c r="N545" i="4" s="1"/>
  <c r="K546" i="4"/>
  <c r="N546" i="4" s="1"/>
  <c r="K547" i="4"/>
  <c r="N547" i="4" s="1"/>
  <c r="K548" i="4"/>
  <c r="N548" i="4" s="1"/>
  <c r="K549" i="4"/>
  <c r="N549" i="4" s="1"/>
  <c r="K550" i="4"/>
  <c r="N550" i="4" s="1"/>
  <c r="K551" i="4"/>
  <c r="N551" i="4" s="1"/>
  <c r="K552" i="4"/>
  <c r="N552" i="4" s="1"/>
  <c r="K553" i="4"/>
  <c r="N553" i="4" s="1"/>
  <c r="K554" i="4"/>
  <c r="N554" i="4" s="1"/>
  <c r="K555" i="4"/>
  <c r="N555" i="4" s="1"/>
  <c r="K556" i="4"/>
  <c r="N556" i="4" s="1"/>
  <c r="K557" i="4"/>
  <c r="N557" i="4" s="1"/>
  <c r="K558" i="4"/>
  <c r="N558" i="4" s="1"/>
  <c r="K559" i="4"/>
  <c r="N559" i="4" s="1"/>
  <c r="K560" i="4"/>
  <c r="N560" i="4" s="1"/>
  <c r="K561" i="4"/>
  <c r="N561" i="4" s="1"/>
  <c r="K562" i="4"/>
  <c r="N562" i="4" s="1"/>
  <c r="K563" i="4"/>
  <c r="N563" i="4" s="1"/>
  <c r="K564" i="4"/>
  <c r="N564" i="4" s="1"/>
  <c r="K565" i="4"/>
  <c r="N565" i="4" s="1"/>
  <c r="K566" i="4"/>
  <c r="N566" i="4" s="1"/>
  <c r="K567" i="4"/>
  <c r="N567" i="4" s="1"/>
  <c r="K568" i="4"/>
  <c r="N568" i="4" s="1"/>
  <c r="K569" i="4"/>
  <c r="N569" i="4" s="1"/>
  <c r="K570" i="4"/>
  <c r="N570" i="4" s="1"/>
  <c r="K571" i="4"/>
  <c r="N571" i="4" s="1"/>
  <c r="K572" i="4"/>
  <c r="N572" i="4" s="1"/>
  <c r="K573" i="4"/>
  <c r="N573" i="4" s="1"/>
  <c r="K574" i="4"/>
  <c r="N574" i="4" s="1"/>
  <c r="K575" i="4"/>
  <c r="N575" i="4" s="1"/>
  <c r="K576" i="4"/>
  <c r="N576" i="4" s="1"/>
  <c r="K577" i="4"/>
  <c r="N577" i="4" s="1"/>
  <c r="K578" i="4"/>
  <c r="N578" i="4" s="1"/>
  <c r="K579" i="4"/>
  <c r="N579" i="4" s="1"/>
  <c r="K580" i="4"/>
  <c r="N580" i="4" s="1"/>
  <c r="K581" i="4"/>
  <c r="N581" i="4" s="1"/>
  <c r="K582" i="4"/>
  <c r="N582" i="4" s="1"/>
  <c r="K583" i="4"/>
  <c r="N583" i="4" s="1"/>
  <c r="K584" i="4"/>
  <c r="N584" i="4" s="1"/>
  <c r="K585" i="4"/>
  <c r="N585" i="4" s="1"/>
  <c r="K586" i="4"/>
  <c r="N586" i="4" s="1"/>
  <c r="K587" i="4"/>
  <c r="N587" i="4" s="1"/>
  <c r="K588" i="4"/>
  <c r="N588" i="4" s="1"/>
  <c r="K589" i="4"/>
  <c r="N589" i="4" s="1"/>
  <c r="K590" i="4"/>
  <c r="N590" i="4" s="1"/>
  <c r="K591" i="4"/>
  <c r="N591" i="4" s="1"/>
  <c r="K592" i="4"/>
  <c r="N592" i="4" s="1"/>
  <c r="K593" i="4"/>
  <c r="N593" i="4" s="1"/>
  <c r="K594" i="4"/>
  <c r="N594" i="4" s="1"/>
  <c r="K595" i="4"/>
  <c r="N595" i="4" s="1"/>
  <c r="K596" i="4"/>
  <c r="N596" i="4" s="1"/>
  <c r="K597" i="4"/>
  <c r="N597" i="4" s="1"/>
  <c r="K598" i="4"/>
  <c r="N598" i="4" s="1"/>
  <c r="K599" i="4"/>
  <c r="N599" i="4" s="1"/>
  <c r="K600" i="4"/>
  <c r="N600" i="4" s="1"/>
  <c r="K601" i="4"/>
  <c r="N601" i="4" s="1"/>
  <c r="K602" i="4"/>
  <c r="N602" i="4" s="1"/>
  <c r="K603" i="4"/>
  <c r="N603" i="4" s="1"/>
  <c r="K604" i="4"/>
  <c r="N604" i="4" s="1"/>
  <c r="K605" i="4"/>
  <c r="N605" i="4" s="1"/>
  <c r="K606" i="4"/>
  <c r="N606" i="4" s="1"/>
  <c r="K607" i="4"/>
  <c r="N607" i="4" s="1"/>
  <c r="K608" i="4"/>
  <c r="N608" i="4" s="1"/>
  <c r="K609" i="4"/>
  <c r="N609" i="4" s="1"/>
  <c r="K610" i="4"/>
  <c r="N610" i="4" s="1"/>
  <c r="K611" i="4"/>
  <c r="N611" i="4" s="1"/>
  <c r="K612" i="4"/>
  <c r="N612" i="4" s="1"/>
  <c r="K613" i="4"/>
  <c r="N613" i="4" s="1"/>
  <c r="K614" i="4"/>
  <c r="N614" i="4" s="1"/>
  <c r="K615" i="4"/>
  <c r="N615" i="4" s="1"/>
  <c r="K616" i="4"/>
  <c r="N616" i="4" s="1"/>
  <c r="K617" i="4"/>
  <c r="N617" i="4" s="1"/>
  <c r="K618" i="4"/>
  <c r="N618" i="4" s="1"/>
  <c r="K619" i="4"/>
  <c r="N619" i="4" s="1"/>
  <c r="K620" i="4"/>
  <c r="N620" i="4" s="1"/>
  <c r="K621" i="4"/>
  <c r="N621" i="4" s="1"/>
  <c r="K622" i="4"/>
  <c r="N622" i="4" s="1"/>
  <c r="K623" i="4"/>
  <c r="N623" i="4" s="1"/>
  <c r="K624" i="4"/>
  <c r="N624" i="4" s="1"/>
  <c r="K625" i="4"/>
  <c r="N625" i="4" s="1"/>
  <c r="K626" i="4"/>
  <c r="N626" i="4" s="1"/>
  <c r="K627" i="4"/>
  <c r="N627" i="4" s="1"/>
  <c r="K628" i="4"/>
  <c r="N628" i="4" s="1"/>
  <c r="K629" i="4"/>
  <c r="N629" i="4" s="1"/>
  <c r="K630" i="4"/>
  <c r="N630" i="4" s="1"/>
  <c r="K631" i="4"/>
  <c r="N631" i="4" s="1"/>
  <c r="K632" i="4"/>
  <c r="N632" i="4" s="1"/>
  <c r="K633" i="4"/>
  <c r="N633" i="4" s="1"/>
  <c r="K634" i="4"/>
  <c r="N634" i="4" s="1"/>
  <c r="K635" i="4"/>
  <c r="N635" i="4" s="1"/>
  <c r="K636" i="4"/>
  <c r="N636" i="4" s="1"/>
  <c r="K637" i="4"/>
  <c r="N637" i="4" s="1"/>
  <c r="K638" i="4"/>
  <c r="N638" i="4" s="1"/>
  <c r="K639" i="4"/>
  <c r="N639" i="4" s="1"/>
  <c r="K640" i="4"/>
  <c r="N640" i="4" s="1"/>
  <c r="K641" i="4"/>
  <c r="N641" i="4" s="1"/>
  <c r="K642" i="4"/>
  <c r="N642" i="4" s="1"/>
  <c r="K643" i="4"/>
  <c r="N643" i="4" s="1"/>
  <c r="K644" i="4"/>
  <c r="N644" i="4" s="1"/>
  <c r="K645" i="4"/>
  <c r="N645" i="4" s="1"/>
  <c r="K646" i="4"/>
  <c r="N646" i="4" s="1"/>
  <c r="K647" i="4"/>
  <c r="N647" i="4" s="1"/>
  <c r="K648" i="4"/>
  <c r="N648" i="4" s="1"/>
  <c r="K649" i="4"/>
  <c r="N649" i="4" s="1"/>
  <c r="K650" i="4"/>
  <c r="N650" i="4" s="1"/>
  <c r="K651" i="4"/>
  <c r="N651" i="4" s="1"/>
  <c r="K652" i="4"/>
  <c r="N652" i="4" s="1"/>
  <c r="K653" i="4"/>
  <c r="N653" i="4" s="1"/>
  <c r="K654" i="4"/>
  <c r="N654" i="4" s="1"/>
  <c r="K655" i="4"/>
  <c r="N655" i="4" s="1"/>
  <c r="K656" i="4"/>
  <c r="N656" i="4" s="1"/>
  <c r="K657" i="4"/>
  <c r="N657" i="4" s="1"/>
  <c r="K658" i="4"/>
  <c r="N658" i="4" s="1"/>
  <c r="K659" i="4"/>
  <c r="N659" i="4" s="1"/>
  <c r="K660" i="4"/>
  <c r="N660" i="4" s="1"/>
  <c r="K661" i="4"/>
  <c r="N661" i="4" s="1"/>
  <c r="K662" i="4"/>
  <c r="N662" i="4" s="1"/>
  <c r="K663" i="4"/>
  <c r="N663" i="4" s="1"/>
  <c r="K664" i="4"/>
  <c r="N664" i="4" s="1"/>
  <c r="K665" i="4"/>
  <c r="N665" i="4" s="1"/>
  <c r="K666" i="4"/>
  <c r="N666" i="4" s="1"/>
  <c r="K667" i="4"/>
  <c r="N667" i="4" s="1"/>
  <c r="K668" i="4"/>
  <c r="N668" i="4" s="1"/>
  <c r="K669" i="4"/>
  <c r="N669" i="4" s="1"/>
  <c r="K670" i="4"/>
  <c r="N670" i="4" s="1"/>
  <c r="K671" i="4"/>
  <c r="N671" i="4" s="1"/>
  <c r="K672" i="4"/>
  <c r="N672" i="4" s="1"/>
  <c r="K673" i="4"/>
  <c r="N673" i="4" s="1"/>
  <c r="K674" i="4"/>
  <c r="N674" i="4" s="1"/>
  <c r="K675" i="4"/>
  <c r="N675" i="4" s="1"/>
  <c r="K676" i="4"/>
  <c r="N676" i="4" s="1"/>
  <c r="K677" i="4"/>
  <c r="N677" i="4" s="1"/>
  <c r="K678" i="4"/>
  <c r="N678" i="4" s="1"/>
  <c r="K679" i="4"/>
  <c r="N679" i="4" s="1"/>
  <c r="K680" i="4"/>
  <c r="N680" i="4" s="1"/>
  <c r="K681" i="4"/>
  <c r="N681" i="4" s="1"/>
  <c r="K682" i="4"/>
  <c r="N682" i="4" s="1"/>
  <c r="K683" i="4"/>
  <c r="N683" i="4" s="1"/>
  <c r="K684" i="4"/>
  <c r="N684" i="4" s="1"/>
  <c r="K685" i="4"/>
  <c r="N685" i="4" s="1"/>
  <c r="K686" i="4"/>
  <c r="N686" i="4" s="1"/>
  <c r="K687" i="4"/>
  <c r="N687" i="4" s="1"/>
  <c r="K688" i="4"/>
  <c r="N688" i="4" s="1"/>
  <c r="K689" i="4"/>
  <c r="N689" i="4" s="1"/>
  <c r="K690" i="4"/>
  <c r="N690" i="4" s="1"/>
  <c r="K691" i="4"/>
  <c r="N691" i="4" s="1"/>
  <c r="K692" i="4"/>
  <c r="N692" i="4" s="1"/>
  <c r="K693" i="4"/>
  <c r="N693" i="4" s="1"/>
  <c r="K694" i="4"/>
  <c r="N694" i="4" s="1"/>
  <c r="K695" i="4"/>
  <c r="N695" i="4" s="1"/>
  <c r="K696" i="4"/>
  <c r="N696" i="4" s="1"/>
  <c r="K697" i="4"/>
  <c r="N697" i="4" s="1"/>
  <c r="K698" i="4"/>
  <c r="N698" i="4" s="1"/>
  <c r="K699" i="4"/>
  <c r="N699" i="4" s="1"/>
  <c r="K700" i="4"/>
  <c r="N700" i="4" s="1"/>
  <c r="K701" i="4"/>
  <c r="N701" i="4" s="1"/>
  <c r="K702" i="4"/>
  <c r="N702" i="4" s="1"/>
  <c r="K703" i="4"/>
  <c r="N703" i="4" s="1"/>
  <c r="K704" i="4"/>
  <c r="N704" i="4" s="1"/>
  <c r="K705" i="4"/>
  <c r="N705" i="4" s="1"/>
  <c r="K706" i="4"/>
  <c r="N706" i="4" s="1"/>
  <c r="K707" i="4"/>
  <c r="N707" i="4" s="1"/>
  <c r="K708" i="4"/>
  <c r="N708" i="4" s="1"/>
  <c r="K709" i="4"/>
  <c r="N709" i="4" s="1"/>
  <c r="K710" i="4"/>
  <c r="N710" i="4" s="1"/>
  <c r="K711" i="4"/>
  <c r="N711" i="4" s="1"/>
  <c r="K712" i="4"/>
  <c r="N712" i="4" s="1"/>
  <c r="K713" i="4"/>
  <c r="N713" i="4" s="1"/>
  <c r="K714" i="4"/>
  <c r="N714" i="4" s="1"/>
  <c r="K715" i="4"/>
  <c r="N715" i="4" s="1"/>
  <c r="K716" i="4"/>
  <c r="N716" i="4" s="1"/>
  <c r="K717" i="4"/>
  <c r="N717" i="4" s="1"/>
  <c r="K718" i="4"/>
  <c r="N718" i="4" s="1"/>
  <c r="K719" i="4"/>
  <c r="N719" i="4" s="1"/>
  <c r="K720" i="4"/>
  <c r="N720" i="4" s="1"/>
  <c r="K721" i="4"/>
  <c r="N721" i="4" s="1"/>
  <c r="K722" i="4"/>
  <c r="N722" i="4" s="1"/>
  <c r="K723" i="4"/>
  <c r="N723" i="4" s="1"/>
  <c r="K724" i="4"/>
  <c r="N724" i="4" s="1"/>
  <c r="K725" i="4"/>
  <c r="N725" i="4" s="1"/>
  <c r="K726" i="4"/>
  <c r="N726" i="4" s="1"/>
  <c r="K727" i="4"/>
  <c r="N727" i="4" s="1"/>
  <c r="K728" i="4"/>
  <c r="N728" i="4" s="1"/>
  <c r="K729" i="4"/>
  <c r="N729" i="4" s="1"/>
  <c r="K730" i="4"/>
  <c r="N730" i="4" s="1"/>
  <c r="K731" i="4"/>
  <c r="N731" i="4" s="1"/>
  <c r="K732" i="4"/>
  <c r="N732" i="4" s="1"/>
  <c r="K733" i="4"/>
  <c r="N733" i="4" s="1"/>
  <c r="K734" i="4"/>
  <c r="N734" i="4" s="1"/>
  <c r="K735" i="4"/>
  <c r="N735" i="4" s="1"/>
  <c r="K736" i="4"/>
  <c r="N736" i="4" s="1"/>
  <c r="K737" i="4"/>
  <c r="N737" i="4" s="1"/>
  <c r="K738" i="4"/>
  <c r="N738" i="4" s="1"/>
  <c r="K739" i="4"/>
  <c r="N739" i="4" s="1"/>
  <c r="K740" i="4"/>
  <c r="N740" i="4" s="1"/>
  <c r="K741" i="4"/>
  <c r="N741" i="4" s="1"/>
  <c r="K742" i="4"/>
  <c r="N742" i="4" s="1"/>
  <c r="K743" i="4"/>
  <c r="N743" i="4" s="1"/>
  <c r="K744" i="4"/>
  <c r="N744" i="4" s="1"/>
  <c r="K745" i="4"/>
  <c r="N745" i="4" s="1"/>
  <c r="K746" i="4"/>
  <c r="N746" i="4" s="1"/>
  <c r="K747" i="4"/>
  <c r="N747" i="4" s="1"/>
  <c r="K748" i="4"/>
  <c r="N748" i="4" s="1"/>
  <c r="K749" i="4"/>
  <c r="N749" i="4" s="1"/>
  <c r="K750" i="4"/>
  <c r="N750" i="4" s="1"/>
  <c r="K751" i="4"/>
  <c r="N751" i="4" s="1"/>
  <c r="K752" i="4"/>
  <c r="N752" i="4" s="1"/>
  <c r="K753" i="4"/>
  <c r="N753" i="4" s="1"/>
  <c r="K754" i="4"/>
  <c r="N754" i="4" s="1"/>
  <c r="K755" i="4"/>
  <c r="N755" i="4" s="1"/>
  <c r="K756" i="4"/>
  <c r="N756" i="4" s="1"/>
  <c r="K757" i="4"/>
  <c r="N757" i="4" s="1"/>
  <c r="K758" i="4"/>
  <c r="N758" i="4" s="1"/>
  <c r="K759" i="4"/>
  <c r="N759" i="4" s="1"/>
  <c r="K760" i="4"/>
  <c r="N760" i="4" s="1"/>
  <c r="K761" i="4"/>
  <c r="N761" i="4" s="1"/>
  <c r="K762" i="4"/>
  <c r="N762" i="4" s="1"/>
  <c r="K763" i="4"/>
  <c r="N763" i="4" s="1"/>
  <c r="K764" i="4"/>
  <c r="N764" i="4" s="1"/>
  <c r="K765" i="4"/>
  <c r="N765" i="4" s="1"/>
  <c r="K766" i="4"/>
  <c r="N766" i="4" s="1"/>
  <c r="K767" i="4"/>
  <c r="N767" i="4" s="1"/>
  <c r="K768" i="4"/>
  <c r="N768" i="4" s="1"/>
  <c r="K769" i="4"/>
  <c r="N769" i="4" s="1"/>
  <c r="K770" i="4"/>
  <c r="N770" i="4" s="1"/>
  <c r="K771" i="4"/>
  <c r="N771" i="4" s="1"/>
  <c r="K772" i="4"/>
  <c r="N772" i="4" s="1"/>
  <c r="K773" i="4"/>
  <c r="N773" i="4" s="1"/>
  <c r="K774" i="4"/>
  <c r="N774" i="4" s="1"/>
  <c r="K775" i="4"/>
  <c r="N775" i="4" s="1"/>
  <c r="K776" i="4"/>
  <c r="N776" i="4" s="1"/>
  <c r="K777" i="4"/>
  <c r="N777" i="4" s="1"/>
  <c r="K778" i="4"/>
  <c r="N778" i="4" s="1"/>
  <c r="K779" i="4"/>
  <c r="N779" i="4" s="1"/>
  <c r="K780" i="4"/>
  <c r="N780" i="4" s="1"/>
  <c r="K781" i="4"/>
  <c r="N781" i="4" s="1"/>
  <c r="K782" i="4"/>
  <c r="N782" i="4" s="1"/>
  <c r="K783" i="4"/>
  <c r="N783" i="4" s="1"/>
  <c r="K784" i="4"/>
  <c r="N784" i="4" s="1"/>
  <c r="K785" i="4"/>
  <c r="N785" i="4" s="1"/>
  <c r="K786" i="4"/>
  <c r="N786" i="4" s="1"/>
  <c r="K787" i="4"/>
  <c r="N787" i="4" s="1"/>
  <c r="K788" i="4"/>
  <c r="N788" i="4" s="1"/>
  <c r="K789" i="4"/>
  <c r="N789" i="4" s="1"/>
  <c r="K790" i="4"/>
  <c r="N790" i="4" s="1"/>
  <c r="K791" i="4"/>
  <c r="N791" i="4" s="1"/>
  <c r="K792" i="4"/>
  <c r="N792" i="4" s="1"/>
  <c r="K793" i="4"/>
  <c r="N793" i="4" s="1"/>
  <c r="K794" i="4"/>
  <c r="N794" i="4" s="1"/>
  <c r="K795" i="4"/>
  <c r="N795" i="4" s="1"/>
  <c r="K796" i="4"/>
  <c r="N796" i="4" s="1"/>
  <c r="K797" i="4"/>
  <c r="N797" i="4" s="1"/>
  <c r="K798" i="4"/>
  <c r="N798" i="4" s="1"/>
  <c r="K799" i="4"/>
  <c r="N799" i="4" s="1"/>
  <c r="K800" i="4"/>
  <c r="N800" i="4" s="1"/>
  <c r="K801" i="4"/>
  <c r="N801" i="4" s="1"/>
  <c r="K802" i="4"/>
  <c r="N802" i="4" s="1"/>
  <c r="K803" i="4"/>
  <c r="N803" i="4" s="1"/>
  <c r="K804" i="4"/>
  <c r="N804" i="4" s="1"/>
  <c r="K805" i="4"/>
  <c r="N805" i="4" s="1"/>
  <c r="K806" i="4"/>
  <c r="N806" i="4" s="1"/>
  <c r="K807" i="4"/>
  <c r="N807" i="4" s="1"/>
  <c r="K808" i="4"/>
  <c r="N808" i="4" s="1"/>
  <c r="K809" i="4"/>
  <c r="N809" i="4" s="1"/>
  <c r="K810" i="4"/>
  <c r="N810" i="4" s="1"/>
  <c r="K811" i="4"/>
  <c r="N811" i="4" s="1"/>
  <c r="K812" i="4"/>
  <c r="N812" i="4" s="1"/>
  <c r="K813" i="4"/>
  <c r="N813" i="4" s="1"/>
  <c r="K814" i="4"/>
  <c r="N814" i="4" s="1"/>
  <c r="K815" i="4"/>
  <c r="N815" i="4" s="1"/>
  <c r="K816" i="4"/>
  <c r="N816" i="4" s="1"/>
  <c r="K817" i="4"/>
  <c r="N817" i="4" s="1"/>
  <c r="K818" i="4"/>
  <c r="N818" i="4" s="1"/>
  <c r="K819" i="4"/>
  <c r="N819" i="4" s="1"/>
  <c r="K820" i="4"/>
  <c r="N820" i="4" s="1"/>
  <c r="K821" i="4"/>
  <c r="N821" i="4" s="1"/>
  <c r="K822" i="4"/>
  <c r="N822" i="4" s="1"/>
  <c r="K823" i="4"/>
  <c r="N823" i="4" s="1"/>
  <c r="K824" i="4"/>
  <c r="N824" i="4" s="1"/>
  <c r="K825" i="4"/>
  <c r="N825" i="4" s="1"/>
  <c r="K826" i="4"/>
  <c r="N826" i="4" s="1"/>
  <c r="K827" i="4"/>
  <c r="N827" i="4" s="1"/>
  <c r="K828" i="4"/>
  <c r="N828" i="4" s="1"/>
  <c r="K829" i="4"/>
  <c r="N829" i="4" s="1"/>
  <c r="K830" i="4"/>
  <c r="N830" i="4" s="1"/>
  <c r="K831" i="4"/>
  <c r="N831" i="4" s="1"/>
  <c r="K832" i="4"/>
  <c r="N832" i="4" s="1"/>
  <c r="K833" i="4"/>
  <c r="N833" i="4" s="1"/>
  <c r="K834" i="4"/>
  <c r="N834" i="4" s="1"/>
  <c r="K835" i="4"/>
  <c r="N835" i="4" s="1"/>
  <c r="K836" i="4"/>
  <c r="N836" i="4" s="1"/>
  <c r="K837" i="4"/>
  <c r="N837" i="4" s="1"/>
  <c r="K838" i="4"/>
  <c r="N838" i="4" s="1"/>
  <c r="K839" i="4"/>
  <c r="N839" i="4" s="1"/>
  <c r="K840" i="4"/>
  <c r="N840" i="4" s="1"/>
  <c r="K841" i="4"/>
  <c r="N841" i="4" s="1"/>
  <c r="K842" i="4"/>
  <c r="N842" i="4" s="1"/>
  <c r="K843" i="4"/>
  <c r="N843" i="4" s="1"/>
  <c r="K844" i="4"/>
  <c r="N844" i="4" s="1"/>
  <c r="K845" i="4"/>
  <c r="N845" i="4" s="1"/>
  <c r="K846" i="4"/>
  <c r="N846" i="4" s="1"/>
  <c r="K847" i="4"/>
  <c r="N847" i="4" s="1"/>
  <c r="K848" i="4"/>
  <c r="N848" i="4" s="1"/>
  <c r="K849" i="4"/>
  <c r="N849" i="4" s="1"/>
  <c r="K850" i="4"/>
  <c r="N850" i="4" s="1"/>
  <c r="K851" i="4"/>
  <c r="N851" i="4" s="1"/>
  <c r="K852" i="4"/>
  <c r="N852" i="4" s="1"/>
  <c r="K853" i="4"/>
  <c r="N853" i="4" s="1"/>
  <c r="K854" i="4"/>
  <c r="N854" i="4" s="1"/>
  <c r="K855" i="4"/>
  <c r="N855" i="4" s="1"/>
  <c r="K856" i="4"/>
  <c r="N856" i="4" s="1"/>
  <c r="K857" i="4"/>
  <c r="N857" i="4" s="1"/>
  <c r="K858" i="4"/>
  <c r="N858" i="4" s="1"/>
  <c r="K859" i="4"/>
  <c r="N859" i="4" s="1"/>
  <c r="K860" i="4"/>
  <c r="N860" i="4" s="1"/>
  <c r="K861" i="4"/>
  <c r="N861" i="4" s="1"/>
  <c r="K862" i="4"/>
  <c r="N862" i="4" s="1"/>
  <c r="K863" i="4"/>
  <c r="N863" i="4" s="1"/>
  <c r="K864" i="4"/>
  <c r="N864" i="4" s="1"/>
  <c r="K865" i="4"/>
  <c r="N865" i="4" s="1"/>
  <c r="K866" i="4"/>
  <c r="N866" i="4" s="1"/>
  <c r="K867" i="4"/>
  <c r="N867" i="4" s="1"/>
  <c r="K868" i="4"/>
  <c r="N868" i="4" s="1"/>
  <c r="K869" i="4"/>
  <c r="N869" i="4" s="1"/>
  <c r="K870" i="4"/>
  <c r="N870" i="4" s="1"/>
  <c r="K871" i="4"/>
  <c r="N871" i="4" s="1"/>
  <c r="K872" i="4"/>
  <c r="N872" i="4" s="1"/>
  <c r="K873" i="4"/>
  <c r="N873" i="4" s="1"/>
  <c r="K874" i="4"/>
  <c r="N874" i="4" s="1"/>
  <c r="K875" i="4"/>
  <c r="N875" i="4" s="1"/>
  <c r="K876" i="4"/>
  <c r="N876" i="4" s="1"/>
  <c r="K877" i="4"/>
  <c r="N877" i="4" s="1"/>
  <c r="K878" i="4"/>
  <c r="N878" i="4" s="1"/>
  <c r="K879" i="4"/>
  <c r="N879" i="4" s="1"/>
  <c r="K880" i="4"/>
  <c r="N880" i="4" s="1"/>
  <c r="K881" i="4"/>
  <c r="N881" i="4" s="1"/>
  <c r="K882" i="4"/>
  <c r="N882" i="4" s="1"/>
  <c r="K883" i="4"/>
  <c r="N883" i="4" s="1"/>
  <c r="K884" i="4"/>
  <c r="N884" i="4" s="1"/>
  <c r="K885" i="4"/>
  <c r="N885" i="4" s="1"/>
  <c r="K886" i="4"/>
  <c r="N886" i="4" s="1"/>
  <c r="K887" i="4"/>
  <c r="N887" i="4" s="1"/>
  <c r="K888" i="4"/>
  <c r="N888" i="4" s="1"/>
  <c r="K889" i="4"/>
  <c r="N889" i="4" s="1"/>
  <c r="K890" i="4"/>
  <c r="N890" i="4" s="1"/>
  <c r="K891" i="4"/>
  <c r="N891" i="4" s="1"/>
  <c r="K892" i="4"/>
  <c r="N892" i="4" s="1"/>
  <c r="K893" i="4"/>
  <c r="N893" i="4" s="1"/>
  <c r="K894" i="4"/>
  <c r="N894" i="4" s="1"/>
  <c r="K895" i="4"/>
  <c r="N895" i="4" s="1"/>
  <c r="K896" i="4"/>
  <c r="N896" i="4" s="1"/>
  <c r="K897" i="4"/>
  <c r="N897" i="4" s="1"/>
  <c r="K898" i="4"/>
  <c r="N898" i="4" s="1"/>
  <c r="K899" i="4"/>
  <c r="N899" i="4" s="1"/>
  <c r="K900" i="4"/>
  <c r="N900" i="4" s="1"/>
  <c r="K901" i="4"/>
  <c r="N901" i="4" s="1"/>
  <c r="K902" i="4"/>
  <c r="N902" i="4" s="1"/>
  <c r="K903" i="4"/>
  <c r="N903" i="4" s="1"/>
  <c r="K904" i="4"/>
  <c r="N904" i="4" s="1"/>
  <c r="K905" i="4"/>
  <c r="N905" i="4" s="1"/>
  <c r="K906" i="4"/>
  <c r="N906" i="4" s="1"/>
  <c r="K907" i="4"/>
  <c r="N907" i="4" s="1"/>
  <c r="K908" i="4"/>
  <c r="N908" i="4" s="1"/>
  <c r="K909" i="4"/>
  <c r="N909" i="4" s="1"/>
  <c r="K910" i="4"/>
  <c r="N910" i="4" s="1"/>
  <c r="K911" i="4"/>
  <c r="N911" i="4" s="1"/>
  <c r="K912" i="4"/>
  <c r="N912" i="4" s="1"/>
  <c r="K913" i="4"/>
  <c r="N913" i="4" s="1"/>
  <c r="K914" i="4"/>
  <c r="N914" i="4" s="1"/>
  <c r="K915" i="4"/>
  <c r="N915" i="4" s="1"/>
  <c r="K916" i="4"/>
  <c r="N916" i="4" s="1"/>
  <c r="K917" i="4"/>
  <c r="N917" i="4" s="1"/>
  <c r="K918" i="4"/>
  <c r="N918" i="4" s="1"/>
  <c r="K919" i="4"/>
  <c r="N919" i="4" s="1"/>
  <c r="K920" i="4"/>
  <c r="N920" i="4" s="1"/>
  <c r="K921" i="4"/>
  <c r="N921" i="4" s="1"/>
  <c r="K922" i="4"/>
  <c r="N922" i="4" s="1"/>
  <c r="K923" i="4"/>
  <c r="N923" i="4" s="1"/>
  <c r="K924" i="4"/>
  <c r="N924" i="4" s="1"/>
  <c r="K925" i="4"/>
  <c r="N925" i="4" s="1"/>
  <c r="K926" i="4"/>
  <c r="N926" i="4" s="1"/>
  <c r="K927" i="4"/>
  <c r="N927" i="4" s="1"/>
  <c r="K928" i="4"/>
  <c r="N928" i="4" s="1"/>
  <c r="K929" i="4"/>
  <c r="N929" i="4" s="1"/>
  <c r="K930" i="4"/>
  <c r="N930" i="4" s="1"/>
  <c r="K931" i="4"/>
  <c r="N931" i="4" s="1"/>
  <c r="K932" i="4"/>
  <c r="N932" i="4" s="1"/>
  <c r="K933" i="4"/>
  <c r="N933" i="4" s="1"/>
  <c r="K934" i="4"/>
  <c r="N934" i="4" s="1"/>
  <c r="K935" i="4"/>
  <c r="N935" i="4" s="1"/>
  <c r="K936" i="4"/>
  <c r="N936" i="4" s="1"/>
  <c r="K937" i="4"/>
  <c r="N937" i="4" s="1"/>
  <c r="K938" i="4"/>
  <c r="N938" i="4" s="1"/>
  <c r="K939" i="4"/>
  <c r="N939" i="4" s="1"/>
  <c r="K940" i="4"/>
  <c r="N940" i="4" s="1"/>
  <c r="K941" i="4"/>
  <c r="N941" i="4" s="1"/>
  <c r="K942" i="4"/>
  <c r="N942" i="4" s="1"/>
  <c r="K943" i="4"/>
  <c r="N943" i="4" s="1"/>
  <c r="K944" i="4"/>
  <c r="N944" i="4" s="1"/>
  <c r="K945" i="4"/>
  <c r="N945" i="4" s="1"/>
  <c r="K946" i="4"/>
  <c r="N946" i="4" s="1"/>
  <c r="K947" i="4"/>
  <c r="N947" i="4" s="1"/>
  <c r="K948" i="4"/>
  <c r="N948" i="4" s="1"/>
  <c r="K949" i="4"/>
  <c r="N949" i="4" s="1"/>
  <c r="K950" i="4"/>
  <c r="N950" i="4" s="1"/>
  <c r="K951" i="4"/>
  <c r="N951" i="4" s="1"/>
  <c r="K952" i="4"/>
  <c r="N952" i="4" s="1"/>
  <c r="K953" i="4"/>
  <c r="N953" i="4" s="1"/>
  <c r="K954" i="4"/>
  <c r="N954" i="4" s="1"/>
  <c r="K955" i="4"/>
  <c r="N955" i="4" s="1"/>
  <c r="K956" i="4"/>
  <c r="N956" i="4" s="1"/>
  <c r="K957" i="4"/>
  <c r="N957" i="4" s="1"/>
  <c r="K958" i="4"/>
  <c r="N958" i="4" s="1"/>
  <c r="K959" i="4"/>
  <c r="N959" i="4" s="1"/>
  <c r="K960" i="4"/>
  <c r="N960" i="4" s="1"/>
  <c r="K961" i="4"/>
  <c r="N961" i="4" s="1"/>
  <c r="K962" i="4"/>
  <c r="N962" i="4" s="1"/>
  <c r="K963" i="4"/>
  <c r="N963" i="4" s="1"/>
  <c r="K964" i="4"/>
  <c r="N964" i="4" s="1"/>
  <c r="K965" i="4"/>
  <c r="N965" i="4" s="1"/>
  <c r="K966" i="4"/>
  <c r="N966" i="4" s="1"/>
  <c r="K967" i="4"/>
  <c r="N967" i="4" s="1"/>
  <c r="K968" i="4"/>
  <c r="N968" i="4" s="1"/>
  <c r="K969" i="4"/>
  <c r="N969" i="4" s="1"/>
  <c r="K970" i="4"/>
  <c r="N970" i="4" s="1"/>
  <c r="K971" i="4"/>
  <c r="N971" i="4" s="1"/>
  <c r="K972" i="4"/>
  <c r="N972" i="4" s="1"/>
  <c r="K973" i="4"/>
  <c r="N973" i="4" s="1"/>
  <c r="K974" i="4"/>
  <c r="N974" i="4" s="1"/>
  <c r="K975" i="4"/>
  <c r="N975" i="4" s="1"/>
  <c r="K976" i="4"/>
  <c r="N976" i="4" s="1"/>
  <c r="K977" i="4"/>
  <c r="N977" i="4" s="1"/>
  <c r="K978" i="4"/>
  <c r="N978" i="4" s="1"/>
  <c r="K979" i="4"/>
  <c r="N979" i="4" s="1"/>
  <c r="K980" i="4"/>
  <c r="N980" i="4" s="1"/>
  <c r="K981" i="4"/>
  <c r="N981" i="4" s="1"/>
  <c r="K982" i="4"/>
  <c r="N982" i="4" s="1"/>
  <c r="K983" i="4"/>
  <c r="N983" i="4" s="1"/>
  <c r="K984" i="4"/>
  <c r="N984" i="4" s="1"/>
  <c r="K985" i="4"/>
  <c r="N985" i="4" s="1"/>
  <c r="K986" i="4"/>
  <c r="N986" i="4" s="1"/>
  <c r="K987" i="4"/>
  <c r="N987" i="4" s="1"/>
  <c r="K988" i="4"/>
  <c r="N988" i="4" s="1"/>
  <c r="K989" i="4"/>
  <c r="N989" i="4" s="1"/>
  <c r="K990" i="4"/>
  <c r="N990" i="4" s="1"/>
  <c r="K991" i="4"/>
  <c r="N991" i="4" s="1"/>
  <c r="K992" i="4"/>
  <c r="N992" i="4" s="1"/>
  <c r="K993" i="4"/>
  <c r="N993" i="4" s="1"/>
  <c r="K994" i="4"/>
  <c r="N994" i="4" s="1"/>
  <c r="K995" i="4"/>
  <c r="N995" i="4" s="1"/>
  <c r="K996" i="4"/>
  <c r="N996" i="4" s="1"/>
  <c r="K997" i="4"/>
  <c r="N997" i="4" s="1"/>
  <c r="K998" i="4"/>
  <c r="N998" i="4" s="1"/>
  <c r="K999" i="4"/>
  <c r="N999" i="4" s="1"/>
  <c r="K1000" i="4"/>
  <c r="N1000" i="4" s="1"/>
  <c r="K1001" i="4"/>
  <c r="N1001" i="4" s="1"/>
  <c r="N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2" i="4"/>
  <c r="O916" i="4" l="1"/>
  <c r="P916" i="4" s="1"/>
  <c r="O980" i="4"/>
  <c r="P980" i="4" s="1"/>
  <c r="O948" i="4"/>
  <c r="P948" i="4" s="1"/>
  <c r="O884" i="4"/>
  <c r="P884" i="4" s="1"/>
  <c r="O852" i="4"/>
  <c r="P852" i="4" s="1"/>
  <c r="O820" i="4"/>
  <c r="P820" i="4" s="1"/>
  <c r="O788" i="4"/>
  <c r="P788" i="4" s="1"/>
  <c r="O756" i="4"/>
  <c r="P756" i="4" s="1"/>
  <c r="O966" i="4"/>
  <c r="P966" i="4" s="1"/>
  <c r="O996" i="4"/>
  <c r="P996" i="4" s="1"/>
  <c r="O988" i="4"/>
  <c r="P988" i="4" s="1"/>
  <c r="O972" i="4"/>
  <c r="P972" i="4" s="1"/>
  <c r="O964" i="4"/>
  <c r="P964" i="4" s="1"/>
  <c r="O956" i="4"/>
  <c r="P956" i="4" s="1"/>
  <c r="O940" i="4"/>
  <c r="P940" i="4" s="1"/>
  <c r="O932" i="4"/>
  <c r="P932" i="4" s="1"/>
  <c r="O924" i="4"/>
  <c r="P924" i="4" s="1"/>
  <c r="O908" i="4"/>
  <c r="P908" i="4" s="1"/>
  <c r="O900" i="4"/>
  <c r="P900" i="4" s="1"/>
  <c r="O892" i="4"/>
  <c r="P892" i="4" s="1"/>
  <c r="O876" i="4"/>
  <c r="P876" i="4" s="1"/>
  <c r="O868" i="4"/>
  <c r="P868" i="4" s="1"/>
  <c r="O860" i="4"/>
  <c r="P860" i="4" s="1"/>
  <c r="O844" i="4"/>
  <c r="P844" i="4" s="1"/>
  <c r="O836" i="4"/>
  <c r="P836" i="4" s="1"/>
  <c r="O828" i="4"/>
  <c r="P828" i="4" s="1"/>
  <c r="O812" i="4"/>
  <c r="P812" i="4" s="1"/>
  <c r="O804" i="4"/>
  <c r="P804" i="4" s="1"/>
  <c r="O796" i="4"/>
  <c r="P796" i="4" s="1"/>
  <c r="O780" i="4"/>
  <c r="P780" i="4" s="1"/>
  <c r="O772" i="4"/>
  <c r="P772" i="4" s="1"/>
  <c r="O764" i="4"/>
  <c r="P764" i="4" s="1"/>
  <c r="O748" i="4"/>
  <c r="P748" i="4" s="1"/>
  <c r="O740" i="4"/>
  <c r="P740" i="4" s="1"/>
  <c r="O732" i="4"/>
  <c r="P732" i="4" s="1"/>
  <c r="O995" i="4"/>
  <c r="P995" i="4" s="1"/>
  <c r="O987" i="4"/>
  <c r="P987" i="4" s="1"/>
  <c r="O979" i="4"/>
  <c r="P979" i="4" s="1"/>
  <c r="O971" i="4"/>
  <c r="P971" i="4" s="1"/>
  <c r="O963" i="4"/>
  <c r="P963" i="4" s="1"/>
  <c r="O955" i="4"/>
  <c r="P955" i="4" s="1"/>
  <c r="O947" i="4"/>
  <c r="P947" i="4" s="1"/>
  <c r="O939" i="4"/>
  <c r="P939" i="4" s="1"/>
  <c r="O931" i="4"/>
  <c r="P931" i="4" s="1"/>
  <c r="O923" i="4"/>
  <c r="P923" i="4" s="1"/>
  <c r="O915" i="4"/>
  <c r="P915" i="4" s="1"/>
  <c r="O907" i="4"/>
  <c r="P907" i="4" s="1"/>
  <c r="O899" i="4"/>
  <c r="P899" i="4" s="1"/>
  <c r="O891" i="4"/>
  <c r="P891" i="4" s="1"/>
  <c r="O883" i="4"/>
  <c r="P883" i="4" s="1"/>
  <c r="O875" i="4"/>
  <c r="P875" i="4" s="1"/>
  <c r="O867" i="4"/>
  <c r="P867" i="4" s="1"/>
  <c r="O859" i="4"/>
  <c r="P859" i="4" s="1"/>
  <c r="O851" i="4"/>
  <c r="P851" i="4" s="1"/>
  <c r="O843" i="4"/>
  <c r="P843" i="4" s="1"/>
  <c r="O835" i="4"/>
  <c r="P835" i="4" s="1"/>
  <c r="O827" i="4"/>
  <c r="P827" i="4" s="1"/>
  <c r="O819" i="4"/>
  <c r="P819" i="4" s="1"/>
  <c r="O811" i="4"/>
  <c r="P811" i="4" s="1"/>
  <c r="O803" i="4"/>
  <c r="P803" i="4" s="1"/>
  <c r="O795" i="4"/>
  <c r="P795" i="4" s="1"/>
  <c r="O787" i="4"/>
  <c r="P787" i="4" s="1"/>
  <c r="O779" i="4"/>
  <c r="P779" i="4" s="1"/>
  <c r="O771" i="4"/>
  <c r="P771" i="4" s="1"/>
  <c r="O763" i="4"/>
  <c r="P763" i="4" s="1"/>
  <c r="O755" i="4"/>
  <c r="P755" i="4" s="1"/>
  <c r="O747" i="4"/>
  <c r="P747" i="4" s="1"/>
  <c r="O934" i="4"/>
  <c r="P934" i="4" s="1"/>
  <c r="O902" i="4"/>
  <c r="P902" i="4" s="1"/>
  <c r="O870" i="4"/>
  <c r="P870" i="4" s="1"/>
  <c r="O862" i="4"/>
  <c r="P862" i="4" s="1"/>
  <c r="O854" i="4"/>
  <c r="P854" i="4" s="1"/>
  <c r="O846" i="4"/>
  <c r="P846" i="4" s="1"/>
  <c r="O838" i="4"/>
  <c r="P838" i="4" s="1"/>
  <c r="O830" i="4"/>
  <c r="P830" i="4" s="1"/>
  <c r="O806" i="4"/>
  <c r="P806" i="4" s="1"/>
  <c r="O990" i="4"/>
  <c r="P990" i="4" s="1"/>
  <c r="O926" i="4"/>
  <c r="P926" i="4" s="1"/>
  <c r="O894" i="4"/>
  <c r="P894" i="4" s="1"/>
  <c r="O998" i="4"/>
  <c r="P998" i="4" s="1"/>
  <c r="O974" i="4"/>
  <c r="P974" i="4" s="1"/>
  <c r="O958" i="4"/>
  <c r="P958" i="4" s="1"/>
  <c r="O942" i="4"/>
  <c r="P942" i="4" s="1"/>
  <c r="O918" i="4"/>
  <c r="P918" i="4" s="1"/>
  <c r="O878" i="4"/>
  <c r="P878" i="4" s="1"/>
  <c r="O982" i="4"/>
  <c r="P982" i="4" s="1"/>
  <c r="O950" i="4"/>
  <c r="P950" i="4" s="1"/>
  <c r="O910" i="4"/>
  <c r="P910" i="4" s="1"/>
  <c r="O886" i="4"/>
  <c r="P886" i="4" s="1"/>
  <c r="O809" i="4"/>
  <c r="P809" i="4" s="1"/>
  <c r="O814" i="4"/>
  <c r="P814" i="4" s="1"/>
  <c r="O782" i="4"/>
  <c r="P782" i="4" s="1"/>
  <c r="O766" i="4"/>
  <c r="P766" i="4" s="1"/>
  <c r="O750" i="4"/>
  <c r="P750" i="4" s="1"/>
  <c r="O734" i="4"/>
  <c r="P734" i="4" s="1"/>
  <c r="O710" i="4"/>
  <c r="P710" i="4" s="1"/>
  <c r="O686" i="4"/>
  <c r="P686" i="4" s="1"/>
  <c r="O662" i="4"/>
  <c r="P662" i="4" s="1"/>
  <c r="O630" i="4"/>
  <c r="P630" i="4" s="1"/>
  <c r="O606" i="4"/>
  <c r="P606" i="4" s="1"/>
  <c r="O598" i="4"/>
  <c r="P598" i="4" s="1"/>
  <c r="O582" i="4"/>
  <c r="P582" i="4" s="1"/>
  <c r="O550" i="4"/>
  <c r="P550" i="4" s="1"/>
  <c r="O526" i="4"/>
  <c r="P526" i="4" s="1"/>
  <c r="O494" i="4"/>
  <c r="P494" i="4" s="1"/>
  <c r="O470" i="4"/>
  <c r="P470" i="4" s="1"/>
  <c r="O446" i="4"/>
  <c r="P446" i="4" s="1"/>
  <c r="O422" i="4"/>
  <c r="P422" i="4" s="1"/>
  <c r="O398" i="4"/>
  <c r="P398" i="4" s="1"/>
  <c r="O382" i="4"/>
  <c r="P382" i="4" s="1"/>
  <c r="O366" i="4"/>
  <c r="P366" i="4" s="1"/>
  <c r="O342" i="4"/>
  <c r="P342" i="4" s="1"/>
  <c r="O318" i="4"/>
  <c r="P318" i="4" s="1"/>
  <c r="O310" i="4"/>
  <c r="P310" i="4" s="1"/>
  <c r="O286" i="4"/>
  <c r="P286" i="4" s="1"/>
  <c r="O270" i="4"/>
  <c r="P270" i="4" s="1"/>
  <c r="O254" i="4"/>
  <c r="P254" i="4" s="1"/>
  <c r="O238" i="4"/>
  <c r="P238" i="4" s="1"/>
  <c r="O214" i="4"/>
  <c r="P214" i="4" s="1"/>
  <c r="O190" i="4"/>
  <c r="P190" i="4" s="1"/>
  <c r="O166" i="4"/>
  <c r="P166" i="4" s="1"/>
  <c r="O142" i="4"/>
  <c r="P142" i="4" s="1"/>
  <c r="O126" i="4"/>
  <c r="P126" i="4" s="1"/>
  <c r="O102" i="4"/>
  <c r="P102" i="4" s="1"/>
  <c r="O62" i="4"/>
  <c r="P62" i="4" s="1"/>
  <c r="O38" i="4"/>
  <c r="P38" i="4" s="1"/>
  <c r="O14" i="4"/>
  <c r="P14" i="4" s="1"/>
  <c r="O997" i="4"/>
  <c r="P997" i="4" s="1"/>
  <c r="O989" i="4"/>
  <c r="P989" i="4" s="1"/>
  <c r="O981" i="4"/>
  <c r="P981" i="4" s="1"/>
  <c r="O973" i="4"/>
  <c r="P973" i="4" s="1"/>
  <c r="O965" i="4"/>
  <c r="P965" i="4" s="1"/>
  <c r="O957" i="4"/>
  <c r="P957" i="4" s="1"/>
  <c r="O949" i="4"/>
  <c r="P949" i="4" s="1"/>
  <c r="O941" i="4"/>
  <c r="P941" i="4" s="1"/>
  <c r="O933" i="4"/>
  <c r="P933" i="4" s="1"/>
  <c r="O925" i="4"/>
  <c r="P925" i="4" s="1"/>
  <c r="O917" i="4"/>
  <c r="P917" i="4" s="1"/>
  <c r="O909" i="4"/>
  <c r="P909" i="4" s="1"/>
  <c r="O901" i="4"/>
  <c r="P901" i="4" s="1"/>
  <c r="O893" i="4"/>
  <c r="P893" i="4" s="1"/>
  <c r="O885" i="4"/>
  <c r="P885" i="4" s="1"/>
  <c r="O877" i="4"/>
  <c r="P877" i="4" s="1"/>
  <c r="O869" i="4"/>
  <c r="P869" i="4" s="1"/>
  <c r="O861" i="4"/>
  <c r="P861" i="4" s="1"/>
  <c r="O853" i="4"/>
  <c r="P853" i="4" s="1"/>
  <c r="O845" i="4"/>
  <c r="P845" i="4" s="1"/>
  <c r="O837" i="4"/>
  <c r="P837" i="4" s="1"/>
  <c r="O829" i="4"/>
  <c r="P829" i="4" s="1"/>
  <c r="O821" i="4"/>
  <c r="P821" i="4" s="1"/>
  <c r="O813" i="4"/>
  <c r="P813" i="4" s="1"/>
  <c r="O805" i="4"/>
  <c r="P805" i="4" s="1"/>
  <c r="O797" i="4"/>
  <c r="P797" i="4" s="1"/>
  <c r="O789" i="4"/>
  <c r="P789" i="4" s="1"/>
  <c r="O781" i="4"/>
  <c r="P781" i="4" s="1"/>
  <c r="O773" i="4"/>
  <c r="P773" i="4" s="1"/>
  <c r="O765" i="4"/>
  <c r="P765" i="4" s="1"/>
  <c r="O757" i="4"/>
  <c r="P757" i="4" s="1"/>
  <c r="O749" i="4"/>
  <c r="P749" i="4" s="1"/>
  <c r="O741" i="4"/>
  <c r="P741" i="4" s="1"/>
  <c r="O733" i="4"/>
  <c r="P733" i="4" s="1"/>
  <c r="O725" i="4"/>
  <c r="P725" i="4" s="1"/>
  <c r="O717" i="4"/>
  <c r="P717" i="4" s="1"/>
  <c r="O709" i="4"/>
  <c r="P709" i="4" s="1"/>
  <c r="O701" i="4"/>
  <c r="P701" i="4" s="1"/>
  <c r="O693" i="4"/>
  <c r="P693" i="4" s="1"/>
  <c r="O685" i="4"/>
  <c r="P685" i="4" s="1"/>
  <c r="O677" i="4"/>
  <c r="P677" i="4" s="1"/>
  <c r="O669" i="4"/>
  <c r="P669" i="4" s="1"/>
  <c r="O661" i="4"/>
  <c r="P661" i="4" s="1"/>
  <c r="O653" i="4"/>
  <c r="P653" i="4" s="1"/>
  <c r="O645" i="4"/>
  <c r="P645" i="4" s="1"/>
  <c r="O637" i="4"/>
  <c r="P637" i="4" s="1"/>
  <c r="O629" i="4"/>
  <c r="P629" i="4" s="1"/>
  <c r="O621" i="4"/>
  <c r="P621" i="4" s="1"/>
  <c r="O613" i="4"/>
  <c r="P613" i="4" s="1"/>
  <c r="O605" i="4"/>
  <c r="P605" i="4" s="1"/>
  <c r="O597" i="4"/>
  <c r="P597" i="4" s="1"/>
  <c r="O589" i="4"/>
  <c r="P589" i="4" s="1"/>
  <c r="O581" i="4"/>
  <c r="P581" i="4" s="1"/>
  <c r="O573" i="4"/>
  <c r="P573" i="4" s="1"/>
  <c r="O565" i="4"/>
  <c r="P565" i="4" s="1"/>
  <c r="O557" i="4"/>
  <c r="P557" i="4" s="1"/>
  <c r="O549" i="4"/>
  <c r="P549" i="4" s="1"/>
  <c r="O541" i="4"/>
  <c r="P541" i="4" s="1"/>
  <c r="O533" i="4"/>
  <c r="P533" i="4" s="1"/>
  <c r="O525" i="4"/>
  <c r="P525" i="4" s="1"/>
  <c r="O517" i="4"/>
  <c r="P517" i="4" s="1"/>
  <c r="O509" i="4"/>
  <c r="P509" i="4" s="1"/>
  <c r="O501" i="4"/>
  <c r="P501" i="4" s="1"/>
  <c r="O493" i="4"/>
  <c r="P493" i="4" s="1"/>
  <c r="O485" i="4"/>
  <c r="P485" i="4" s="1"/>
  <c r="O477" i="4"/>
  <c r="P477" i="4" s="1"/>
  <c r="O469" i="4"/>
  <c r="P469" i="4" s="1"/>
  <c r="O461" i="4"/>
  <c r="P461" i="4" s="1"/>
  <c r="O453" i="4"/>
  <c r="P453" i="4" s="1"/>
  <c r="O445" i="4"/>
  <c r="P445" i="4" s="1"/>
  <c r="O437" i="4"/>
  <c r="P437" i="4" s="1"/>
  <c r="O429" i="4"/>
  <c r="P429" i="4" s="1"/>
  <c r="O421" i="4"/>
  <c r="P421" i="4" s="1"/>
  <c r="O413" i="4"/>
  <c r="P413" i="4" s="1"/>
  <c r="O405" i="4"/>
  <c r="P405" i="4" s="1"/>
  <c r="O397" i="4"/>
  <c r="P397" i="4" s="1"/>
  <c r="O389" i="4"/>
  <c r="P389" i="4" s="1"/>
  <c r="O381" i="4"/>
  <c r="P381" i="4" s="1"/>
  <c r="O373" i="4"/>
  <c r="P373" i="4" s="1"/>
  <c r="O365" i="4"/>
  <c r="P365" i="4" s="1"/>
  <c r="O357" i="4"/>
  <c r="P357" i="4" s="1"/>
  <c r="O349" i="4"/>
  <c r="P349" i="4" s="1"/>
  <c r="O341" i="4"/>
  <c r="P341" i="4" s="1"/>
  <c r="O333" i="4"/>
  <c r="P333" i="4" s="1"/>
  <c r="O325" i="4"/>
  <c r="P325" i="4" s="1"/>
  <c r="O317" i="4"/>
  <c r="P317" i="4" s="1"/>
  <c r="O309" i="4"/>
  <c r="P309" i="4" s="1"/>
  <c r="O301" i="4"/>
  <c r="P301" i="4" s="1"/>
  <c r="O293" i="4"/>
  <c r="P293" i="4" s="1"/>
  <c r="O285" i="4"/>
  <c r="P285" i="4" s="1"/>
  <c r="O277" i="4"/>
  <c r="P277" i="4" s="1"/>
  <c r="O269" i="4"/>
  <c r="P269" i="4" s="1"/>
  <c r="O261" i="4"/>
  <c r="P261" i="4" s="1"/>
  <c r="O253" i="4"/>
  <c r="P253" i="4" s="1"/>
  <c r="O245" i="4"/>
  <c r="P245" i="4" s="1"/>
  <c r="O237" i="4"/>
  <c r="P237" i="4" s="1"/>
  <c r="O229" i="4"/>
  <c r="P229" i="4" s="1"/>
  <c r="O221" i="4"/>
  <c r="P221" i="4" s="1"/>
  <c r="O213" i="4"/>
  <c r="P213" i="4" s="1"/>
  <c r="O205" i="4"/>
  <c r="P205" i="4" s="1"/>
  <c r="O197" i="4"/>
  <c r="P197" i="4" s="1"/>
  <c r="O189" i="4"/>
  <c r="P189" i="4" s="1"/>
  <c r="O181" i="4"/>
  <c r="P181" i="4" s="1"/>
  <c r="O173" i="4"/>
  <c r="P173" i="4" s="1"/>
  <c r="O165" i="4"/>
  <c r="P165" i="4" s="1"/>
  <c r="O157" i="4"/>
  <c r="P157" i="4" s="1"/>
  <c r="O149" i="4"/>
  <c r="P149" i="4" s="1"/>
  <c r="O141" i="4"/>
  <c r="P141" i="4" s="1"/>
  <c r="O133" i="4"/>
  <c r="P133" i="4" s="1"/>
  <c r="O125" i="4"/>
  <c r="P125" i="4" s="1"/>
  <c r="O117" i="4"/>
  <c r="P117" i="4" s="1"/>
  <c r="O109" i="4"/>
  <c r="P109" i="4" s="1"/>
  <c r="O101" i="4"/>
  <c r="P101" i="4" s="1"/>
  <c r="O93" i="4"/>
  <c r="P93" i="4" s="1"/>
  <c r="O85" i="4"/>
  <c r="P85" i="4" s="1"/>
  <c r="O77" i="4"/>
  <c r="P77" i="4" s="1"/>
  <c r="O69" i="4"/>
  <c r="P69" i="4" s="1"/>
  <c r="O61" i="4"/>
  <c r="P61" i="4" s="1"/>
  <c r="O53" i="4"/>
  <c r="P53" i="4" s="1"/>
  <c r="O45" i="4"/>
  <c r="P45" i="4" s="1"/>
  <c r="O37" i="4"/>
  <c r="P37" i="4" s="1"/>
  <c r="O29" i="4"/>
  <c r="P29" i="4" s="1"/>
  <c r="O21" i="4"/>
  <c r="P21" i="4" s="1"/>
  <c r="O13" i="4"/>
  <c r="P13" i="4" s="1"/>
  <c r="O5" i="4"/>
  <c r="P5" i="4" s="1"/>
  <c r="O822" i="4"/>
  <c r="P822" i="4" s="1"/>
  <c r="O798" i="4"/>
  <c r="P798" i="4" s="1"/>
  <c r="O774" i="4"/>
  <c r="P774" i="4" s="1"/>
  <c r="O758" i="4"/>
  <c r="P758" i="4" s="1"/>
  <c r="O726" i="4"/>
  <c r="P726" i="4" s="1"/>
  <c r="O702" i="4"/>
  <c r="P702" i="4" s="1"/>
  <c r="O670" i="4"/>
  <c r="P670" i="4" s="1"/>
  <c r="O646" i="4"/>
  <c r="P646" i="4" s="1"/>
  <c r="O622" i="4"/>
  <c r="P622" i="4" s="1"/>
  <c r="O590" i="4"/>
  <c r="P590" i="4" s="1"/>
  <c r="O566" i="4"/>
  <c r="P566" i="4" s="1"/>
  <c r="O542" i="4"/>
  <c r="P542" i="4" s="1"/>
  <c r="O518" i="4"/>
  <c r="P518" i="4" s="1"/>
  <c r="O502" i="4"/>
  <c r="P502" i="4" s="1"/>
  <c r="O478" i="4"/>
  <c r="P478" i="4" s="1"/>
  <c r="O462" i="4"/>
  <c r="P462" i="4" s="1"/>
  <c r="O438" i="4"/>
  <c r="P438" i="4" s="1"/>
  <c r="O414" i="4"/>
  <c r="P414" i="4" s="1"/>
  <c r="O390" i="4"/>
  <c r="P390" i="4" s="1"/>
  <c r="O358" i="4"/>
  <c r="P358" i="4" s="1"/>
  <c r="O334" i="4"/>
  <c r="P334" i="4" s="1"/>
  <c r="O294" i="4"/>
  <c r="P294" i="4" s="1"/>
  <c r="O278" i="4"/>
  <c r="P278" i="4" s="1"/>
  <c r="O246" i="4"/>
  <c r="P246" i="4" s="1"/>
  <c r="O222" i="4"/>
  <c r="P222" i="4" s="1"/>
  <c r="O198" i="4"/>
  <c r="P198" i="4" s="1"/>
  <c r="O174" i="4"/>
  <c r="P174" i="4" s="1"/>
  <c r="O150" i="4"/>
  <c r="P150" i="4" s="1"/>
  <c r="O134" i="4"/>
  <c r="P134" i="4" s="1"/>
  <c r="O110" i="4"/>
  <c r="P110" i="4" s="1"/>
  <c r="O86" i="4"/>
  <c r="P86" i="4" s="1"/>
  <c r="O70" i="4"/>
  <c r="P70" i="4" s="1"/>
  <c r="O54" i="4"/>
  <c r="P54" i="4" s="1"/>
  <c r="O30" i="4"/>
  <c r="P30" i="4" s="1"/>
  <c r="O6" i="4"/>
  <c r="P6" i="4" s="1"/>
  <c r="O724" i="4"/>
  <c r="P724" i="4" s="1"/>
  <c r="O716" i="4"/>
  <c r="P716" i="4" s="1"/>
  <c r="O708" i="4"/>
  <c r="P708" i="4" s="1"/>
  <c r="O700" i="4"/>
  <c r="P700" i="4" s="1"/>
  <c r="O692" i="4"/>
  <c r="P692" i="4" s="1"/>
  <c r="O684" i="4"/>
  <c r="P684" i="4" s="1"/>
  <c r="O676" i="4"/>
  <c r="P676" i="4" s="1"/>
  <c r="O668" i="4"/>
  <c r="P668" i="4" s="1"/>
  <c r="O660" i="4"/>
  <c r="P660" i="4" s="1"/>
  <c r="O652" i="4"/>
  <c r="P652" i="4" s="1"/>
  <c r="O644" i="4"/>
  <c r="P644" i="4" s="1"/>
  <c r="O636" i="4"/>
  <c r="P636" i="4" s="1"/>
  <c r="O628" i="4"/>
  <c r="P628" i="4" s="1"/>
  <c r="O620" i="4"/>
  <c r="P620" i="4" s="1"/>
  <c r="O612" i="4"/>
  <c r="P612" i="4" s="1"/>
  <c r="O604" i="4"/>
  <c r="P604" i="4" s="1"/>
  <c r="O596" i="4"/>
  <c r="P596" i="4" s="1"/>
  <c r="O588" i="4"/>
  <c r="P588" i="4" s="1"/>
  <c r="O580" i="4"/>
  <c r="P580" i="4" s="1"/>
  <c r="O572" i="4"/>
  <c r="P572" i="4" s="1"/>
  <c r="O564" i="4"/>
  <c r="P564" i="4" s="1"/>
  <c r="O556" i="4"/>
  <c r="P556" i="4" s="1"/>
  <c r="O548" i="4"/>
  <c r="P548" i="4" s="1"/>
  <c r="O540" i="4"/>
  <c r="P540" i="4" s="1"/>
  <c r="O532" i="4"/>
  <c r="P532" i="4" s="1"/>
  <c r="O524" i="4"/>
  <c r="P524" i="4" s="1"/>
  <c r="O516" i="4"/>
  <c r="P516" i="4" s="1"/>
  <c r="O508" i="4"/>
  <c r="P508" i="4" s="1"/>
  <c r="O500" i="4"/>
  <c r="P500" i="4" s="1"/>
  <c r="O492" i="4"/>
  <c r="P492" i="4" s="1"/>
  <c r="O484" i="4"/>
  <c r="P484" i="4" s="1"/>
  <c r="O476" i="4"/>
  <c r="P476" i="4" s="1"/>
  <c r="O468" i="4"/>
  <c r="P468" i="4" s="1"/>
  <c r="O460" i="4"/>
  <c r="P460" i="4" s="1"/>
  <c r="O452" i="4"/>
  <c r="P452" i="4" s="1"/>
  <c r="O444" i="4"/>
  <c r="P444" i="4" s="1"/>
  <c r="O436" i="4"/>
  <c r="P436" i="4" s="1"/>
  <c r="O428" i="4"/>
  <c r="P428" i="4" s="1"/>
  <c r="O420" i="4"/>
  <c r="P420" i="4" s="1"/>
  <c r="O412" i="4"/>
  <c r="P412" i="4" s="1"/>
  <c r="O404" i="4"/>
  <c r="P404" i="4" s="1"/>
  <c r="O396" i="4"/>
  <c r="P396" i="4" s="1"/>
  <c r="O388" i="4"/>
  <c r="P388" i="4" s="1"/>
  <c r="O380" i="4"/>
  <c r="P380" i="4" s="1"/>
  <c r="O372" i="4"/>
  <c r="P372" i="4" s="1"/>
  <c r="O364" i="4"/>
  <c r="P364" i="4" s="1"/>
  <c r="O356" i="4"/>
  <c r="P356" i="4" s="1"/>
  <c r="O348" i="4"/>
  <c r="P348" i="4" s="1"/>
  <c r="O340" i="4"/>
  <c r="P340" i="4" s="1"/>
  <c r="O332" i="4"/>
  <c r="P332" i="4" s="1"/>
  <c r="O324" i="4"/>
  <c r="P324" i="4" s="1"/>
  <c r="O316" i="4"/>
  <c r="P316" i="4" s="1"/>
  <c r="O308" i="4"/>
  <c r="P308" i="4" s="1"/>
  <c r="O300" i="4"/>
  <c r="P300" i="4" s="1"/>
  <c r="O292" i="4"/>
  <c r="P292" i="4" s="1"/>
  <c r="O284" i="4"/>
  <c r="P284" i="4" s="1"/>
  <c r="O276" i="4"/>
  <c r="P276" i="4" s="1"/>
  <c r="O268" i="4"/>
  <c r="P268" i="4" s="1"/>
  <c r="O260" i="4"/>
  <c r="P260" i="4" s="1"/>
  <c r="O252" i="4"/>
  <c r="P252" i="4" s="1"/>
  <c r="O244" i="4"/>
  <c r="P244" i="4" s="1"/>
  <c r="O236" i="4"/>
  <c r="P236" i="4" s="1"/>
  <c r="O228" i="4"/>
  <c r="P228" i="4" s="1"/>
  <c r="O220" i="4"/>
  <c r="P220" i="4" s="1"/>
  <c r="O212" i="4"/>
  <c r="P212" i="4" s="1"/>
  <c r="O204" i="4"/>
  <c r="P204" i="4" s="1"/>
  <c r="O196" i="4"/>
  <c r="P196" i="4" s="1"/>
  <c r="O188" i="4"/>
  <c r="P188" i="4" s="1"/>
  <c r="O180" i="4"/>
  <c r="P180" i="4" s="1"/>
  <c r="O172" i="4"/>
  <c r="P172" i="4" s="1"/>
  <c r="O164" i="4"/>
  <c r="P164" i="4" s="1"/>
  <c r="O156" i="4"/>
  <c r="P156" i="4" s="1"/>
  <c r="O148" i="4"/>
  <c r="P148" i="4" s="1"/>
  <c r="O140" i="4"/>
  <c r="P140" i="4" s="1"/>
  <c r="O132" i="4"/>
  <c r="P132" i="4" s="1"/>
  <c r="O124" i="4"/>
  <c r="P124" i="4" s="1"/>
  <c r="O116" i="4"/>
  <c r="P116" i="4" s="1"/>
  <c r="O108" i="4"/>
  <c r="P108" i="4" s="1"/>
  <c r="O100" i="4"/>
  <c r="P100" i="4" s="1"/>
  <c r="O92" i="4"/>
  <c r="P92" i="4" s="1"/>
  <c r="O84" i="4"/>
  <c r="P84" i="4" s="1"/>
  <c r="O76" i="4"/>
  <c r="P76" i="4" s="1"/>
  <c r="O68" i="4"/>
  <c r="P68" i="4" s="1"/>
  <c r="O60" i="4"/>
  <c r="P60" i="4" s="1"/>
  <c r="O52" i="4"/>
  <c r="P52" i="4" s="1"/>
  <c r="O44" i="4"/>
  <c r="P44" i="4" s="1"/>
  <c r="O36" i="4"/>
  <c r="P36" i="4" s="1"/>
  <c r="O28" i="4"/>
  <c r="P28" i="4" s="1"/>
  <c r="O20" i="4"/>
  <c r="P20" i="4" s="1"/>
  <c r="O12" i="4"/>
  <c r="P12" i="4" s="1"/>
  <c r="O4" i="4"/>
  <c r="P4" i="4" s="1"/>
  <c r="O790" i="4"/>
  <c r="P790" i="4" s="1"/>
  <c r="O742" i="4"/>
  <c r="P742" i="4" s="1"/>
  <c r="O718" i="4"/>
  <c r="P718" i="4" s="1"/>
  <c r="O694" i="4"/>
  <c r="P694" i="4" s="1"/>
  <c r="O678" i="4"/>
  <c r="P678" i="4" s="1"/>
  <c r="O654" i="4"/>
  <c r="P654" i="4" s="1"/>
  <c r="O638" i="4"/>
  <c r="P638" i="4" s="1"/>
  <c r="O614" i="4"/>
  <c r="P614" i="4" s="1"/>
  <c r="O574" i="4"/>
  <c r="P574" i="4" s="1"/>
  <c r="O558" i="4"/>
  <c r="P558" i="4" s="1"/>
  <c r="O534" i="4"/>
  <c r="P534" i="4" s="1"/>
  <c r="O510" i="4"/>
  <c r="P510" i="4" s="1"/>
  <c r="O486" i="4"/>
  <c r="P486" i="4" s="1"/>
  <c r="O454" i="4"/>
  <c r="P454" i="4" s="1"/>
  <c r="O430" i="4"/>
  <c r="P430" i="4" s="1"/>
  <c r="O406" i="4"/>
  <c r="P406" i="4" s="1"/>
  <c r="O374" i="4"/>
  <c r="P374" i="4" s="1"/>
  <c r="O350" i="4"/>
  <c r="P350" i="4" s="1"/>
  <c r="O326" i="4"/>
  <c r="P326" i="4" s="1"/>
  <c r="O302" i="4"/>
  <c r="P302" i="4" s="1"/>
  <c r="O262" i="4"/>
  <c r="P262" i="4" s="1"/>
  <c r="O230" i="4"/>
  <c r="P230" i="4" s="1"/>
  <c r="O206" i="4"/>
  <c r="P206" i="4" s="1"/>
  <c r="O182" i="4"/>
  <c r="P182" i="4" s="1"/>
  <c r="O158" i="4"/>
  <c r="P158" i="4" s="1"/>
  <c r="O118" i="4"/>
  <c r="P118" i="4" s="1"/>
  <c r="O94" i="4"/>
  <c r="P94" i="4" s="1"/>
  <c r="O78" i="4"/>
  <c r="P78" i="4" s="1"/>
  <c r="O46" i="4"/>
  <c r="P46" i="4" s="1"/>
  <c r="O22" i="4"/>
  <c r="P22" i="4" s="1"/>
  <c r="O739" i="4"/>
  <c r="P739" i="4" s="1"/>
  <c r="O731" i="4"/>
  <c r="P731" i="4" s="1"/>
  <c r="O723" i="4"/>
  <c r="P723" i="4" s="1"/>
  <c r="O715" i="4"/>
  <c r="P715" i="4" s="1"/>
  <c r="O707" i="4"/>
  <c r="P707" i="4" s="1"/>
  <c r="O699" i="4"/>
  <c r="P699" i="4" s="1"/>
  <c r="O691" i="4"/>
  <c r="P691" i="4" s="1"/>
  <c r="O683" i="4"/>
  <c r="P683" i="4" s="1"/>
  <c r="O675" i="4"/>
  <c r="P675" i="4" s="1"/>
  <c r="O667" i="4"/>
  <c r="P667" i="4" s="1"/>
  <c r="O659" i="4"/>
  <c r="P659" i="4" s="1"/>
  <c r="O651" i="4"/>
  <c r="P651" i="4" s="1"/>
  <c r="O643" i="4"/>
  <c r="P643" i="4" s="1"/>
  <c r="O635" i="4"/>
  <c r="P635" i="4" s="1"/>
  <c r="O627" i="4"/>
  <c r="P627" i="4" s="1"/>
  <c r="O619" i="4"/>
  <c r="P619" i="4" s="1"/>
  <c r="O611" i="4"/>
  <c r="P611" i="4" s="1"/>
  <c r="O603" i="4"/>
  <c r="P603" i="4" s="1"/>
  <c r="O595" i="4"/>
  <c r="P595" i="4" s="1"/>
  <c r="O587" i="4"/>
  <c r="P587" i="4" s="1"/>
  <c r="O579" i="4"/>
  <c r="P579" i="4" s="1"/>
  <c r="O571" i="4"/>
  <c r="P571" i="4" s="1"/>
  <c r="O563" i="4"/>
  <c r="P563" i="4" s="1"/>
  <c r="O555" i="4"/>
  <c r="P555" i="4" s="1"/>
  <c r="O547" i="4"/>
  <c r="P547" i="4" s="1"/>
  <c r="O539" i="4"/>
  <c r="P539" i="4" s="1"/>
  <c r="O531" i="4"/>
  <c r="P531" i="4" s="1"/>
  <c r="O523" i="4"/>
  <c r="P523" i="4" s="1"/>
  <c r="O515" i="4"/>
  <c r="P515" i="4" s="1"/>
  <c r="O507" i="4"/>
  <c r="P507" i="4" s="1"/>
  <c r="O499" i="4"/>
  <c r="P499" i="4" s="1"/>
  <c r="O491" i="4"/>
  <c r="P491" i="4" s="1"/>
  <c r="O483" i="4"/>
  <c r="P483" i="4" s="1"/>
  <c r="O475" i="4"/>
  <c r="P475" i="4" s="1"/>
  <c r="O467" i="4"/>
  <c r="P467" i="4" s="1"/>
  <c r="O459" i="4"/>
  <c r="P459" i="4" s="1"/>
  <c r="O451" i="4"/>
  <c r="P451" i="4" s="1"/>
  <c r="O443" i="4"/>
  <c r="P443" i="4" s="1"/>
  <c r="O435" i="4"/>
  <c r="P435" i="4" s="1"/>
  <c r="O427" i="4"/>
  <c r="P427" i="4" s="1"/>
  <c r="O419" i="4"/>
  <c r="P419" i="4" s="1"/>
  <c r="O411" i="4"/>
  <c r="P411" i="4" s="1"/>
  <c r="O403" i="4"/>
  <c r="P403" i="4" s="1"/>
  <c r="O395" i="4"/>
  <c r="P395" i="4" s="1"/>
  <c r="O387" i="4"/>
  <c r="P387" i="4" s="1"/>
  <c r="O379" i="4"/>
  <c r="P379" i="4" s="1"/>
  <c r="O371" i="4"/>
  <c r="P371" i="4" s="1"/>
  <c r="O363" i="4"/>
  <c r="P363" i="4" s="1"/>
  <c r="O355" i="4"/>
  <c r="P355" i="4" s="1"/>
  <c r="O347" i="4"/>
  <c r="P347" i="4" s="1"/>
  <c r="O339" i="4"/>
  <c r="P339" i="4" s="1"/>
  <c r="O331" i="4"/>
  <c r="P331" i="4" s="1"/>
  <c r="O323" i="4"/>
  <c r="P323" i="4" s="1"/>
  <c r="O315" i="4"/>
  <c r="P315" i="4" s="1"/>
  <c r="O307" i="4"/>
  <c r="P307" i="4" s="1"/>
  <c r="O299" i="4"/>
  <c r="P299" i="4" s="1"/>
  <c r="O291" i="4"/>
  <c r="P291" i="4" s="1"/>
  <c r="O283" i="4"/>
  <c r="P283" i="4" s="1"/>
  <c r="O275" i="4"/>
  <c r="P275" i="4" s="1"/>
  <c r="O267" i="4"/>
  <c r="P267" i="4" s="1"/>
  <c r="O259" i="4"/>
  <c r="P259" i="4" s="1"/>
  <c r="O251" i="4"/>
  <c r="P251" i="4" s="1"/>
  <c r="O243" i="4"/>
  <c r="P243" i="4" s="1"/>
  <c r="O235" i="4"/>
  <c r="P235" i="4" s="1"/>
  <c r="O227" i="4"/>
  <c r="P227" i="4" s="1"/>
  <c r="O219" i="4"/>
  <c r="P219" i="4" s="1"/>
  <c r="O211" i="4"/>
  <c r="P211" i="4" s="1"/>
  <c r="O203" i="4"/>
  <c r="P203" i="4" s="1"/>
  <c r="O195" i="4"/>
  <c r="P195" i="4" s="1"/>
  <c r="O187" i="4"/>
  <c r="P187" i="4" s="1"/>
  <c r="O179" i="4"/>
  <c r="P179" i="4" s="1"/>
  <c r="O171" i="4"/>
  <c r="P171" i="4" s="1"/>
  <c r="O163" i="4"/>
  <c r="P163" i="4" s="1"/>
  <c r="O155" i="4"/>
  <c r="P155" i="4" s="1"/>
  <c r="O147" i="4"/>
  <c r="P147" i="4" s="1"/>
  <c r="O139" i="4"/>
  <c r="P139" i="4" s="1"/>
  <c r="O131" i="4"/>
  <c r="P131" i="4" s="1"/>
  <c r="O123" i="4"/>
  <c r="P123" i="4" s="1"/>
  <c r="O115" i="4"/>
  <c r="P115" i="4" s="1"/>
  <c r="O107" i="4"/>
  <c r="P107" i="4" s="1"/>
  <c r="O99" i="4"/>
  <c r="P99" i="4" s="1"/>
  <c r="O91" i="4"/>
  <c r="P91" i="4" s="1"/>
  <c r="O83" i="4"/>
  <c r="P83" i="4" s="1"/>
  <c r="O75" i="4"/>
  <c r="P75" i="4" s="1"/>
  <c r="O67" i="4"/>
  <c r="P67" i="4" s="1"/>
  <c r="O59" i="4"/>
  <c r="P59" i="4" s="1"/>
  <c r="O51" i="4"/>
  <c r="P51" i="4" s="1"/>
  <c r="O43" i="4"/>
  <c r="P43" i="4" s="1"/>
  <c r="O35" i="4"/>
  <c r="P35" i="4" s="1"/>
  <c r="O27" i="4"/>
  <c r="P27" i="4" s="1"/>
  <c r="O19" i="4"/>
  <c r="P19" i="4" s="1"/>
  <c r="O11" i="4"/>
  <c r="P11" i="4" s="1"/>
  <c r="F13" i="5"/>
  <c r="O3" i="4"/>
  <c r="P3" i="4" s="1"/>
  <c r="F6" i="5"/>
  <c r="F14" i="5"/>
  <c r="F12" i="5"/>
  <c r="F11" i="5"/>
  <c r="O2" i="4"/>
  <c r="O994" i="4"/>
  <c r="P994" i="4" s="1"/>
  <c r="O986" i="4"/>
  <c r="P986" i="4" s="1"/>
  <c r="O978" i="4"/>
  <c r="P978" i="4" s="1"/>
  <c r="O970" i="4"/>
  <c r="P970" i="4" s="1"/>
  <c r="O962" i="4"/>
  <c r="P962" i="4" s="1"/>
  <c r="O954" i="4"/>
  <c r="P954" i="4" s="1"/>
  <c r="O946" i="4"/>
  <c r="P946" i="4" s="1"/>
  <c r="O938" i="4"/>
  <c r="P938" i="4" s="1"/>
  <c r="O930" i="4"/>
  <c r="P930" i="4" s="1"/>
  <c r="O922" i="4"/>
  <c r="P922" i="4" s="1"/>
  <c r="O914" i="4"/>
  <c r="P914" i="4" s="1"/>
  <c r="O906" i="4"/>
  <c r="P906" i="4" s="1"/>
  <c r="O898" i="4"/>
  <c r="P898" i="4" s="1"/>
  <c r="O890" i="4"/>
  <c r="P890" i="4" s="1"/>
  <c r="O882" i="4"/>
  <c r="P882" i="4" s="1"/>
  <c r="O874" i="4"/>
  <c r="P874" i="4" s="1"/>
  <c r="O866" i="4"/>
  <c r="P866" i="4" s="1"/>
  <c r="O858" i="4"/>
  <c r="P858" i="4" s="1"/>
  <c r="O850" i="4"/>
  <c r="P850" i="4" s="1"/>
  <c r="O842" i="4"/>
  <c r="P842" i="4" s="1"/>
  <c r="O834" i="4"/>
  <c r="P834" i="4" s="1"/>
  <c r="O826" i="4"/>
  <c r="P826" i="4" s="1"/>
  <c r="O818" i="4"/>
  <c r="P818" i="4" s="1"/>
  <c r="O810" i="4"/>
  <c r="P810" i="4" s="1"/>
  <c r="O802" i="4"/>
  <c r="P802" i="4" s="1"/>
  <c r="O794" i="4"/>
  <c r="P794" i="4" s="1"/>
  <c r="O786" i="4"/>
  <c r="P786" i="4" s="1"/>
  <c r="O778" i="4"/>
  <c r="P778" i="4" s="1"/>
  <c r="O770" i="4"/>
  <c r="P770" i="4" s="1"/>
  <c r="O762" i="4"/>
  <c r="P762" i="4" s="1"/>
  <c r="O754" i="4"/>
  <c r="P754" i="4" s="1"/>
  <c r="O746" i="4"/>
  <c r="P746" i="4" s="1"/>
  <c r="O738" i="4"/>
  <c r="P738" i="4" s="1"/>
  <c r="O730" i="4"/>
  <c r="P730" i="4" s="1"/>
  <c r="O722" i="4"/>
  <c r="P722" i="4" s="1"/>
  <c r="O714" i="4"/>
  <c r="P714" i="4" s="1"/>
  <c r="O706" i="4"/>
  <c r="P706" i="4" s="1"/>
  <c r="O698" i="4"/>
  <c r="P698" i="4" s="1"/>
  <c r="O690" i="4"/>
  <c r="P690" i="4" s="1"/>
  <c r="O682" i="4"/>
  <c r="P682" i="4" s="1"/>
  <c r="O674" i="4"/>
  <c r="P674" i="4" s="1"/>
  <c r="O666" i="4"/>
  <c r="P666" i="4" s="1"/>
  <c r="O658" i="4"/>
  <c r="P658" i="4" s="1"/>
  <c r="O650" i="4"/>
  <c r="P650" i="4" s="1"/>
  <c r="O642" i="4"/>
  <c r="P642" i="4" s="1"/>
  <c r="O634" i="4"/>
  <c r="P634" i="4" s="1"/>
  <c r="O626" i="4"/>
  <c r="P626" i="4" s="1"/>
  <c r="O618" i="4"/>
  <c r="P618" i="4" s="1"/>
  <c r="O610" i="4"/>
  <c r="P610" i="4" s="1"/>
  <c r="O602" i="4"/>
  <c r="P602" i="4" s="1"/>
  <c r="O594" i="4"/>
  <c r="P594" i="4" s="1"/>
  <c r="O586" i="4"/>
  <c r="P586" i="4" s="1"/>
  <c r="O578" i="4"/>
  <c r="P578" i="4" s="1"/>
  <c r="O570" i="4"/>
  <c r="P570" i="4" s="1"/>
  <c r="O562" i="4"/>
  <c r="P562" i="4" s="1"/>
  <c r="O554" i="4"/>
  <c r="P554" i="4" s="1"/>
  <c r="O546" i="4"/>
  <c r="P546" i="4" s="1"/>
  <c r="O538" i="4"/>
  <c r="P538" i="4" s="1"/>
  <c r="O530" i="4"/>
  <c r="P530" i="4" s="1"/>
  <c r="O522" i="4"/>
  <c r="P522" i="4" s="1"/>
  <c r="O514" i="4"/>
  <c r="P514" i="4" s="1"/>
  <c r="O506" i="4"/>
  <c r="P506" i="4" s="1"/>
  <c r="O498" i="4"/>
  <c r="P498" i="4" s="1"/>
  <c r="O490" i="4"/>
  <c r="P490" i="4" s="1"/>
  <c r="O482" i="4"/>
  <c r="P482" i="4" s="1"/>
  <c r="O474" i="4"/>
  <c r="P474" i="4" s="1"/>
  <c r="O466" i="4"/>
  <c r="P466" i="4" s="1"/>
  <c r="O458" i="4"/>
  <c r="P458" i="4" s="1"/>
  <c r="O450" i="4"/>
  <c r="P450" i="4" s="1"/>
  <c r="O442" i="4"/>
  <c r="P442" i="4" s="1"/>
  <c r="O434" i="4"/>
  <c r="P434" i="4" s="1"/>
  <c r="O426" i="4"/>
  <c r="P426" i="4" s="1"/>
  <c r="O418" i="4"/>
  <c r="P418" i="4" s="1"/>
  <c r="O410" i="4"/>
  <c r="P410" i="4" s="1"/>
  <c r="O402" i="4"/>
  <c r="P402" i="4" s="1"/>
  <c r="O394" i="4"/>
  <c r="P394" i="4" s="1"/>
  <c r="O386" i="4"/>
  <c r="P386" i="4" s="1"/>
  <c r="O378" i="4"/>
  <c r="P378" i="4" s="1"/>
  <c r="O370" i="4"/>
  <c r="P370" i="4" s="1"/>
  <c r="O362" i="4"/>
  <c r="P362" i="4" s="1"/>
  <c r="O354" i="4"/>
  <c r="P354" i="4" s="1"/>
  <c r="O346" i="4"/>
  <c r="P346" i="4" s="1"/>
  <c r="O338" i="4"/>
  <c r="P338" i="4" s="1"/>
  <c r="O330" i="4"/>
  <c r="P330" i="4" s="1"/>
  <c r="O322" i="4"/>
  <c r="P322" i="4" s="1"/>
  <c r="O314" i="4"/>
  <c r="P314" i="4" s="1"/>
  <c r="O306" i="4"/>
  <c r="P306" i="4" s="1"/>
  <c r="O298" i="4"/>
  <c r="P298" i="4" s="1"/>
  <c r="O290" i="4"/>
  <c r="P290" i="4" s="1"/>
  <c r="O282" i="4"/>
  <c r="P282" i="4" s="1"/>
  <c r="O274" i="4"/>
  <c r="P274" i="4" s="1"/>
  <c r="O266" i="4"/>
  <c r="P266" i="4" s="1"/>
  <c r="O258" i="4"/>
  <c r="P258" i="4" s="1"/>
  <c r="O250" i="4"/>
  <c r="P250" i="4" s="1"/>
  <c r="O242" i="4"/>
  <c r="P242" i="4" s="1"/>
  <c r="O234" i="4"/>
  <c r="P234" i="4" s="1"/>
  <c r="O226" i="4"/>
  <c r="P226" i="4" s="1"/>
  <c r="O218" i="4"/>
  <c r="P218" i="4" s="1"/>
  <c r="O210" i="4"/>
  <c r="P210" i="4" s="1"/>
  <c r="O202" i="4"/>
  <c r="P202" i="4" s="1"/>
  <c r="O194" i="4"/>
  <c r="P194" i="4" s="1"/>
  <c r="O186" i="4"/>
  <c r="P186" i="4" s="1"/>
  <c r="O178" i="4"/>
  <c r="P178" i="4" s="1"/>
  <c r="O170" i="4"/>
  <c r="P170" i="4" s="1"/>
  <c r="O162" i="4"/>
  <c r="P162" i="4" s="1"/>
  <c r="O154" i="4"/>
  <c r="P154" i="4" s="1"/>
  <c r="O146" i="4"/>
  <c r="P146" i="4" s="1"/>
  <c r="O138" i="4"/>
  <c r="P138" i="4" s="1"/>
  <c r="O130" i="4"/>
  <c r="P130" i="4" s="1"/>
  <c r="O122" i="4"/>
  <c r="P122" i="4" s="1"/>
  <c r="O114" i="4"/>
  <c r="P114" i="4" s="1"/>
  <c r="O106" i="4"/>
  <c r="P106" i="4" s="1"/>
  <c r="O98" i="4"/>
  <c r="P98" i="4" s="1"/>
  <c r="O90" i="4"/>
  <c r="P90" i="4" s="1"/>
  <c r="O82" i="4"/>
  <c r="P82" i="4" s="1"/>
  <c r="O74" i="4"/>
  <c r="P74" i="4" s="1"/>
  <c r="O66" i="4"/>
  <c r="P66" i="4" s="1"/>
  <c r="O58" i="4"/>
  <c r="P58" i="4" s="1"/>
  <c r="O50" i="4"/>
  <c r="P50" i="4" s="1"/>
  <c r="O42" i="4"/>
  <c r="P42" i="4" s="1"/>
  <c r="O34" i="4"/>
  <c r="P34" i="4" s="1"/>
  <c r="O26" i="4"/>
  <c r="P26" i="4" s="1"/>
  <c r="O18" i="4"/>
  <c r="P18" i="4" s="1"/>
  <c r="O10" i="4"/>
  <c r="P10" i="4" s="1"/>
  <c r="O801" i="4"/>
  <c r="P801" i="4" s="1"/>
  <c r="O793" i="4"/>
  <c r="P793" i="4" s="1"/>
  <c r="O785" i="4"/>
  <c r="P785" i="4" s="1"/>
  <c r="O777" i="4"/>
  <c r="P777" i="4" s="1"/>
  <c r="O769" i="4"/>
  <c r="P769" i="4" s="1"/>
  <c r="O761" i="4"/>
  <c r="P761" i="4" s="1"/>
  <c r="O753" i="4"/>
  <c r="P753" i="4" s="1"/>
  <c r="O745" i="4"/>
  <c r="P745" i="4" s="1"/>
  <c r="O737" i="4"/>
  <c r="P737" i="4" s="1"/>
  <c r="O729" i="4"/>
  <c r="P729" i="4" s="1"/>
  <c r="O721" i="4"/>
  <c r="P721" i="4" s="1"/>
  <c r="O713" i="4"/>
  <c r="P713" i="4" s="1"/>
  <c r="O705" i="4"/>
  <c r="P705" i="4" s="1"/>
  <c r="O697" i="4"/>
  <c r="P697" i="4" s="1"/>
  <c r="O689" i="4"/>
  <c r="P689" i="4" s="1"/>
  <c r="O681" i="4"/>
  <c r="P681" i="4" s="1"/>
  <c r="O673" i="4"/>
  <c r="P673" i="4" s="1"/>
  <c r="O665" i="4"/>
  <c r="P665" i="4" s="1"/>
  <c r="O657" i="4"/>
  <c r="P657" i="4" s="1"/>
  <c r="O649" i="4"/>
  <c r="P649" i="4" s="1"/>
  <c r="O641" i="4"/>
  <c r="P641" i="4" s="1"/>
  <c r="O633" i="4"/>
  <c r="P633" i="4" s="1"/>
  <c r="O625" i="4"/>
  <c r="P625" i="4" s="1"/>
  <c r="O617" i="4"/>
  <c r="P617" i="4" s="1"/>
  <c r="O609" i="4"/>
  <c r="P609" i="4" s="1"/>
  <c r="O601" i="4"/>
  <c r="P601" i="4" s="1"/>
  <c r="O593" i="4"/>
  <c r="P593" i="4" s="1"/>
  <c r="O585" i="4"/>
  <c r="P585" i="4" s="1"/>
  <c r="O577" i="4"/>
  <c r="P577" i="4" s="1"/>
  <c r="O569" i="4"/>
  <c r="P569" i="4" s="1"/>
  <c r="O561" i="4"/>
  <c r="P561" i="4" s="1"/>
  <c r="O553" i="4"/>
  <c r="P553" i="4" s="1"/>
  <c r="O545" i="4"/>
  <c r="P545" i="4" s="1"/>
  <c r="O537" i="4"/>
  <c r="P537" i="4" s="1"/>
  <c r="O529" i="4"/>
  <c r="P529" i="4" s="1"/>
  <c r="O521" i="4"/>
  <c r="P521" i="4" s="1"/>
  <c r="O513" i="4"/>
  <c r="P513" i="4" s="1"/>
  <c r="O505" i="4"/>
  <c r="P505" i="4" s="1"/>
  <c r="O497" i="4"/>
  <c r="P497" i="4" s="1"/>
  <c r="O489" i="4"/>
  <c r="P489" i="4" s="1"/>
  <c r="O481" i="4"/>
  <c r="P481" i="4" s="1"/>
  <c r="O473" i="4"/>
  <c r="P473" i="4" s="1"/>
  <c r="O465" i="4"/>
  <c r="P465" i="4" s="1"/>
  <c r="O457" i="4"/>
  <c r="P457" i="4" s="1"/>
  <c r="O449" i="4"/>
  <c r="P449" i="4" s="1"/>
  <c r="O441" i="4"/>
  <c r="P441" i="4" s="1"/>
  <c r="O433" i="4"/>
  <c r="P433" i="4" s="1"/>
  <c r="O425" i="4"/>
  <c r="P425" i="4" s="1"/>
  <c r="O417" i="4"/>
  <c r="P417" i="4" s="1"/>
  <c r="O409" i="4"/>
  <c r="P409" i="4" s="1"/>
  <c r="O401" i="4"/>
  <c r="P401" i="4" s="1"/>
  <c r="O393" i="4"/>
  <c r="P393" i="4" s="1"/>
  <c r="O385" i="4"/>
  <c r="P385" i="4" s="1"/>
  <c r="O377" i="4"/>
  <c r="P377" i="4" s="1"/>
  <c r="O369" i="4"/>
  <c r="P369" i="4" s="1"/>
  <c r="O361" i="4"/>
  <c r="P361" i="4" s="1"/>
  <c r="O353" i="4"/>
  <c r="P353" i="4" s="1"/>
  <c r="O345" i="4"/>
  <c r="P345" i="4" s="1"/>
  <c r="O337" i="4"/>
  <c r="P337" i="4" s="1"/>
  <c r="O329" i="4"/>
  <c r="P329" i="4" s="1"/>
  <c r="O321" i="4"/>
  <c r="P321" i="4" s="1"/>
  <c r="O313" i="4"/>
  <c r="P313" i="4" s="1"/>
  <c r="O305" i="4"/>
  <c r="P305" i="4" s="1"/>
  <c r="O297" i="4"/>
  <c r="P297" i="4" s="1"/>
  <c r="O289" i="4"/>
  <c r="P289" i="4" s="1"/>
  <c r="O281" i="4"/>
  <c r="P281" i="4" s="1"/>
  <c r="O273" i="4"/>
  <c r="P273" i="4" s="1"/>
  <c r="O265" i="4"/>
  <c r="P265" i="4" s="1"/>
  <c r="O257" i="4"/>
  <c r="P257" i="4" s="1"/>
  <c r="O249" i="4"/>
  <c r="P249" i="4" s="1"/>
  <c r="O241" i="4"/>
  <c r="P241" i="4" s="1"/>
  <c r="O233" i="4"/>
  <c r="P233" i="4" s="1"/>
  <c r="O225" i="4"/>
  <c r="P225" i="4" s="1"/>
  <c r="O217" i="4"/>
  <c r="P217" i="4" s="1"/>
  <c r="O209" i="4"/>
  <c r="P209" i="4" s="1"/>
  <c r="O201" i="4"/>
  <c r="P201" i="4" s="1"/>
  <c r="O193" i="4"/>
  <c r="P193" i="4" s="1"/>
  <c r="O185" i="4"/>
  <c r="P185" i="4" s="1"/>
  <c r="O177" i="4"/>
  <c r="P177" i="4" s="1"/>
  <c r="O169" i="4"/>
  <c r="P169" i="4" s="1"/>
  <c r="O161" i="4"/>
  <c r="P161" i="4" s="1"/>
  <c r="O153" i="4"/>
  <c r="P153" i="4" s="1"/>
  <c r="O145" i="4"/>
  <c r="P145" i="4" s="1"/>
  <c r="O137" i="4"/>
  <c r="P137" i="4" s="1"/>
  <c r="O129" i="4"/>
  <c r="P129" i="4" s="1"/>
  <c r="O121" i="4"/>
  <c r="P121" i="4" s="1"/>
  <c r="O113" i="4"/>
  <c r="P113" i="4" s="1"/>
  <c r="O105" i="4"/>
  <c r="P105" i="4" s="1"/>
  <c r="O97" i="4"/>
  <c r="P97" i="4" s="1"/>
  <c r="O89" i="4"/>
  <c r="P89" i="4" s="1"/>
  <c r="O81" i="4"/>
  <c r="P81" i="4" s="1"/>
  <c r="O73" i="4"/>
  <c r="P73" i="4" s="1"/>
  <c r="O65" i="4"/>
  <c r="P65" i="4" s="1"/>
  <c r="O57" i="4"/>
  <c r="P57" i="4" s="1"/>
  <c r="O49" i="4"/>
  <c r="P49" i="4" s="1"/>
  <c r="O41" i="4"/>
  <c r="P41" i="4" s="1"/>
  <c r="O33" i="4"/>
  <c r="P33" i="4" s="1"/>
  <c r="O25" i="4"/>
  <c r="P25" i="4" s="1"/>
  <c r="O17" i="4"/>
  <c r="P17" i="4" s="1"/>
  <c r="O9" i="4"/>
  <c r="P9" i="4" s="1"/>
  <c r="O993" i="4"/>
  <c r="P993" i="4" s="1"/>
  <c r="O977" i="4"/>
  <c r="P977" i="4" s="1"/>
  <c r="O969" i="4"/>
  <c r="P969" i="4" s="1"/>
  <c r="O953" i="4"/>
  <c r="P953" i="4" s="1"/>
  <c r="O937" i="4"/>
  <c r="P937" i="4" s="1"/>
  <c r="O921" i="4"/>
  <c r="P921" i="4" s="1"/>
  <c r="O897" i="4"/>
  <c r="P897" i="4" s="1"/>
  <c r="O881" i="4"/>
  <c r="P881" i="4" s="1"/>
  <c r="O865" i="4"/>
  <c r="P865" i="4" s="1"/>
  <c r="O857" i="4"/>
  <c r="P857" i="4" s="1"/>
  <c r="O841" i="4"/>
  <c r="P841" i="4" s="1"/>
  <c r="O825" i="4"/>
  <c r="P825" i="4" s="1"/>
  <c r="O1000" i="4"/>
  <c r="P1000" i="4" s="1"/>
  <c r="O992" i="4"/>
  <c r="P992" i="4" s="1"/>
  <c r="O984" i="4"/>
  <c r="P984" i="4" s="1"/>
  <c r="O976" i="4"/>
  <c r="P976" i="4" s="1"/>
  <c r="O968" i="4"/>
  <c r="P968" i="4" s="1"/>
  <c r="O960" i="4"/>
  <c r="P960" i="4" s="1"/>
  <c r="O952" i="4"/>
  <c r="P952" i="4" s="1"/>
  <c r="O944" i="4"/>
  <c r="P944" i="4" s="1"/>
  <c r="O936" i="4"/>
  <c r="P936" i="4" s="1"/>
  <c r="O928" i="4"/>
  <c r="P928" i="4" s="1"/>
  <c r="O920" i="4"/>
  <c r="P920" i="4" s="1"/>
  <c r="O912" i="4"/>
  <c r="P912" i="4" s="1"/>
  <c r="O904" i="4"/>
  <c r="P904" i="4" s="1"/>
  <c r="O896" i="4"/>
  <c r="P896" i="4" s="1"/>
  <c r="O888" i="4"/>
  <c r="P888" i="4" s="1"/>
  <c r="O880" i="4"/>
  <c r="P880" i="4" s="1"/>
  <c r="O872" i="4"/>
  <c r="P872" i="4" s="1"/>
  <c r="O864" i="4"/>
  <c r="P864" i="4" s="1"/>
  <c r="O856" i="4"/>
  <c r="P856" i="4" s="1"/>
  <c r="O848" i="4"/>
  <c r="P848" i="4" s="1"/>
  <c r="O840" i="4"/>
  <c r="P840" i="4" s="1"/>
  <c r="O832" i="4"/>
  <c r="P832" i="4" s="1"/>
  <c r="O824" i="4"/>
  <c r="P824" i="4" s="1"/>
  <c r="O816" i="4"/>
  <c r="P816" i="4" s="1"/>
  <c r="O808" i="4"/>
  <c r="P808" i="4" s="1"/>
  <c r="O800" i="4"/>
  <c r="P800" i="4" s="1"/>
  <c r="O792" i="4"/>
  <c r="P792" i="4" s="1"/>
  <c r="O784" i="4"/>
  <c r="P784" i="4" s="1"/>
  <c r="O776" i="4"/>
  <c r="P776" i="4" s="1"/>
  <c r="O768" i="4"/>
  <c r="P768" i="4" s="1"/>
  <c r="O760" i="4"/>
  <c r="P760" i="4" s="1"/>
  <c r="O752" i="4"/>
  <c r="P752" i="4" s="1"/>
  <c r="O744" i="4"/>
  <c r="P744" i="4" s="1"/>
  <c r="O736" i="4"/>
  <c r="P736" i="4" s="1"/>
  <c r="O728" i="4"/>
  <c r="P728" i="4" s="1"/>
  <c r="O720" i="4"/>
  <c r="P720" i="4" s="1"/>
  <c r="O712" i="4"/>
  <c r="P712" i="4" s="1"/>
  <c r="O704" i="4"/>
  <c r="P704" i="4" s="1"/>
  <c r="O696" i="4"/>
  <c r="P696" i="4" s="1"/>
  <c r="O688" i="4"/>
  <c r="P688" i="4" s="1"/>
  <c r="O680" i="4"/>
  <c r="P680" i="4" s="1"/>
  <c r="O672" i="4"/>
  <c r="P672" i="4" s="1"/>
  <c r="O664" i="4"/>
  <c r="P664" i="4" s="1"/>
  <c r="O656" i="4"/>
  <c r="P656" i="4" s="1"/>
  <c r="O648" i="4"/>
  <c r="P648" i="4" s="1"/>
  <c r="O640" i="4"/>
  <c r="P640" i="4" s="1"/>
  <c r="O632" i="4"/>
  <c r="P632" i="4" s="1"/>
  <c r="O624" i="4"/>
  <c r="P624" i="4" s="1"/>
  <c r="O616" i="4"/>
  <c r="P616" i="4" s="1"/>
  <c r="O608" i="4"/>
  <c r="P608" i="4" s="1"/>
  <c r="O600" i="4"/>
  <c r="P600" i="4" s="1"/>
  <c r="O592" i="4"/>
  <c r="P592" i="4" s="1"/>
  <c r="O584" i="4"/>
  <c r="P584" i="4" s="1"/>
  <c r="O576" i="4"/>
  <c r="P576" i="4" s="1"/>
  <c r="O568" i="4"/>
  <c r="P568" i="4" s="1"/>
  <c r="O560" i="4"/>
  <c r="P560" i="4" s="1"/>
  <c r="O552" i="4"/>
  <c r="P552" i="4" s="1"/>
  <c r="O544" i="4"/>
  <c r="P544" i="4" s="1"/>
  <c r="O536" i="4"/>
  <c r="P536" i="4" s="1"/>
  <c r="O528" i="4"/>
  <c r="P528" i="4" s="1"/>
  <c r="O520" i="4"/>
  <c r="P520" i="4" s="1"/>
  <c r="O512" i="4"/>
  <c r="P512" i="4" s="1"/>
  <c r="O504" i="4"/>
  <c r="P504" i="4" s="1"/>
  <c r="O496" i="4"/>
  <c r="P496" i="4" s="1"/>
  <c r="O488" i="4"/>
  <c r="P488" i="4" s="1"/>
  <c r="O480" i="4"/>
  <c r="P480" i="4" s="1"/>
  <c r="O472" i="4"/>
  <c r="P472" i="4" s="1"/>
  <c r="O464" i="4"/>
  <c r="P464" i="4" s="1"/>
  <c r="O456" i="4"/>
  <c r="P456" i="4" s="1"/>
  <c r="O448" i="4"/>
  <c r="P448" i="4" s="1"/>
  <c r="O440" i="4"/>
  <c r="P440" i="4" s="1"/>
  <c r="O432" i="4"/>
  <c r="P432" i="4" s="1"/>
  <c r="O424" i="4"/>
  <c r="P424" i="4" s="1"/>
  <c r="O416" i="4"/>
  <c r="P416" i="4" s="1"/>
  <c r="O408" i="4"/>
  <c r="P408" i="4" s="1"/>
  <c r="O400" i="4"/>
  <c r="P400" i="4" s="1"/>
  <c r="O392" i="4"/>
  <c r="P392" i="4" s="1"/>
  <c r="O384" i="4"/>
  <c r="P384" i="4" s="1"/>
  <c r="O376" i="4"/>
  <c r="P376" i="4" s="1"/>
  <c r="O368" i="4"/>
  <c r="P368" i="4" s="1"/>
  <c r="O360" i="4"/>
  <c r="P360" i="4" s="1"/>
  <c r="O352" i="4"/>
  <c r="P352" i="4" s="1"/>
  <c r="O344" i="4"/>
  <c r="P344" i="4" s="1"/>
  <c r="O336" i="4"/>
  <c r="P336" i="4" s="1"/>
  <c r="O328" i="4"/>
  <c r="P328" i="4" s="1"/>
  <c r="O320" i="4"/>
  <c r="P320" i="4" s="1"/>
  <c r="O312" i="4"/>
  <c r="P312" i="4" s="1"/>
  <c r="O304" i="4"/>
  <c r="P304" i="4" s="1"/>
  <c r="O296" i="4"/>
  <c r="P296" i="4" s="1"/>
  <c r="O288" i="4"/>
  <c r="P288" i="4" s="1"/>
  <c r="O280" i="4"/>
  <c r="P280" i="4" s="1"/>
  <c r="O272" i="4"/>
  <c r="P272" i="4" s="1"/>
  <c r="O264" i="4"/>
  <c r="P264" i="4" s="1"/>
  <c r="O256" i="4"/>
  <c r="P256" i="4" s="1"/>
  <c r="O248" i="4"/>
  <c r="P248" i="4" s="1"/>
  <c r="O240" i="4"/>
  <c r="P240" i="4" s="1"/>
  <c r="O232" i="4"/>
  <c r="P232" i="4" s="1"/>
  <c r="O224" i="4"/>
  <c r="P224" i="4" s="1"/>
  <c r="O216" i="4"/>
  <c r="P216" i="4" s="1"/>
  <c r="O208" i="4"/>
  <c r="P208" i="4" s="1"/>
  <c r="O200" i="4"/>
  <c r="P200" i="4" s="1"/>
  <c r="O192" i="4"/>
  <c r="P192" i="4" s="1"/>
  <c r="O184" i="4"/>
  <c r="P184" i="4" s="1"/>
  <c r="O176" i="4"/>
  <c r="P176" i="4" s="1"/>
  <c r="O168" i="4"/>
  <c r="P168" i="4" s="1"/>
  <c r="O160" i="4"/>
  <c r="P160" i="4" s="1"/>
  <c r="O152" i="4"/>
  <c r="P152" i="4" s="1"/>
  <c r="O144" i="4"/>
  <c r="P144" i="4" s="1"/>
  <c r="O136" i="4"/>
  <c r="P136" i="4" s="1"/>
  <c r="O128" i="4"/>
  <c r="P128" i="4" s="1"/>
  <c r="O120" i="4"/>
  <c r="P120" i="4" s="1"/>
  <c r="O112" i="4"/>
  <c r="P112" i="4" s="1"/>
  <c r="O104" i="4"/>
  <c r="P104" i="4" s="1"/>
  <c r="O96" i="4"/>
  <c r="P96" i="4" s="1"/>
  <c r="O88" i="4"/>
  <c r="P88" i="4" s="1"/>
  <c r="O80" i="4"/>
  <c r="P80" i="4" s="1"/>
  <c r="O72" i="4"/>
  <c r="P72" i="4" s="1"/>
  <c r="O64" i="4"/>
  <c r="P64" i="4" s="1"/>
  <c r="O56" i="4"/>
  <c r="P56" i="4" s="1"/>
  <c r="O48" i="4"/>
  <c r="P48" i="4" s="1"/>
  <c r="O40" i="4"/>
  <c r="P40" i="4" s="1"/>
  <c r="O32" i="4"/>
  <c r="P32" i="4" s="1"/>
  <c r="O24" i="4"/>
  <c r="P24" i="4" s="1"/>
  <c r="O16" i="4"/>
  <c r="P16" i="4" s="1"/>
  <c r="O8" i="4"/>
  <c r="P8" i="4" s="1"/>
  <c r="O1001" i="4"/>
  <c r="P1001" i="4" s="1"/>
  <c r="O985" i="4"/>
  <c r="P985" i="4" s="1"/>
  <c r="O961" i="4"/>
  <c r="P961" i="4" s="1"/>
  <c r="O945" i="4"/>
  <c r="P945" i="4" s="1"/>
  <c r="O929" i="4"/>
  <c r="P929" i="4" s="1"/>
  <c r="O913" i="4"/>
  <c r="P913" i="4" s="1"/>
  <c r="O905" i="4"/>
  <c r="P905" i="4" s="1"/>
  <c r="O889" i="4"/>
  <c r="P889" i="4" s="1"/>
  <c r="O873" i="4"/>
  <c r="P873" i="4" s="1"/>
  <c r="O849" i="4"/>
  <c r="P849" i="4" s="1"/>
  <c r="O833" i="4"/>
  <c r="P833" i="4" s="1"/>
  <c r="O817" i="4"/>
  <c r="P817" i="4" s="1"/>
  <c r="O999" i="4"/>
  <c r="P999" i="4" s="1"/>
  <c r="O991" i="4"/>
  <c r="P991" i="4" s="1"/>
  <c r="O983" i="4"/>
  <c r="P983" i="4" s="1"/>
  <c r="O975" i="4"/>
  <c r="P975" i="4" s="1"/>
  <c r="O967" i="4"/>
  <c r="P967" i="4" s="1"/>
  <c r="O959" i="4"/>
  <c r="P959" i="4" s="1"/>
  <c r="O951" i="4"/>
  <c r="P951" i="4" s="1"/>
  <c r="O943" i="4"/>
  <c r="P943" i="4" s="1"/>
  <c r="O935" i="4"/>
  <c r="P935" i="4" s="1"/>
  <c r="O927" i="4"/>
  <c r="P927" i="4" s="1"/>
  <c r="O919" i="4"/>
  <c r="P919" i="4" s="1"/>
  <c r="O911" i="4"/>
  <c r="P911" i="4" s="1"/>
  <c r="O903" i="4"/>
  <c r="P903" i="4" s="1"/>
  <c r="O895" i="4"/>
  <c r="P895" i="4" s="1"/>
  <c r="O887" i="4"/>
  <c r="P887" i="4" s="1"/>
  <c r="O879" i="4"/>
  <c r="P879" i="4" s="1"/>
  <c r="O871" i="4"/>
  <c r="P871" i="4" s="1"/>
  <c r="O863" i="4"/>
  <c r="P863" i="4" s="1"/>
  <c r="O855" i="4"/>
  <c r="P855" i="4" s="1"/>
  <c r="O847" i="4"/>
  <c r="P847" i="4" s="1"/>
  <c r="O839" i="4"/>
  <c r="P839" i="4" s="1"/>
  <c r="O831" i="4"/>
  <c r="P831" i="4" s="1"/>
  <c r="O823" i="4"/>
  <c r="P823" i="4" s="1"/>
  <c r="O815" i="4"/>
  <c r="P815" i="4" s="1"/>
  <c r="O807" i="4"/>
  <c r="P807" i="4" s="1"/>
  <c r="O799" i="4"/>
  <c r="P799" i="4" s="1"/>
  <c r="O791" i="4"/>
  <c r="P791" i="4" s="1"/>
  <c r="O783" i="4"/>
  <c r="P783" i="4" s="1"/>
  <c r="O775" i="4"/>
  <c r="P775" i="4" s="1"/>
  <c r="O767" i="4"/>
  <c r="P767" i="4" s="1"/>
  <c r="O759" i="4"/>
  <c r="P759" i="4" s="1"/>
  <c r="O751" i="4"/>
  <c r="P751" i="4" s="1"/>
  <c r="O743" i="4"/>
  <c r="P743" i="4" s="1"/>
  <c r="O735" i="4"/>
  <c r="P735" i="4" s="1"/>
  <c r="O727" i="4"/>
  <c r="P727" i="4" s="1"/>
  <c r="O719" i="4"/>
  <c r="P719" i="4" s="1"/>
  <c r="O711" i="4"/>
  <c r="P711" i="4" s="1"/>
  <c r="O703" i="4"/>
  <c r="P703" i="4" s="1"/>
  <c r="O695" i="4"/>
  <c r="P695" i="4" s="1"/>
  <c r="O687" i="4"/>
  <c r="P687" i="4" s="1"/>
  <c r="O679" i="4"/>
  <c r="P679" i="4" s="1"/>
  <c r="O671" i="4"/>
  <c r="P671" i="4" s="1"/>
  <c r="O663" i="4"/>
  <c r="P663" i="4" s="1"/>
  <c r="O655" i="4"/>
  <c r="P655" i="4" s="1"/>
  <c r="O647" i="4"/>
  <c r="P647" i="4" s="1"/>
  <c r="O639" i="4"/>
  <c r="P639" i="4" s="1"/>
  <c r="O631" i="4"/>
  <c r="P631" i="4" s="1"/>
  <c r="O623" i="4"/>
  <c r="P623" i="4" s="1"/>
  <c r="O615" i="4"/>
  <c r="P615" i="4" s="1"/>
  <c r="O607" i="4"/>
  <c r="P607" i="4" s="1"/>
  <c r="O599" i="4"/>
  <c r="P599" i="4" s="1"/>
  <c r="O591" i="4"/>
  <c r="P591" i="4" s="1"/>
  <c r="O583" i="4"/>
  <c r="P583" i="4" s="1"/>
  <c r="O575" i="4"/>
  <c r="P575" i="4" s="1"/>
  <c r="O567" i="4"/>
  <c r="P567" i="4" s="1"/>
  <c r="O559" i="4"/>
  <c r="P559" i="4" s="1"/>
  <c r="O551" i="4"/>
  <c r="P551" i="4" s="1"/>
  <c r="O543" i="4"/>
  <c r="P543" i="4" s="1"/>
  <c r="O535" i="4"/>
  <c r="P535" i="4" s="1"/>
  <c r="O527" i="4"/>
  <c r="P527" i="4" s="1"/>
  <c r="O519" i="4"/>
  <c r="P519" i="4" s="1"/>
  <c r="O511" i="4"/>
  <c r="P511" i="4" s="1"/>
  <c r="O503" i="4"/>
  <c r="P503" i="4" s="1"/>
  <c r="O495" i="4"/>
  <c r="P495" i="4" s="1"/>
  <c r="O487" i="4"/>
  <c r="P487" i="4" s="1"/>
  <c r="O479" i="4"/>
  <c r="P479" i="4" s="1"/>
  <c r="O471" i="4"/>
  <c r="P471" i="4" s="1"/>
  <c r="O463" i="4"/>
  <c r="P463" i="4" s="1"/>
  <c r="O455" i="4"/>
  <c r="P455" i="4" s="1"/>
  <c r="O447" i="4"/>
  <c r="P447" i="4" s="1"/>
  <c r="O439" i="4"/>
  <c r="P439" i="4" s="1"/>
  <c r="O431" i="4"/>
  <c r="P431" i="4" s="1"/>
  <c r="O423" i="4"/>
  <c r="P423" i="4" s="1"/>
  <c r="O415" i="4"/>
  <c r="P415" i="4" s="1"/>
  <c r="O407" i="4"/>
  <c r="P407" i="4" s="1"/>
  <c r="O399" i="4"/>
  <c r="P399" i="4" s="1"/>
  <c r="O391" i="4"/>
  <c r="P391" i="4" s="1"/>
  <c r="O383" i="4"/>
  <c r="P383" i="4" s="1"/>
  <c r="O375" i="4"/>
  <c r="P375" i="4" s="1"/>
  <c r="O367" i="4"/>
  <c r="P367" i="4" s="1"/>
  <c r="O359" i="4"/>
  <c r="P359" i="4" s="1"/>
  <c r="O351" i="4"/>
  <c r="P351" i="4" s="1"/>
  <c r="O343" i="4"/>
  <c r="P343" i="4" s="1"/>
  <c r="O335" i="4"/>
  <c r="P335" i="4" s="1"/>
  <c r="O327" i="4"/>
  <c r="P327" i="4" s="1"/>
  <c r="O319" i="4"/>
  <c r="P319" i="4" s="1"/>
  <c r="O311" i="4"/>
  <c r="P311" i="4" s="1"/>
  <c r="O303" i="4"/>
  <c r="P303" i="4" s="1"/>
  <c r="O295" i="4"/>
  <c r="P295" i="4" s="1"/>
  <c r="O287" i="4"/>
  <c r="P287" i="4" s="1"/>
  <c r="O279" i="4"/>
  <c r="P279" i="4" s="1"/>
  <c r="O271" i="4"/>
  <c r="P271" i="4" s="1"/>
  <c r="O263" i="4"/>
  <c r="P263" i="4" s="1"/>
  <c r="O255" i="4"/>
  <c r="P255" i="4" s="1"/>
  <c r="O247" i="4"/>
  <c r="P247" i="4" s="1"/>
  <c r="O239" i="4"/>
  <c r="P239" i="4" s="1"/>
  <c r="O231" i="4"/>
  <c r="P231" i="4" s="1"/>
  <c r="O223" i="4"/>
  <c r="P223" i="4" s="1"/>
  <c r="O215" i="4"/>
  <c r="P215" i="4" s="1"/>
  <c r="O207" i="4"/>
  <c r="P207" i="4" s="1"/>
  <c r="O199" i="4"/>
  <c r="P199" i="4" s="1"/>
  <c r="O191" i="4"/>
  <c r="P191" i="4" s="1"/>
  <c r="O183" i="4"/>
  <c r="P183" i="4" s="1"/>
  <c r="O175" i="4"/>
  <c r="P175" i="4" s="1"/>
  <c r="O167" i="4"/>
  <c r="P167" i="4" s="1"/>
  <c r="O159" i="4"/>
  <c r="P159" i="4" s="1"/>
  <c r="O151" i="4"/>
  <c r="P151" i="4" s="1"/>
  <c r="O143" i="4"/>
  <c r="P143" i="4" s="1"/>
  <c r="O135" i="4"/>
  <c r="P135" i="4" s="1"/>
  <c r="O127" i="4"/>
  <c r="P127" i="4" s="1"/>
  <c r="O119" i="4"/>
  <c r="P119" i="4" s="1"/>
  <c r="O111" i="4"/>
  <c r="P111" i="4" s="1"/>
  <c r="O103" i="4"/>
  <c r="P103" i="4" s="1"/>
  <c r="O95" i="4"/>
  <c r="P95" i="4" s="1"/>
  <c r="O87" i="4"/>
  <c r="P87" i="4" s="1"/>
  <c r="O79" i="4"/>
  <c r="P79" i="4" s="1"/>
  <c r="O71" i="4"/>
  <c r="P71" i="4" s="1"/>
  <c r="O63" i="4"/>
  <c r="P63" i="4" s="1"/>
  <c r="O55" i="4"/>
  <c r="P55" i="4" s="1"/>
  <c r="O47" i="4"/>
  <c r="P47" i="4" s="1"/>
  <c r="O39" i="4"/>
  <c r="P39" i="4" s="1"/>
  <c r="O31" i="4"/>
  <c r="P31" i="4" s="1"/>
  <c r="O23" i="4"/>
  <c r="P23" i="4" s="1"/>
  <c r="O15" i="4"/>
  <c r="P15" i="4" s="1"/>
  <c r="O7" i="4"/>
  <c r="P7" i="4" s="1"/>
  <c r="F7" i="5" l="1"/>
  <c r="F8" i="5" s="1"/>
  <c r="P2"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<sst xmlns="http://schemas.openxmlformats.org/spreadsheetml/2006/main" count="10321" uniqueCount="1498">
  <si>
    <t>Customer ID</t>
  </si>
  <si>
    <t>Customer Name</t>
  </si>
  <si>
    <t>City</t>
  </si>
  <si>
    <t>C0001</t>
  </si>
  <si>
    <t>Riya Sharma</t>
  </si>
  <si>
    <t>Delhi</t>
  </si>
  <si>
    <t>C0002</t>
  </si>
  <si>
    <t>Arjun Mehta</t>
  </si>
  <si>
    <t>Mumbai</t>
  </si>
  <si>
    <t>C0003</t>
  </si>
  <si>
    <t>Meena Joshi</t>
  </si>
  <si>
    <t>C0004</t>
  </si>
  <si>
    <t>Mohan Das</t>
  </si>
  <si>
    <t>C0005</t>
  </si>
  <si>
    <t>Jaipur</t>
  </si>
  <si>
    <t>C0006</t>
  </si>
  <si>
    <t>Amit Kumar</t>
  </si>
  <si>
    <t>Pune</t>
  </si>
  <si>
    <t>C0007</t>
  </si>
  <si>
    <t>Neha Singh</t>
  </si>
  <si>
    <t>Lucknow</t>
  </si>
  <si>
    <t>C0008</t>
  </si>
  <si>
    <t>Anjali Gupta</t>
  </si>
  <si>
    <t>C0009</t>
  </si>
  <si>
    <t>Vikas Yadav</t>
  </si>
  <si>
    <t>C0010</t>
  </si>
  <si>
    <t>C0011</t>
  </si>
  <si>
    <t>Ahmedabad</t>
  </si>
  <si>
    <t>C0012</t>
  </si>
  <si>
    <t>Rahul Sharma</t>
  </si>
  <si>
    <t>C0013</t>
  </si>
  <si>
    <t>Chandigarh</t>
  </si>
  <si>
    <t>C0014</t>
  </si>
  <si>
    <t>C0015</t>
  </si>
  <si>
    <t>C0016</t>
  </si>
  <si>
    <t>C0017</t>
  </si>
  <si>
    <t>C0018</t>
  </si>
  <si>
    <t>Sneha Roy</t>
  </si>
  <si>
    <t>C0019</t>
  </si>
  <si>
    <t>Noida</t>
  </si>
  <si>
    <t>C0020</t>
  </si>
  <si>
    <t>C0021</t>
  </si>
  <si>
    <t>C0022</t>
  </si>
  <si>
    <t>C0023</t>
  </si>
  <si>
    <t>C0024</t>
  </si>
  <si>
    <t>Karan Patel</t>
  </si>
  <si>
    <t>C0025</t>
  </si>
  <si>
    <t>Priya Verma</t>
  </si>
  <si>
    <t>C0026</t>
  </si>
  <si>
    <t>C0027</t>
  </si>
  <si>
    <t>C0028</t>
  </si>
  <si>
    <t>C0029</t>
  </si>
  <si>
    <t>C0030</t>
  </si>
  <si>
    <t>C0031</t>
  </si>
  <si>
    <t>C0032</t>
  </si>
  <si>
    <t>C0033</t>
  </si>
  <si>
    <t>C0034</t>
  </si>
  <si>
    <t>C0035</t>
  </si>
  <si>
    <t>C0036</t>
  </si>
  <si>
    <t>C0037</t>
  </si>
  <si>
    <t>C0038</t>
  </si>
  <si>
    <t>C0039</t>
  </si>
  <si>
    <t>C0040</t>
  </si>
  <si>
    <t>C0041</t>
  </si>
  <si>
    <t>C0042</t>
  </si>
  <si>
    <t>C0043</t>
  </si>
  <si>
    <t>C0044</t>
  </si>
  <si>
    <t>C0045</t>
  </si>
  <si>
    <t>C0046</t>
  </si>
  <si>
    <t>C0047</t>
  </si>
  <si>
    <t>C0048</t>
  </si>
  <si>
    <t>C0049</t>
  </si>
  <si>
    <t>C0050</t>
  </si>
  <si>
    <t>C0051</t>
  </si>
  <si>
    <t>C0052</t>
  </si>
  <si>
    <t>C0053</t>
  </si>
  <si>
    <t>C0054</t>
  </si>
  <si>
    <t>C0055</t>
  </si>
  <si>
    <t>C0056</t>
  </si>
  <si>
    <t>C0057</t>
  </si>
  <si>
    <t>C0058</t>
  </si>
  <si>
    <t>C0059</t>
  </si>
  <si>
    <t>C0060</t>
  </si>
  <si>
    <t>C0061</t>
  </si>
  <si>
    <t>C0062</t>
  </si>
  <si>
    <t>C0063</t>
  </si>
  <si>
    <t>C0064</t>
  </si>
  <si>
    <t>C0065</t>
  </si>
  <si>
    <t>C0066</t>
  </si>
  <si>
    <t>C0067</t>
  </si>
  <si>
    <t>C0068</t>
  </si>
  <si>
    <t>C0069</t>
  </si>
  <si>
    <t>C0070</t>
  </si>
  <si>
    <t>C0071</t>
  </si>
  <si>
    <t>C0072</t>
  </si>
  <si>
    <t>C0073</t>
  </si>
  <si>
    <t>C0074</t>
  </si>
  <si>
    <t>C0075</t>
  </si>
  <si>
    <t>C0076</t>
  </si>
  <si>
    <t>C0077</t>
  </si>
  <si>
    <t>C0078</t>
  </si>
  <si>
    <t>C0079</t>
  </si>
  <si>
    <t>C0080</t>
  </si>
  <si>
    <t>C0081</t>
  </si>
  <si>
    <t>C0082</t>
  </si>
  <si>
    <t>C0083</t>
  </si>
  <si>
    <t>C0084</t>
  </si>
  <si>
    <t>C0085</t>
  </si>
  <si>
    <t>C0086</t>
  </si>
  <si>
    <t>C0087</t>
  </si>
  <si>
    <t>C0088</t>
  </si>
  <si>
    <t>C0089</t>
  </si>
  <si>
    <t>C0090</t>
  </si>
  <si>
    <t>C0091</t>
  </si>
  <si>
    <t>C0092</t>
  </si>
  <si>
    <t>C0093</t>
  </si>
  <si>
    <t>C0094</t>
  </si>
  <si>
    <t>C0095</t>
  </si>
  <si>
    <t>C0096</t>
  </si>
  <si>
    <t>C0097</t>
  </si>
  <si>
    <t>C0098</t>
  </si>
  <si>
    <t>C0099</t>
  </si>
  <si>
    <t>C0100</t>
  </si>
  <si>
    <t>C0101</t>
  </si>
  <si>
    <t>C0102</t>
  </si>
  <si>
    <t>C0103</t>
  </si>
  <si>
    <t>C0104</t>
  </si>
  <si>
    <t>C0105</t>
  </si>
  <si>
    <t>C0106</t>
  </si>
  <si>
    <t>C0107</t>
  </si>
  <si>
    <t>C0108</t>
  </si>
  <si>
    <t>C0109</t>
  </si>
  <si>
    <t>C0110</t>
  </si>
  <si>
    <t>C0111</t>
  </si>
  <si>
    <t>C0112</t>
  </si>
  <si>
    <t>C0113</t>
  </si>
  <si>
    <t>C0114</t>
  </si>
  <si>
    <t>C0115</t>
  </si>
  <si>
    <t>C0116</t>
  </si>
  <si>
    <t>C0117</t>
  </si>
  <si>
    <t>C0118</t>
  </si>
  <si>
    <t>C0119</t>
  </si>
  <si>
    <t>C0120</t>
  </si>
  <si>
    <t>C0121</t>
  </si>
  <si>
    <t>C0122</t>
  </si>
  <si>
    <t>C0123</t>
  </si>
  <si>
    <t>C0124</t>
  </si>
  <si>
    <t>C0125</t>
  </si>
  <si>
    <t>C0126</t>
  </si>
  <si>
    <t>C0127</t>
  </si>
  <si>
    <t>C0128</t>
  </si>
  <si>
    <t>C0129</t>
  </si>
  <si>
    <t>C0130</t>
  </si>
  <si>
    <t>C0131</t>
  </si>
  <si>
    <t>C0132</t>
  </si>
  <si>
    <t>C0133</t>
  </si>
  <si>
    <t>C0134</t>
  </si>
  <si>
    <t>C0135</t>
  </si>
  <si>
    <t>C0136</t>
  </si>
  <si>
    <t>C0137</t>
  </si>
  <si>
    <t>C0138</t>
  </si>
  <si>
    <t>C0139</t>
  </si>
  <si>
    <t>C0140</t>
  </si>
  <si>
    <t>C0141</t>
  </si>
  <si>
    <t>C0142</t>
  </si>
  <si>
    <t>C0143</t>
  </si>
  <si>
    <t>C0144</t>
  </si>
  <si>
    <t>C0145</t>
  </si>
  <si>
    <t>C0146</t>
  </si>
  <si>
    <t>C0147</t>
  </si>
  <si>
    <t>C0148</t>
  </si>
  <si>
    <t>C0149</t>
  </si>
  <si>
    <t>C0150</t>
  </si>
  <si>
    <t>C0151</t>
  </si>
  <si>
    <t>C0152</t>
  </si>
  <si>
    <t>C0153</t>
  </si>
  <si>
    <t>C0154</t>
  </si>
  <si>
    <t>C0155</t>
  </si>
  <si>
    <t>C0156</t>
  </si>
  <si>
    <t>C0157</t>
  </si>
  <si>
    <t>C0158</t>
  </si>
  <si>
    <t>C0159</t>
  </si>
  <si>
    <t>C0160</t>
  </si>
  <si>
    <t>C0161</t>
  </si>
  <si>
    <t>C0162</t>
  </si>
  <si>
    <t>C0163</t>
  </si>
  <si>
    <t>C0164</t>
  </si>
  <si>
    <t>C0165</t>
  </si>
  <si>
    <t>C0166</t>
  </si>
  <si>
    <t>C0167</t>
  </si>
  <si>
    <t>C0168</t>
  </si>
  <si>
    <t>C0169</t>
  </si>
  <si>
    <t>C0170</t>
  </si>
  <si>
    <t>C0171</t>
  </si>
  <si>
    <t>C0172</t>
  </si>
  <si>
    <t>C0173</t>
  </si>
  <si>
    <t>C0174</t>
  </si>
  <si>
    <t>C0175</t>
  </si>
  <si>
    <t>C0176</t>
  </si>
  <si>
    <t>C0177</t>
  </si>
  <si>
    <t>C0178</t>
  </si>
  <si>
    <t>C0179</t>
  </si>
  <si>
    <t>C0180</t>
  </si>
  <si>
    <t>C0181</t>
  </si>
  <si>
    <t>C0182</t>
  </si>
  <si>
    <t>C0183</t>
  </si>
  <si>
    <t>C0184</t>
  </si>
  <si>
    <t>C0185</t>
  </si>
  <si>
    <t>C0186</t>
  </si>
  <si>
    <t>C0187</t>
  </si>
  <si>
    <t>C0188</t>
  </si>
  <si>
    <t>C0189</t>
  </si>
  <si>
    <t>C0190</t>
  </si>
  <si>
    <t>C0191</t>
  </si>
  <si>
    <t>C0192</t>
  </si>
  <si>
    <t>C0193</t>
  </si>
  <si>
    <t>C0194</t>
  </si>
  <si>
    <t>C0195</t>
  </si>
  <si>
    <t>C0196</t>
  </si>
  <si>
    <t>C0197</t>
  </si>
  <si>
    <t>C0198</t>
  </si>
  <si>
    <t>C0199</t>
  </si>
  <si>
    <t>C0200</t>
  </si>
  <si>
    <t>C0201</t>
  </si>
  <si>
    <t>C0202</t>
  </si>
  <si>
    <t>C0203</t>
  </si>
  <si>
    <t>C0204</t>
  </si>
  <si>
    <t>C0205</t>
  </si>
  <si>
    <t>C0206</t>
  </si>
  <si>
    <t>C0207</t>
  </si>
  <si>
    <t>C0208</t>
  </si>
  <si>
    <t>C0209</t>
  </si>
  <si>
    <t>C0210</t>
  </si>
  <si>
    <t>C0211</t>
  </si>
  <si>
    <t>C0212</t>
  </si>
  <si>
    <t>C0213</t>
  </si>
  <si>
    <t>C0214</t>
  </si>
  <si>
    <t>C0215</t>
  </si>
  <si>
    <t>C0216</t>
  </si>
  <si>
    <t>C0217</t>
  </si>
  <si>
    <t>C0218</t>
  </si>
  <si>
    <t>C0219</t>
  </si>
  <si>
    <t>C0220</t>
  </si>
  <si>
    <t>C0221</t>
  </si>
  <si>
    <t>C0222</t>
  </si>
  <si>
    <t>C0223</t>
  </si>
  <si>
    <t>C0224</t>
  </si>
  <si>
    <t>C0225</t>
  </si>
  <si>
    <t>C0226</t>
  </si>
  <si>
    <t>C0227</t>
  </si>
  <si>
    <t>C0228</t>
  </si>
  <si>
    <t>C0229</t>
  </si>
  <si>
    <t>C0230</t>
  </si>
  <si>
    <t>C0231</t>
  </si>
  <si>
    <t>C0232</t>
  </si>
  <si>
    <t>C0233</t>
  </si>
  <si>
    <t>C0234</t>
  </si>
  <si>
    <t>C0235</t>
  </si>
  <si>
    <t>C0236</t>
  </si>
  <si>
    <t>C0237</t>
  </si>
  <si>
    <t>C0238</t>
  </si>
  <si>
    <t>C0239</t>
  </si>
  <si>
    <t>C0240</t>
  </si>
  <si>
    <t>C0241</t>
  </si>
  <si>
    <t>C0242</t>
  </si>
  <si>
    <t>C0243</t>
  </si>
  <si>
    <t>C0244</t>
  </si>
  <si>
    <t>C0245</t>
  </si>
  <si>
    <t>C0246</t>
  </si>
  <si>
    <t>C0247</t>
  </si>
  <si>
    <t>C0248</t>
  </si>
  <si>
    <t>C0249</t>
  </si>
  <si>
    <t>C0250</t>
  </si>
  <si>
    <t>C0251</t>
  </si>
  <si>
    <t>C0252</t>
  </si>
  <si>
    <t>C0253</t>
  </si>
  <si>
    <t>C0254</t>
  </si>
  <si>
    <t>C0255</t>
  </si>
  <si>
    <t>C0256</t>
  </si>
  <si>
    <t>C0257</t>
  </si>
  <si>
    <t>C0258</t>
  </si>
  <si>
    <t>C0259</t>
  </si>
  <si>
    <t>C0260</t>
  </si>
  <si>
    <t>C0261</t>
  </si>
  <si>
    <t>C0262</t>
  </si>
  <si>
    <t>C0263</t>
  </si>
  <si>
    <t>C0264</t>
  </si>
  <si>
    <t>C0265</t>
  </si>
  <si>
    <t>C0266</t>
  </si>
  <si>
    <t>C0267</t>
  </si>
  <si>
    <t>C0268</t>
  </si>
  <si>
    <t>C0269</t>
  </si>
  <si>
    <t>C0270</t>
  </si>
  <si>
    <t>C0271</t>
  </si>
  <si>
    <t>C0272</t>
  </si>
  <si>
    <t>C0273</t>
  </si>
  <si>
    <t>C0274</t>
  </si>
  <si>
    <t>C0275</t>
  </si>
  <si>
    <t>C0276</t>
  </si>
  <si>
    <t>C0277</t>
  </si>
  <si>
    <t>C0278</t>
  </si>
  <si>
    <t>C0279</t>
  </si>
  <si>
    <t>C0280</t>
  </si>
  <si>
    <t>C0281</t>
  </si>
  <si>
    <t>C0282</t>
  </si>
  <si>
    <t>C0283</t>
  </si>
  <si>
    <t>C0284</t>
  </si>
  <si>
    <t>C0285</t>
  </si>
  <si>
    <t>C0286</t>
  </si>
  <si>
    <t>C0287</t>
  </si>
  <si>
    <t>C0288</t>
  </si>
  <si>
    <t>C0289</t>
  </si>
  <si>
    <t>C0290</t>
  </si>
  <si>
    <t>C0291</t>
  </si>
  <si>
    <t>C0292</t>
  </si>
  <si>
    <t>C0293</t>
  </si>
  <si>
    <t>C0294</t>
  </si>
  <si>
    <t>C0295</t>
  </si>
  <si>
    <t>C0296</t>
  </si>
  <si>
    <t>C0297</t>
  </si>
  <si>
    <t>C0298</t>
  </si>
  <si>
    <t>C0299</t>
  </si>
  <si>
    <t>C0300</t>
  </si>
  <si>
    <t>Product ID</t>
  </si>
  <si>
    <t>Product Name</t>
  </si>
  <si>
    <t>Category</t>
  </si>
  <si>
    <t>Cost Price</t>
  </si>
  <si>
    <t>Selling Price</t>
  </si>
  <si>
    <t>P001</t>
  </si>
  <si>
    <t>Mobile</t>
  </si>
  <si>
    <t>Electronics</t>
  </si>
  <si>
    <t>P002</t>
  </si>
  <si>
    <t>Mouse</t>
  </si>
  <si>
    <t>Accessories</t>
  </si>
  <si>
    <t>P003</t>
  </si>
  <si>
    <t>Keyboard</t>
  </si>
  <si>
    <t>P004</t>
  </si>
  <si>
    <t>Tablet</t>
  </si>
  <si>
    <t>P005</t>
  </si>
  <si>
    <t>P006</t>
  </si>
  <si>
    <t>Laptop</t>
  </si>
  <si>
    <t>P007</t>
  </si>
  <si>
    <t>P008</t>
  </si>
  <si>
    <t>P009</t>
  </si>
  <si>
    <t>Speaker</t>
  </si>
  <si>
    <t>P010</t>
  </si>
  <si>
    <t>Monitor</t>
  </si>
  <si>
    <t>P011</t>
  </si>
  <si>
    <t>P012</t>
  </si>
  <si>
    <t>P013</t>
  </si>
  <si>
    <t>MONITOR</t>
  </si>
  <si>
    <t>P014</t>
  </si>
  <si>
    <t>P015</t>
  </si>
  <si>
    <t>Printer</t>
  </si>
  <si>
    <t>P016</t>
  </si>
  <si>
    <t>P017</t>
  </si>
  <si>
    <t>P018</t>
  </si>
  <si>
    <t>P019</t>
  </si>
  <si>
    <t>P020</t>
  </si>
  <si>
    <t>P021</t>
  </si>
  <si>
    <t>P022</t>
  </si>
  <si>
    <t>P023</t>
  </si>
  <si>
    <t>P024</t>
  </si>
  <si>
    <t>P025</t>
  </si>
  <si>
    <t>P026</t>
  </si>
  <si>
    <t>P027</t>
  </si>
  <si>
    <t>P028</t>
  </si>
  <si>
    <t>P029</t>
  </si>
  <si>
    <t>SPEAKER</t>
  </si>
  <si>
    <t>P030</t>
  </si>
  <si>
    <t>P031</t>
  </si>
  <si>
    <t>P032</t>
  </si>
  <si>
    <t>P033</t>
  </si>
  <si>
    <t>P034</t>
  </si>
  <si>
    <t>P035</t>
  </si>
  <si>
    <t>P036</t>
  </si>
  <si>
    <t>P037</t>
  </si>
  <si>
    <t>P038</t>
  </si>
  <si>
    <t>TABLET</t>
  </si>
  <si>
    <t>P039</t>
  </si>
  <si>
    <t>P040</t>
  </si>
  <si>
    <t>P041</t>
  </si>
  <si>
    <t>MOBILE</t>
  </si>
  <si>
    <t>P042</t>
  </si>
  <si>
    <t>P043</t>
  </si>
  <si>
    <t>P044</t>
  </si>
  <si>
    <t>P045</t>
  </si>
  <si>
    <t>P046</t>
  </si>
  <si>
    <t>P047</t>
  </si>
  <si>
    <t>P048</t>
  </si>
  <si>
    <t>P049</t>
  </si>
  <si>
    <t>P050</t>
  </si>
  <si>
    <t>MOUSE</t>
  </si>
  <si>
    <t>P051</t>
  </si>
  <si>
    <t>P052</t>
  </si>
  <si>
    <t>P053</t>
  </si>
  <si>
    <t>P054</t>
  </si>
  <si>
    <t>P055</t>
  </si>
  <si>
    <t>P056</t>
  </si>
  <si>
    <t>P057</t>
  </si>
  <si>
    <t>P058</t>
  </si>
  <si>
    <t>P059</t>
  </si>
  <si>
    <t>P060</t>
  </si>
  <si>
    <t>P061</t>
  </si>
  <si>
    <t>PRINTER</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</si>
  <si>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</si>
  <si>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</si>
  <si>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</si>
  <si>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</si>
  <si>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</si>
  <si>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</si>
  <si>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</si>
  <si>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</si>
  <si>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</si>
  <si>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</si>
  <si>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</si>
  <si>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</si>
  <si>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</si>
  <si>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</si>
  <si>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</si>
  <si>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</si>
  <si>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</si>
  <si>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</si>
  <si>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</si>
  <si>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</si>
  <si>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</si>
  <si>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P083</t>
  </si>
  <si>
    <t>P084</t>
  </si>
  <si>
    <t>P085</t>
  </si>
  <si>
    <t>P086</t>
  </si>
  <si>
    <t>P087</t>
  </si>
  <si>
    <t>P088</t>
  </si>
  <si>
    <t>P089</t>
  </si>
  <si>
    <t>P090</t>
  </si>
  <si>
    <t>P091</t>
  </si>
  <si>
    <t>P092</t>
  </si>
  <si>
    <t>P093</t>
  </si>
  <si>
    <t>P094</t>
  </si>
  <si>
    <t>P095</t>
  </si>
  <si>
    <t>P096</t>
  </si>
  <si>
    <t>P097</t>
  </si>
  <si>
    <t>P098</t>
  </si>
  <si>
    <t>P099</t>
  </si>
  <si>
    <t>P100</t>
  </si>
  <si>
    <t>Order ID</t>
  </si>
  <si>
    <t>Order Date</t>
  </si>
  <si>
    <t>Quantity</t>
  </si>
  <si>
    <t>O00001</t>
  </si>
  <si>
    <t>O00002</t>
  </si>
  <si>
    <t>O00003</t>
  </si>
  <si>
    <t>O00004</t>
  </si>
  <si>
    <t>O00005</t>
  </si>
  <si>
    <t>O00006</t>
  </si>
  <si>
    <t>O00007</t>
  </si>
  <si>
    <t>O00008</t>
  </si>
  <si>
    <t>O00009</t>
  </si>
  <si>
    <t>O00010</t>
  </si>
  <si>
    <t>O00011</t>
  </si>
  <si>
    <t>O00012</t>
  </si>
  <si>
    <t>C9999</t>
  </si>
  <si>
    <t>O00013</t>
  </si>
  <si>
    <t>O00014</t>
  </si>
  <si>
    <t>O00015</t>
  </si>
  <si>
    <t>O00016</t>
  </si>
  <si>
    <t>O00017</t>
  </si>
  <si>
    <t>O00018</t>
  </si>
  <si>
    <t>O00019</t>
  </si>
  <si>
    <t>O00020</t>
  </si>
  <si>
    <t>O00021</t>
  </si>
  <si>
    <t>C8888</t>
  </si>
  <si>
    <t>O00022</t>
  </si>
  <si>
    <t>O00023</t>
  </si>
  <si>
    <t>O00024</t>
  </si>
  <si>
    <t>O00025</t>
  </si>
  <si>
    <t>O00026</t>
  </si>
  <si>
    <t>O00027</t>
  </si>
  <si>
    <t>O00028</t>
  </si>
  <si>
    <t>O00029</t>
  </si>
  <si>
    <t>O00030</t>
  </si>
  <si>
    <t>O00031</t>
  </si>
  <si>
    <t>O00032</t>
  </si>
  <si>
    <t>O00033</t>
  </si>
  <si>
    <t>O00034</t>
  </si>
  <si>
    <t>O00035</t>
  </si>
  <si>
    <t>O00036</t>
  </si>
  <si>
    <t>O00037</t>
  </si>
  <si>
    <t>O00038</t>
  </si>
  <si>
    <t>O00039</t>
  </si>
  <si>
    <t>O00040</t>
  </si>
  <si>
    <t>O00041</t>
  </si>
  <si>
    <t>O00042</t>
  </si>
  <si>
    <t>O00043</t>
  </si>
  <si>
    <t>O00044</t>
  </si>
  <si>
    <t>O00045</t>
  </si>
  <si>
    <t>O00046</t>
  </si>
  <si>
    <t>O00047</t>
  </si>
  <si>
    <t>O00048</t>
  </si>
  <si>
    <t>O00049</t>
  </si>
  <si>
    <t>O00050</t>
  </si>
  <si>
    <t>O00051</t>
  </si>
  <si>
    <t>O00052</t>
  </si>
  <si>
    <t>O00053</t>
  </si>
  <si>
    <t>O00054</t>
  </si>
  <si>
    <t>O00055</t>
  </si>
  <si>
    <t>O00056</t>
  </si>
  <si>
    <t>O00057</t>
  </si>
  <si>
    <t>O00058</t>
  </si>
  <si>
    <t>O00059</t>
  </si>
  <si>
    <t>O00060</t>
  </si>
  <si>
    <t>O00061</t>
  </si>
  <si>
    <t>O00062</t>
  </si>
  <si>
    <t>O00063</t>
  </si>
  <si>
    <t>O00064</t>
  </si>
  <si>
    <t>O00065</t>
  </si>
  <si>
    <t>O00066</t>
  </si>
  <si>
    <t>O00067</t>
  </si>
  <si>
    <t>O00068</t>
  </si>
  <si>
    <t>O00069</t>
  </si>
  <si>
    <t>O00070</t>
  </si>
  <si>
    <t>O00071</t>
  </si>
  <si>
    <t>O00072</t>
  </si>
  <si>
    <t>O00073</t>
  </si>
  <si>
    <t>O00074</t>
  </si>
  <si>
    <t>O00075</t>
  </si>
  <si>
    <t>O00076</t>
  </si>
  <si>
    <t>O00077</t>
  </si>
  <si>
    <t>O00078</t>
  </si>
  <si>
    <t>O00079</t>
  </si>
  <si>
    <t>O00080</t>
  </si>
  <si>
    <t>O00081</t>
  </si>
  <si>
    <t>O00082</t>
  </si>
  <si>
    <t>O00083</t>
  </si>
  <si>
    <t>O00084</t>
  </si>
  <si>
    <t>O00085</t>
  </si>
  <si>
    <t>O00086</t>
  </si>
  <si>
    <t>O00087</t>
  </si>
  <si>
    <t>O00088</t>
  </si>
  <si>
    <t>O00089</t>
  </si>
  <si>
    <t>O00090</t>
  </si>
  <si>
    <t>O00091</t>
  </si>
  <si>
    <t>O00092</t>
  </si>
  <si>
    <t>O00093</t>
  </si>
  <si>
    <t>O00094</t>
  </si>
  <si>
    <t>O00095</t>
  </si>
  <si>
    <t>O00096</t>
  </si>
  <si>
    <t>O00097</t>
  </si>
  <si>
    <t>O00098</t>
  </si>
  <si>
    <t>O00099</t>
  </si>
  <si>
    <t>O00100</t>
  </si>
  <si>
    <t>O00101</t>
  </si>
  <si>
    <t>O00102</t>
  </si>
  <si>
    <t>O00103</t>
  </si>
  <si>
    <t>O00104</t>
  </si>
  <si>
    <t>O00105</t>
  </si>
  <si>
    <t>O00106</t>
  </si>
  <si>
    <t>O00107</t>
  </si>
  <si>
    <t>O00108</t>
  </si>
  <si>
    <t>O00109</t>
  </si>
  <si>
    <t>O00110</t>
  </si>
  <si>
    <t>O00111</t>
  </si>
  <si>
    <t>O00112</t>
  </si>
  <si>
    <t>O00113</t>
  </si>
  <si>
    <t>O00114</t>
  </si>
  <si>
    <t>O00115</t>
  </si>
  <si>
    <t>O00116</t>
  </si>
  <si>
    <t>O00117</t>
  </si>
  <si>
    <t>O00118</t>
  </si>
  <si>
    <t>O00119</t>
  </si>
  <si>
    <t>O00120</t>
  </si>
  <si>
    <t>O00121</t>
  </si>
  <si>
    <t>O00122</t>
  </si>
  <si>
    <t>O00123</t>
  </si>
  <si>
    <t>O00124</t>
  </si>
  <si>
    <t>O00125</t>
  </si>
  <si>
    <t>O00126</t>
  </si>
  <si>
    <t>O00127</t>
  </si>
  <si>
    <t>O00128</t>
  </si>
  <si>
    <t>O00129</t>
  </si>
  <si>
    <t>O00130</t>
  </si>
  <si>
    <t>O00131</t>
  </si>
  <si>
    <t>O00132</t>
  </si>
  <si>
    <t>O00133</t>
  </si>
  <si>
    <t>O00134</t>
  </si>
  <si>
    <t>O00135</t>
  </si>
  <si>
    <t>O00136</t>
  </si>
  <si>
    <t>O00137</t>
  </si>
  <si>
    <t>O00138</t>
  </si>
  <si>
    <t>O00139</t>
  </si>
  <si>
    <t>O00140</t>
  </si>
  <si>
    <t>O00141</t>
  </si>
  <si>
    <t>O00142</t>
  </si>
  <si>
    <t>O00143</t>
  </si>
  <si>
    <t>O00144</t>
  </si>
  <si>
    <t>O00145</t>
  </si>
  <si>
    <t>O00146</t>
  </si>
  <si>
    <t>O00147</t>
  </si>
  <si>
    <t>O00148</t>
  </si>
  <si>
    <t>O00149</t>
  </si>
  <si>
    <t>O00150</t>
  </si>
  <si>
    <t>O00151</t>
  </si>
  <si>
    <t>O00152</t>
  </si>
  <si>
    <t>O00153</t>
  </si>
  <si>
    <t>O00154</t>
  </si>
  <si>
    <t>O00155</t>
  </si>
  <si>
    <t>O00156</t>
  </si>
  <si>
    <t>O00157</t>
  </si>
  <si>
    <t>O00158</t>
  </si>
  <si>
    <t>O00159</t>
  </si>
  <si>
    <t>O00160</t>
  </si>
  <si>
    <t>O00161</t>
  </si>
  <si>
    <t>O00162</t>
  </si>
  <si>
    <t>O00163</t>
  </si>
  <si>
    <t>O00164</t>
  </si>
  <si>
    <t>O00165</t>
  </si>
  <si>
    <t>O00166</t>
  </si>
  <si>
    <t>O00167</t>
  </si>
  <si>
    <t>O00168</t>
  </si>
  <si>
    <t>O00169</t>
  </si>
  <si>
    <t>O00170</t>
  </si>
  <si>
    <t>O00171</t>
  </si>
  <si>
    <t>O00172</t>
  </si>
  <si>
    <t>O00173</t>
  </si>
  <si>
    <t>O00174</t>
  </si>
  <si>
    <t>O00175</t>
  </si>
  <si>
    <t>O00176</t>
  </si>
  <si>
    <t>O00177</t>
  </si>
  <si>
    <t>O00178</t>
  </si>
  <si>
    <t>O00179</t>
  </si>
  <si>
    <t>O00180</t>
  </si>
  <si>
    <t>O00181</t>
  </si>
  <si>
    <t>O00182</t>
  </si>
  <si>
    <t>O00183</t>
  </si>
  <si>
    <t>O00184</t>
  </si>
  <si>
    <t>O00185</t>
  </si>
  <si>
    <t>O00186</t>
  </si>
  <si>
    <t>O00187</t>
  </si>
  <si>
    <t>O00188</t>
  </si>
  <si>
    <t>O00189</t>
  </si>
  <si>
    <t>O00190</t>
  </si>
  <si>
    <t>O00191</t>
  </si>
  <si>
    <t>O00192</t>
  </si>
  <si>
    <t>O00193</t>
  </si>
  <si>
    <t>O00194</t>
  </si>
  <si>
    <t>O00195</t>
  </si>
  <si>
    <t>O00196</t>
  </si>
  <si>
    <t>O00197</t>
  </si>
  <si>
    <t>O00198</t>
  </si>
  <si>
    <t>O00199</t>
  </si>
  <si>
    <t>O00200</t>
  </si>
  <si>
    <t>O00201</t>
  </si>
  <si>
    <t>O00202</t>
  </si>
  <si>
    <t>O00203</t>
  </si>
  <si>
    <t>O00204</t>
  </si>
  <si>
    <t>O00205</t>
  </si>
  <si>
    <t>O00206</t>
  </si>
  <si>
    <t>O00207</t>
  </si>
  <si>
    <t>O00208</t>
  </si>
  <si>
    <t>O00209</t>
  </si>
  <si>
    <t>O00210</t>
  </si>
  <si>
    <t>O00211</t>
  </si>
  <si>
    <t>O00212</t>
  </si>
  <si>
    <t>O00213</t>
  </si>
  <si>
    <t>O00214</t>
  </si>
  <si>
    <t>O00215</t>
  </si>
  <si>
    <t>O00216</t>
  </si>
  <si>
    <t>O00217</t>
  </si>
  <si>
    <t>O00218</t>
  </si>
  <si>
    <t>O00219</t>
  </si>
  <si>
    <t>O00220</t>
  </si>
  <si>
    <t>O00221</t>
  </si>
  <si>
    <t>O00222</t>
  </si>
  <si>
    <t>O00223</t>
  </si>
  <si>
    <t>O00224</t>
  </si>
  <si>
    <t>O00225</t>
  </si>
  <si>
    <t>O00226</t>
  </si>
  <si>
    <t>O00227</t>
  </si>
  <si>
    <t>O00228</t>
  </si>
  <si>
    <t>O00229</t>
  </si>
  <si>
    <t>O00230</t>
  </si>
  <si>
    <t>O00231</t>
  </si>
  <si>
    <t>O00232</t>
  </si>
  <si>
    <t>O00233</t>
  </si>
  <si>
    <t>O00234</t>
  </si>
  <si>
    <t>O00235</t>
  </si>
  <si>
    <t>O00236</t>
  </si>
  <si>
    <t>O00237</t>
  </si>
  <si>
    <t>O00238</t>
  </si>
  <si>
    <t>O00239</t>
  </si>
  <si>
    <t>O00240</t>
  </si>
  <si>
    <t>O00241</t>
  </si>
  <si>
    <t>O00242</t>
  </si>
  <si>
    <t>O00243</t>
  </si>
  <si>
    <t>O00244</t>
  </si>
  <si>
    <t>O00245</t>
  </si>
  <si>
    <t>O00246</t>
  </si>
  <si>
    <t>O00247</t>
  </si>
  <si>
    <t>O00248</t>
  </si>
  <si>
    <t>O00249</t>
  </si>
  <si>
    <t>O00250</t>
  </si>
  <si>
    <t>O00251</t>
  </si>
  <si>
    <t>O00252</t>
  </si>
  <si>
    <t>O00253</t>
  </si>
  <si>
    <t>O00254</t>
  </si>
  <si>
    <t>O00255</t>
  </si>
  <si>
    <t>O00256</t>
  </si>
  <si>
    <t>O00257</t>
  </si>
  <si>
    <t>O00258</t>
  </si>
  <si>
    <t>O00259</t>
  </si>
  <si>
    <t>O00260</t>
  </si>
  <si>
    <t>O00261</t>
  </si>
  <si>
    <t>O00262</t>
  </si>
  <si>
    <t>O00263</t>
  </si>
  <si>
    <t>O00264</t>
  </si>
  <si>
    <t>O00265</t>
  </si>
  <si>
    <t>O00266</t>
  </si>
  <si>
    <t>O00267</t>
  </si>
  <si>
    <t>O00268</t>
  </si>
  <si>
    <t>O00269</t>
  </si>
  <si>
    <t>O00270</t>
  </si>
  <si>
    <t>O00271</t>
  </si>
  <si>
    <t>O00272</t>
  </si>
  <si>
    <t>O00273</t>
  </si>
  <si>
    <t>O00274</t>
  </si>
  <si>
    <t>O00275</t>
  </si>
  <si>
    <t>O00276</t>
  </si>
  <si>
    <t>O00277</t>
  </si>
  <si>
    <t>O00278</t>
  </si>
  <si>
    <t>O00279</t>
  </si>
  <si>
    <t>O00280</t>
  </si>
  <si>
    <t>O00281</t>
  </si>
  <si>
    <t>O00282</t>
  </si>
  <si>
    <t>O00283</t>
  </si>
  <si>
    <t>O00284</t>
  </si>
  <si>
    <t>O00285</t>
  </si>
  <si>
    <t>O00286</t>
  </si>
  <si>
    <t>O00287</t>
  </si>
  <si>
    <t>O00288</t>
  </si>
  <si>
    <t>O00289</t>
  </si>
  <si>
    <t>O00290</t>
  </si>
  <si>
    <t>O00291</t>
  </si>
  <si>
    <t>O00292</t>
  </si>
  <si>
    <t>O00293</t>
  </si>
  <si>
    <t>O00294</t>
  </si>
  <si>
    <t>O00295</t>
  </si>
  <si>
    <t>O00296</t>
  </si>
  <si>
    <t>O00297</t>
  </si>
  <si>
    <t>O00298</t>
  </si>
  <si>
    <t>O00299</t>
  </si>
  <si>
    <t>O00300</t>
  </si>
  <si>
    <t>O00301</t>
  </si>
  <si>
    <t>O00302</t>
  </si>
  <si>
    <t>O00303</t>
  </si>
  <si>
    <t>O00304</t>
  </si>
  <si>
    <t>O00305</t>
  </si>
  <si>
    <t>O00306</t>
  </si>
  <si>
    <t>O00307</t>
  </si>
  <si>
    <t>O00308</t>
  </si>
  <si>
    <t>O00309</t>
  </si>
  <si>
    <t>O00310</t>
  </si>
  <si>
    <t>O00311</t>
  </si>
  <si>
    <t>O00312</t>
  </si>
  <si>
    <t>O00313</t>
  </si>
  <si>
    <t>O00314</t>
  </si>
  <si>
    <t>O00315</t>
  </si>
  <si>
    <t>O00316</t>
  </si>
  <si>
    <t>O00317</t>
  </si>
  <si>
    <t>O00318</t>
  </si>
  <si>
    <t>O00319</t>
  </si>
  <si>
    <t>O00320</t>
  </si>
  <si>
    <t>O00321</t>
  </si>
  <si>
    <t>O00322</t>
  </si>
  <si>
    <t>O00323</t>
  </si>
  <si>
    <t>O00324</t>
  </si>
  <si>
    <t>O00325</t>
  </si>
  <si>
    <t>O00326</t>
  </si>
  <si>
    <t>O00327</t>
  </si>
  <si>
    <t>O00328</t>
  </si>
  <si>
    <t>O00329</t>
  </si>
  <si>
    <t>O00330</t>
  </si>
  <si>
    <t>O00331</t>
  </si>
  <si>
    <t>O00332</t>
  </si>
  <si>
    <t>O00333</t>
  </si>
  <si>
    <t>O00334</t>
  </si>
  <si>
    <t>O00335</t>
  </si>
  <si>
    <t>O00336</t>
  </si>
  <si>
    <t>O00337</t>
  </si>
  <si>
    <t>O00338</t>
  </si>
  <si>
    <t>O00339</t>
  </si>
  <si>
    <t>O00340</t>
  </si>
  <si>
    <t>O00341</t>
  </si>
  <si>
    <t>O00342</t>
  </si>
  <si>
    <t>O00343</t>
  </si>
  <si>
    <t>O00344</t>
  </si>
  <si>
    <t>O00345</t>
  </si>
  <si>
    <t>O00346</t>
  </si>
  <si>
    <t>O00347</t>
  </si>
  <si>
    <t>O00348</t>
  </si>
  <si>
    <t>O00349</t>
  </si>
  <si>
    <t>O00350</t>
  </si>
  <si>
    <t>O00351</t>
  </si>
  <si>
    <t>O00352</t>
  </si>
  <si>
    <t>O00353</t>
  </si>
  <si>
    <t>O00354</t>
  </si>
  <si>
    <t>O00355</t>
  </si>
  <si>
    <t>O00356</t>
  </si>
  <si>
    <t>O00357</t>
  </si>
  <si>
    <t>O00358</t>
  </si>
  <si>
    <t>O00359</t>
  </si>
  <si>
    <t>O00360</t>
  </si>
  <si>
    <t>O00361</t>
  </si>
  <si>
    <t>O00362</t>
  </si>
  <si>
    <t>O00363</t>
  </si>
  <si>
    <t>O00364</t>
  </si>
  <si>
    <t>O00365</t>
  </si>
  <si>
    <t>O00366</t>
  </si>
  <si>
    <t>O00367</t>
  </si>
  <si>
    <t>O00368</t>
  </si>
  <si>
    <t>O00369</t>
  </si>
  <si>
    <t>O00370</t>
  </si>
  <si>
    <t>O00371</t>
  </si>
  <si>
    <t>O00372</t>
  </si>
  <si>
    <t>O00373</t>
  </si>
  <si>
    <t>O00374</t>
  </si>
  <si>
    <t>O00375</t>
  </si>
  <si>
    <t>O00376</t>
  </si>
  <si>
    <t>O00377</t>
  </si>
  <si>
    <t>O00378</t>
  </si>
  <si>
    <t>O00379</t>
  </si>
  <si>
    <t>O00380</t>
  </si>
  <si>
    <t>O00381</t>
  </si>
  <si>
    <t>O00382</t>
  </si>
  <si>
    <t>O00383</t>
  </si>
  <si>
    <t>O00384</t>
  </si>
  <si>
    <t>O00385</t>
  </si>
  <si>
    <t>O00386</t>
  </si>
  <si>
    <t>O00387</t>
  </si>
  <si>
    <t>O00388</t>
  </si>
  <si>
    <t>O00389</t>
  </si>
  <si>
    <t>O00390</t>
  </si>
  <si>
    <t>O00391</t>
  </si>
  <si>
    <t>O00392</t>
  </si>
  <si>
    <t>O00393</t>
  </si>
  <si>
    <t>O00394</t>
  </si>
  <si>
    <t>O00395</t>
  </si>
  <si>
    <t>O00396</t>
  </si>
  <si>
    <t>O00397</t>
  </si>
  <si>
    <t>O00398</t>
  </si>
  <si>
    <t>O00399</t>
  </si>
  <si>
    <t>O00400</t>
  </si>
  <si>
    <t>O00401</t>
  </si>
  <si>
    <t>O00402</t>
  </si>
  <si>
    <t>O00403</t>
  </si>
  <si>
    <t>O00404</t>
  </si>
  <si>
    <t>O00405</t>
  </si>
  <si>
    <t>O00406</t>
  </si>
  <si>
    <t>O00407</t>
  </si>
  <si>
    <t>O00408</t>
  </si>
  <si>
    <t>O00409</t>
  </si>
  <si>
    <t>O00410</t>
  </si>
  <si>
    <t>O00411</t>
  </si>
  <si>
    <t>O00412</t>
  </si>
  <si>
    <t>O00413</t>
  </si>
  <si>
    <t>O00414</t>
  </si>
  <si>
    <t>O00415</t>
  </si>
  <si>
    <t>O00416</t>
  </si>
  <si>
    <t>O00417</t>
  </si>
  <si>
    <t>O00418</t>
  </si>
  <si>
    <t>O00419</t>
  </si>
  <si>
    <t>O00420</t>
  </si>
  <si>
    <t>O00421</t>
  </si>
  <si>
    <t>O00422</t>
  </si>
  <si>
    <t>O00423</t>
  </si>
  <si>
    <t>O00424</t>
  </si>
  <si>
    <t>O00425</t>
  </si>
  <si>
    <t>O00426</t>
  </si>
  <si>
    <t>O00427</t>
  </si>
  <si>
    <t>O00428</t>
  </si>
  <si>
    <t>O00429</t>
  </si>
  <si>
    <t>O00430</t>
  </si>
  <si>
    <t>O00431</t>
  </si>
  <si>
    <t>O00432</t>
  </si>
  <si>
    <t>O00433</t>
  </si>
  <si>
    <t>O00434</t>
  </si>
  <si>
    <t>O00435</t>
  </si>
  <si>
    <t>O00436</t>
  </si>
  <si>
    <t>O00437</t>
  </si>
  <si>
    <t>O00438</t>
  </si>
  <si>
    <t>O00439</t>
  </si>
  <si>
    <t>O00440</t>
  </si>
  <si>
    <t>O00441</t>
  </si>
  <si>
    <t>O00442</t>
  </si>
  <si>
    <t>O00443</t>
  </si>
  <si>
    <t>O00444</t>
  </si>
  <si>
    <t>O00445</t>
  </si>
  <si>
    <t>O00446</t>
  </si>
  <si>
    <t>O00447</t>
  </si>
  <si>
    <t>O00448</t>
  </si>
  <si>
    <t>O00449</t>
  </si>
  <si>
    <t>O00450</t>
  </si>
  <si>
    <t>O00451</t>
  </si>
  <si>
    <t>O00452</t>
  </si>
  <si>
    <t>O00453</t>
  </si>
  <si>
    <t>O00454</t>
  </si>
  <si>
    <t>O00455</t>
  </si>
  <si>
    <t>O00456</t>
  </si>
  <si>
    <t>O00457</t>
  </si>
  <si>
    <t>O00458</t>
  </si>
  <si>
    <t>O00459</t>
  </si>
  <si>
    <t>O00460</t>
  </si>
  <si>
    <t>O00461</t>
  </si>
  <si>
    <t>O00462</t>
  </si>
  <si>
    <t>O00463</t>
  </si>
  <si>
    <t>O00464</t>
  </si>
  <si>
    <t>O00465</t>
  </si>
  <si>
    <t>O00466</t>
  </si>
  <si>
    <t>O00467</t>
  </si>
  <si>
    <t>O00468</t>
  </si>
  <si>
    <t>O00469</t>
  </si>
  <si>
    <t>O00470</t>
  </si>
  <si>
    <t>O00471</t>
  </si>
  <si>
    <t>O00472</t>
  </si>
  <si>
    <t>O00473</t>
  </si>
  <si>
    <t>O00474</t>
  </si>
  <si>
    <t>O00475</t>
  </si>
  <si>
    <t>O00476</t>
  </si>
  <si>
    <t>O00477</t>
  </si>
  <si>
    <t>O00478</t>
  </si>
  <si>
    <t>O00479</t>
  </si>
  <si>
    <t>O00480</t>
  </si>
  <si>
    <t>O00481</t>
  </si>
  <si>
    <t>O00482</t>
  </si>
  <si>
    <t>O00483</t>
  </si>
  <si>
    <t>O00484</t>
  </si>
  <si>
    <t>O00485</t>
  </si>
  <si>
    <t>O00486</t>
  </si>
  <si>
    <t>O00487</t>
  </si>
  <si>
    <t>O00488</t>
  </si>
  <si>
    <t>O00489</t>
  </si>
  <si>
    <t>O00490</t>
  </si>
  <si>
    <t>O00491</t>
  </si>
  <si>
    <t>O00492</t>
  </si>
  <si>
    <t>O00493</t>
  </si>
  <si>
    <t>O00494</t>
  </si>
  <si>
    <t>O00495</t>
  </si>
  <si>
    <t>O00496</t>
  </si>
  <si>
    <t>O00497</t>
  </si>
  <si>
    <t>O00498</t>
  </si>
  <si>
    <t>O00499</t>
  </si>
  <si>
    <t>O00500</t>
  </si>
  <si>
    <t>O00501</t>
  </si>
  <si>
    <t>O00502</t>
  </si>
  <si>
    <t>O00503</t>
  </si>
  <si>
    <t>O00504</t>
  </si>
  <si>
    <t>O00505</t>
  </si>
  <si>
    <t>O00506</t>
  </si>
  <si>
    <t>O00507</t>
  </si>
  <si>
    <t>O00508</t>
  </si>
  <si>
    <t>O00509</t>
  </si>
  <si>
    <t>O00510</t>
  </si>
  <si>
    <t>O00511</t>
  </si>
  <si>
    <t>O00512</t>
  </si>
  <si>
    <t>O00513</t>
  </si>
  <si>
    <t>O00514</t>
  </si>
  <si>
    <t>O00515</t>
  </si>
  <si>
    <t>O00516</t>
  </si>
  <si>
    <t>O00517</t>
  </si>
  <si>
    <t>O00518</t>
  </si>
  <si>
    <t>O00519</t>
  </si>
  <si>
    <t>O00520</t>
  </si>
  <si>
    <t>O00521</t>
  </si>
  <si>
    <t>O00522</t>
  </si>
  <si>
    <t>O00523</t>
  </si>
  <si>
    <t>O00524</t>
  </si>
  <si>
    <t>O00525</t>
  </si>
  <si>
    <t>O00526</t>
  </si>
  <si>
    <t>O00527</t>
  </si>
  <si>
    <t>O00528</t>
  </si>
  <si>
    <t>O00529</t>
  </si>
  <si>
    <t>O00530</t>
  </si>
  <si>
    <t>O00531</t>
  </si>
  <si>
    <t>O00532</t>
  </si>
  <si>
    <t>O00533</t>
  </si>
  <si>
    <t>O00534</t>
  </si>
  <si>
    <t>O00535</t>
  </si>
  <si>
    <t>O00536</t>
  </si>
  <si>
    <t>O00537</t>
  </si>
  <si>
    <t>O00538</t>
  </si>
  <si>
    <t>O00539</t>
  </si>
  <si>
    <t>O00540</t>
  </si>
  <si>
    <t>O00541</t>
  </si>
  <si>
    <t>O00542</t>
  </si>
  <si>
    <t>O00543</t>
  </si>
  <si>
    <t>O00544</t>
  </si>
  <si>
    <t>O00545</t>
  </si>
  <si>
    <t>O00546</t>
  </si>
  <si>
    <t>O00547</t>
  </si>
  <si>
    <t>O00548</t>
  </si>
  <si>
    <t>O00549</t>
  </si>
  <si>
    <t>O00550</t>
  </si>
  <si>
    <t>O00551</t>
  </si>
  <si>
    <t>O00552</t>
  </si>
  <si>
    <t>O00553</t>
  </si>
  <si>
    <t>O00554</t>
  </si>
  <si>
    <t>O00555</t>
  </si>
  <si>
    <t>O00556</t>
  </si>
  <si>
    <t>O00557</t>
  </si>
  <si>
    <t>O00558</t>
  </si>
  <si>
    <t>O00559</t>
  </si>
  <si>
    <t>O00560</t>
  </si>
  <si>
    <t>O00561</t>
  </si>
  <si>
    <t>O00562</t>
  </si>
  <si>
    <t>O00563</t>
  </si>
  <si>
    <t>O00564</t>
  </si>
  <si>
    <t>O00565</t>
  </si>
  <si>
    <t>O00566</t>
  </si>
  <si>
    <t>O00567</t>
  </si>
  <si>
    <t>O00568</t>
  </si>
  <si>
    <t>O00569</t>
  </si>
  <si>
    <t>O00570</t>
  </si>
  <si>
    <t>O00571</t>
  </si>
  <si>
    <t>O00572</t>
  </si>
  <si>
    <t>O00573</t>
  </si>
  <si>
    <t>O00574</t>
  </si>
  <si>
    <t>O00575</t>
  </si>
  <si>
    <t>O00576</t>
  </si>
  <si>
    <t>O00577</t>
  </si>
  <si>
    <t>O00578</t>
  </si>
  <si>
    <t>O00579</t>
  </si>
  <si>
    <t>O00580</t>
  </si>
  <si>
    <t>O00581</t>
  </si>
  <si>
    <t>O00582</t>
  </si>
  <si>
    <t>O00583</t>
  </si>
  <si>
    <t>O00584</t>
  </si>
  <si>
    <t>O00585</t>
  </si>
  <si>
    <t>O00586</t>
  </si>
  <si>
    <t>O00587</t>
  </si>
  <si>
    <t>O00588</t>
  </si>
  <si>
    <t>O00589</t>
  </si>
  <si>
    <t>O00590</t>
  </si>
  <si>
    <t>O00591</t>
  </si>
  <si>
    <t>O00592</t>
  </si>
  <si>
    <t>O00593</t>
  </si>
  <si>
    <t>O00594</t>
  </si>
  <si>
    <t>O00595</t>
  </si>
  <si>
    <t>O00596</t>
  </si>
  <si>
    <t>O00597</t>
  </si>
  <si>
    <t>O00598</t>
  </si>
  <si>
    <t>O00599</t>
  </si>
  <si>
    <t>O00600</t>
  </si>
  <si>
    <t>O00601</t>
  </si>
  <si>
    <t>O00602</t>
  </si>
  <si>
    <t>O00603</t>
  </si>
  <si>
    <t>O00604</t>
  </si>
  <si>
    <t>O00605</t>
  </si>
  <si>
    <t>O00606</t>
  </si>
  <si>
    <t>O00607</t>
  </si>
  <si>
    <t>O00608</t>
  </si>
  <si>
    <t>O00609</t>
  </si>
  <si>
    <t>O00610</t>
  </si>
  <si>
    <t>O00611</t>
  </si>
  <si>
    <t>O00612</t>
  </si>
  <si>
    <t>O00613</t>
  </si>
  <si>
    <t>O00614</t>
  </si>
  <si>
    <t>O00615</t>
  </si>
  <si>
    <t>O00616</t>
  </si>
  <si>
    <t>O00617</t>
  </si>
  <si>
    <t>O00618</t>
  </si>
  <si>
    <t>O00619</t>
  </si>
  <si>
    <t>O00620</t>
  </si>
  <si>
    <t>O00621</t>
  </si>
  <si>
    <t>O00622</t>
  </si>
  <si>
    <t>O00623</t>
  </si>
  <si>
    <t>O00624</t>
  </si>
  <si>
    <t>O00625</t>
  </si>
  <si>
    <t>O00626</t>
  </si>
  <si>
    <t>O00627</t>
  </si>
  <si>
    <t>O00628</t>
  </si>
  <si>
    <t>O00629</t>
  </si>
  <si>
    <t>O00630</t>
  </si>
  <si>
    <t>O00631</t>
  </si>
  <si>
    <t>O00632</t>
  </si>
  <si>
    <t>O00633</t>
  </si>
  <si>
    <t>O00634</t>
  </si>
  <si>
    <t>O00635</t>
  </si>
  <si>
    <t>O00636</t>
  </si>
  <si>
    <t>O00637</t>
  </si>
  <si>
    <t>O00638</t>
  </si>
  <si>
    <t>O00639</t>
  </si>
  <si>
    <t>O00640</t>
  </si>
  <si>
    <t>O00641</t>
  </si>
  <si>
    <t>O00642</t>
  </si>
  <si>
    <t>O00643</t>
  </si>
  <si>
    <t>O00644</t>
  </si>
  <si>
    <t>O00645</t>
  </si>
  <si>
    <t>O00646</t>
  </si>
  <si>
    <t>O00647</t>
  </si>
  <si>
    <t>O00648</t>
  </si>
  <si>
    <t>O00649</t>
  </si>
  <si>
    <t>O00650</t>
  </si>
  <si>
    <t>O00651</t>
  </si>
  <si>
    <t>O00652</t>
  </si>
  <si>
    <t>O00653</t>
  </si>
  <si>
    <t>O00654</t>
  </si>
  <si>
    <t>O00655</t>
  </si>
  <si>
    <t>O00656</t>
  </si>
  <si>
    <t>O00657</t>
  </si>
  <si>
    <t>O00658</t>
  </si>
  <si>
    <t>O00659</t>
  </si>
  <si>
    <t>O00660</t>
  </si>
  <si>
    <t>O00661</t>
  </si>
  <si>
    <t>O00662</t>
  </si>
  <si>
    <t>O00663</t>
  </si>
  <si>
    <t>O00664</t>
  </si>
  <si>
    <t>O00665</t>
  </si>
  <si>
    <t>O00666</t>
  </si>
  <si>
    <t>O00667</t>
  </si>
  <si>
    <t>O00668</t>
  </si>
  <si>
    <t>O00669</t>
  </si>
  <si>
    <t>O00670</t>
  </si>
  <si>
    <t>O00671</t>
  </si>
  <si>
    <t>O00672</t>
  </si>
  <si>
    <t>O00673</t>
  </si>
  <si>
    <t>O00674</t>
  </si>
  <si>
    <t>O00675</t>
  </si>
  <si>
    <t>O00676</t>
  </si>
  <si>
    <t>O00677</t>
  </si>
  <si>
    <t>O00678</t>
  </si>
  <si>
    <t>O00679</t>
  </si>
  <si>
    <t>O00680</t>
  </si>
  <si>
    <t>O00681</t>
  </si>
  <si>
    <t>O00682</t>
  </si>
  <si>
    <t>O00683</t>
  </si>
  <si>
    <t>O00684</t>
  </si>
  <si>
    <t>O00685</t>
  </si>
  <si>
    <t>O00686</t>
  </si>
  <si>
    <t>O00687</t>
  </si>
  <si>
    <t>O00688</t>
  </si>
  <si>
    <t>O00689</t>
  </si>
  <si>
    <t>O00690</t>
  </si>
  <si>
    <t>O00691</t>
  </si>
  <si>
    <t>O00692</t>
  </si>
  <si>
    <t>O00693</t>
  </si>
  <si>
    <t>O00694</t>
  </si>
  <si>
    <t>O00695</t>
  </si>
  <si>
    <t>O00696</t>
  </si>
  <si>
    <t>O00697</t>
  </si>
  <si>
    <t>O00698</t>
  </si>
  <si>
    <t>O00699</t>
  </si>
  <si>
    <t>O00700</t>
  </si>
  <si>
    <t>O00701</t>
  </si>
  <si>
    <t>O00702</t>
  </si>
  <si>
    <t>O00703</t>
  </si>
  <si>
    <t>O00704</t>
  </si>
  <si>
    <t>O00705</t>
  </si>
  <si>
    <t>O00706</t>
  </si>
  <si>
    <t>O00707</t>
  </si>
  <si>
    <t>O00708</t>
  </si>
  <si>
    <t>O00709</t>
  </si>
  <si>
    <t>O00710</t>
  </si>
  <si>
    <t>O00711</t>
  </si>
  <si>
    <t>O00712</t>
  </si>
  <si>
    <t>O00713</t>
  </si>
  <si>
    <t>O00714</t>
  </si>
  <si>
    <t>O00715</t>
  </si>
  <si>
    <t>O00716</t>
  </si>
  <si>
    <t>O00717</t>
  </si>
  <si>
    <t>O00718</t>
  </si>
  <si>
    <t>O00719</t>
  </si>
  <si>
    <t>O00720</t>
  </si>
  <si>
    <t>O00721</t>
  </si>
  <si>
    <t>O00722</t>
  </si>
  <si>
    <t>O00723</t>
  </si>
  <si>
    <t>O00724</t>
  </si>
  <si>
    <t>O00725</t>
  </si>
  <si>
    <t>O00726</t>
  </si>
  <si>
    <t>O00727</t>
  </si>
  <si>
    <t>O00728</t>
  </si>
  <si>
    <t>O00729</t>
  </si>
  <si>
    <t>O00730</t>
  </si>
  <si>
    <t>O00731</t>
  </si>
  <si>
    <t>O00732</t>
  </si>
  <si>
    <t>O00733</t>
  </si>
  <si>
    <t>O00734</t>
  </si>
  <si>
    <t>O00735</t>
  </si>
  <si>
    <t>O00736</t>
  </si>
  <si>
    <t>O00737</t>
  </si>
  <si>
    <t>O00738</t>
  </si>
  <si>
    <t>O00739</t>
  </si>
  <si>
    <t>O00740</t>
  </si>
  <si>
    <t>O00741</t>
  </si>
  <si>
    <t>O00742</t>
  </si>
  <si>
    <t>O00743</t>
  </si>
  <si>
    <t>O00744</t>
  </si>
  <si>
    <t>O00745</t>
  </si>
  <si>
    <t>O00746</t>
  </si>
  <si>
    <t>O00747</t>
  </si>
  <si>
    <t>O00748</t>
  </si>
  <si>
    <t>O00749</t>
  </si>
  <si>
    <t>O00750</t>
  </si>
  <si>
    <t>O00751</t>
  </si>
  <si>
    <t>O00752</t>
  </si>
  <si>
    <t>O00753</t>
  </si>
  <si>
    <t>O00754</t>
  </si>
  <si>
    <t>O00755</t>
  </si>
  <si>
    <t>O00756</t>
  </si>
  <si>
    <t>O00757</t>
  </si>
  <si>
    <t>O00758</t>
  </si>
  <si>
    <t>O00759</t>
  </si>
  <si>
    <t>O00760</t>
  </si>
  <si>
    <t>O00761</t>
  </si>
  <si>
    <t>O00762</t>
  </si>
  <si>
    <t>O00763</t>
  </si>
  <si>
    <t>O00764</t>
  </si>
  <si>
    <t>O00765</t>
  </si>
  <si>
    <t>O00766</t>
  </si>
  <si>
    <t>O00767</t>
  </si>
  <si>
    <t>O00768</t>
  </si>
  <si>
    <t>O00769</t>
  </si>
  <si>
    <t>O00770</t>
  </si>
  <si>
    <t>O00771</t>
  </si>
  <si>
    <t>O00772</t>
  </si>
  <si>
    <t>O00773</t>
  </si>
  <si>
    <t>O00774</t>
  </si>
  <si>
    <t>O00775</t>
  </si>
  <si>
    <t>O00776</t>
  </si>
  <si>
    <t>O00777</t>
  </si>
  <si>
    <t>O00778</t>
  </si>
  <si>
    <t>O00779</t>
  </si>
  <si>
    <t>O00780</t>
  </si>
  <si>
    <t>O00781</t>
  </si>
  <si>
    <t>O00782</t>
  </si>
  <si>
    <t>O00783</t>
  </si>
  <si>
    <t>O00784</t>
  </si>
  <si>
    <t>O00785</t>
  </si>
  <si>
    <t>O00786</t>
  </si>
  <si>
    <t>O00787</t>
  </si>
  <si>
    <t>O00788</t>
  </si>
  <si>
    <t>O00789</t>
  </si>
  <si>
    <t>O00790</t>
  </si>
  <si>
    <t>O00791</t>
  </si>
  <si>
    <t>O00792</t>
  </si>
  <si>
    <t>O00793</t>
  </si>
  <si>
    <t>O00794</t>
  </si>
  <si>
    <t>O00795</t>
  </si>
  <si>
    <t>O00796</t>
  </si>
  <si>
    <t>O00797</t>
  </si>
  <si>
    <t>O00798</t>
  </si>
  <si>
    <t>O00799</t>
  </si>
  <si>
    <t>O00800</t>
  </si>
  <si>
    <t>O00801</t>
  </si>
  <si>
    <t>O00802</t>
  </si>
  <si>
    <t>O00803</t>
  </si>
  <si>
    <t>O00804</t>
  </si>
  <si>
    <t>O00805</t>
  </si>
  <si>
    <t>O00806</t>
  </si>
  <si>
    <t>O00807</t>
  </si>
  <si>
    <t>O00808</t>
  </si>
  <si>
    <t>O00809</t>
  </si>
  <si>
    <t>O00810</t>
  </si>
  <si>
    <t>O00811</t>
  </si>
  <si>
    <t>O00812</t>
  </si>
  <si>
    <t>O00813</t>
  </si>
  <si>
    <t>O00814</t>
  </si>
  <si>
    <t>O00815</t>
  </si>
  <si>
    <t>O00816</t>
  </si>
  <si>
    <t>O00817</t>
  </si>
  <si>
    <t>O00818</t>
  </si>
  <si>
    <t>O00819</t>
  </si>
  <si>
    <t>O00820</t>
  </si>
  <si>
    <t>O00821</t>
  </si>
  <si>
    <t>O00822</t>
  </si>
  <si>
    <t>O00823</t>
  </si>
  <si>
    <t>O00824</t>
  </si>
  <si>
    <t>O00825</t>
  </si>
  <si>
    <t>O00826</t>
  </si>
  <si>
    <t>O00827</t>
  </si>
  <si>
    <t>O00828</t>
  </si>
  <si>
    <t>O00829</t>
  </si>
  <si>
    <t>O00830</t>
  </si>
  <si>
    <t>O00831</t>
  </si>
  <si>
    <t>O00832</t>
  </si>
  <si>
    <t>O00833</t>
  </si>
  <si>
    <t>O00834</t>
  </si>
  <si>
    <t>O00835</t>
  </si>
  <si>
    <t>O00836</t>
  </si>
  <si>
    <t>O00837</t>
  </si>
  <si>
    <t>O00838</t>
  </si>
  <si>
    <t>O00839</t>
  </si>
  <si>
    <t>O00840</t>
  </si>
  <si>
    <t>O00841</t>
  </si>
  <si>
    <t>O00842</t>
  </si>
  <si>
    <t>O00843</t>
  </si>
  <si>
    <t>O00844</t>
  </si>
  <si>
    <t>O00845</t>
  </si>
  <si>
    <t>O00846</t>
  </si>
  <si>
    <t>O00847</t>
  </si>
  <si>
    <t>O00848</t>
  </si>
  <si>
    <t>O00849</t>
  </si>
  <si>
    <t>O00850</t>
  </si>
  <si>
    <t>O00851</t>
  </si>
  <si>
    <t>O00852</t>
  </si>
  <si>
    <t>O00853</t>
  </si>
  <si>
    <t>O00854</t>
  </si>
  <si>
    <t>O00855</t>
  </si>
  <si>
    <t>O00856</t>
  </si>
  <si>
    <t>O00857</t>
  </si>
  <si>
    <t>O00858</t>
  </si>
  <si>
    <t>O00859</t>
  </si>
  <si>
    <t>O00860</t>
  </si>
  <si>
    <t>O00861</t>
  </si>
  <si>
    <t>O00862</t>
  </si>
  <si>
    <t>O00863</t>
  </si>
  <si>
    <t>O00864</t>
  </si>
  <si>
    <t>O00865</t>
  </si>
  <si>
    <t>O00866</t>
  </si>
  <si>
    <t>O00867</t>
  </si>
  <si>
    <t>O00868</t>
  </si>
  <si>
    <t>O00869</t>
  </si>
  <si>
    <t>O00870</t>
  </si>
  <si>
    <t>O00871</t>
  </si>
  <si>
    <t>O00872</t>
  </si>
  <si>
    <t>O00873</t>
  </si>
  <si>
    <t>O00874</t>
  </si>
  <si>
    <t>O00875</t>
  </si>
  <si>
    <t>O00876</t>
  </si>
  <si>
    <t>O00877</t>
  </si>
  <si>
    <t>O00878</t>
  </si>
  <si>
    <t>O00879</t>
  </si>
  <si>
    <t>O00880</t>
  </si>
  <si>
    <t>O00881</t>
  </si>
  <si>
    <t>O00882</t>
  </si>
  <si>
    <t>O00883</t>
  </si>
  <si>
    <t>O00884</t>
  </si>
  <si>
    <t>O00885</t>
  </si>
  <si>
    <t>O00886</t>
  </si>
  <si>
    <t>O00887</t>
  </si>
  <si>
    <t>O00888</t>
  </si>
  <si>
    <t>O00889</t>
  </si>
  <si>
    <t>O00890</t>
  </si>
  <si>
    <t>O00891</t>
  </si>
  <si>
    <t>O00892</t>
  </si>
  <si>
    <t>O00893</t>
  </si>
  <si>
    <t>O00894</t>
  </si>
  <si>
    <t>O00895</t>
  </si>
  <si>
    <t>O00896</t>
  </si>
  <si>
    <t>O00897</t>
  </si>
  <si>
    <t>O00898</t>
  </si>
  <si>
    <t>O00899</t>
  </si>
  <si>
    <t>O00900</t>
  </si>
  <si>
    <t>O00901</t>
  </si>
  <si>
    <t>O00902</t>
  </si>
  <si>
    <t>O00903</t>
  </si>
  <si>
    <t>O00904</t>
  </si>
  <si>
    <t>O00905</t>
  </si>
  <si>
    <t>O00906</t>
  </si>
  <si>
    <t>O00907</t>
  </si>
  <si>
    <t>O00908</t>
  </si>
  <si>
    <t>O00909</t>
  </si>
  <si>
    <t>O00910</t>
  </si>
  <si>
    <t>O00911</t>
  </si>
  <si>
    <t>O00912</t>
  </si>
  <si>
    <t>O00913</t>
  </si>
  <si>
    <t>O00914</t>
  </si>
  <si>
    <t>O00915</t>
  </si>
  <si>
    <t>O00916</t>
  </si>
  <si>
    <t>O00917</t>
  </si>
  <si>
    <t>O00918</t>
  </si>
  <si>
    <t>O00919</t>
  </si>
  <si>
    <t>O00920</t>
  </si>
  <si>
    <t>O00921</t>
  </si>
  <si>
    <t>O00922</t>
  </si>
  <si>
    <t>O00923</t>
  </si>
  <si>
    <t>O00924</t>
  </si>
  <si>
    <t>O00925</t>
  </si>
  <si>
    <t>O00926</t>
  </si>
  <si>
    <t>O00927</t>
  </si>
  <si>
    <t>O00928</t>
  </si>
  <si>
    <t>O00929</t>
  </si>
  <si>
    <t>O00930</t>
  </si>
  <si>
    <t>O00931</t>
  </si>
  <si>
    <t>O00932</t>
  </si>
  <si>
    <t>O00933</t>
  </si>
  <si>
    <t>O00934</t>
  </si>
  <si>
    <t>O00935</t>
  </si>
  <si>
    <t>O00936</t>
  </si>
  <si>
    <t>O00937</t>
  </si>
  <si>
    <t>O00938</t>
  </si>
  <si>
    <t>O00939</t>
  </si>
  <si>
    <t>O00940</t>
  </si>
  <si>
    <t>O00941</t>
  </si>
  <si>
    <t>O00942</t>
  </si>
  <si>
    <t>O00943</t>
  </si>
  <si>
    <t>O00944</t>
  </si>
  <si>
    <t>O00945</t>
  </si>
  <si>
    <t>O00946</t>
  </si>
  <si>
    <t>O00947</t>
  </si>
  <si>
    <t>O00948</t>
  </si>
  <si>
    <t>O00949</t>
  </si>
  <si>
    <t>O00950</t>
  </si>
  <si>
    <t>O00951</t>
  </si>
  <si>
    <t>O00952</t>
  </si>
  <si>
    <t>O00953</t>
  </si>
  <si>
    <t>O00954</t>
  </si>
  <si>
    <t>O00955</t>
  </si>
  <si>
    <t>O00956</t>
  </si>
  <si>
    <t>O00957</t>
  </si>
  <si>
    <t>O00958</t>
  </si>
  <si>
    <t>O00959</t>
  </si>
  <si>
    <t>O00960</t>
  </si>
  <si>
    <t>O00961</t>
  </si>
  <si>
    <t>O00962</t>
  </si>
  <si>
    <t>O00963</t>
  </si>
  <si>
    <t>O00964</t>
  </si>
  <si>
    <t>O00965</t>
  </si>
  <si>
    <t>O00966</t>
  </si>
  <si>
    <t>O00967</t>
  </si>
  <si>
    <t>O00968</t>
  </si>
  <si>
    <t>O00969</t>
  </si>
  <si>
    <t>O00970</t>
  </si>
  <si>
    <t>O00971</t>
  </si>
  <si>
    <t>O00972</t>
  </si>
  <si>
    <t>O00973</t>
  </si>
  <si>
    <t>O00974</t>
  </si>
  <si>
    <t>O00975</t>
  </si>
  <si>
    <t>O00976</t>
  </si>
  <si>
    <t>O00977</t>
  </si>
  <si>
    <t>O00978</t>
  </si>
  <si>
    <t>O00979</t>
  </si>
  <si>
    <t>O00980</t>
  </si>
  <si>
    <t>O00981</t>
  </si>
  <si>
    <t>O00982</t>
  </si>
  <si>
    <t>O00983</t>
  </si>
  <si>
    <t>O00984</t>
  </si>
  <si>
    <t>O00985</t>
  </si>
  <si>
    <t>O00986</t>
  </si>
  <si>
    <t>O00987</t>
  </si>
  <si>
    <t>O00988</t>
  </si>
  <si>
    <t>O00989</t>
  </si>
  <si>
    <t>O00990</t>
  </si>
  <si>
    <t>O00991</t>
  </si>
  <si>
    <t>O00992</t>
  </si>
  <si>
    <t>O00993</t>
  </si>
  <si>
    <t>O00994</t>
  </si>
  <si>
    <t>O00995</t>
  </si>
  <si>
    <t>O00996</t>
  </si>
  <si>
    <t>O00997</t>
  </si>
  <si>
    <t>O00998</t>
  </si>
  <si>
    <t>O00999</t>
  </si>
  <si>
    <t>O01000</t>
  </si>
  <si>
    <t>KPI</t>
  </si>
  <si>
    <t>Value</t>
  </si>
  <si>
    <t>Build Dashboard Here</t>
  </si>
  <si>
    <t>Customer name</t>
  </si>
  <si>
    <t>Product name</t>
  </si>
  <si>
    <t>Invailid</t>
  </si>
  <si>
    <t/>
  </si>
  <si>
    <t>Gross Sales</t>
  </si>
  <si>
    <t>Total Cost</t>
  </si>
  <si>
    <t xml:space="preserve">Profit </t>
  </si>
  <si>
    <t>Profit %</t>
  </si>
  <si>
    <t>Profit Category</t>
  </si>
  <si>
    <t>Total Revenue</t>
  </si>
  <si>
    <t>Total Profit</t>
  </si>
  <si>
    <t>Profit Margin %</t>
  </si>
  <si>
    <t>Total Orders</t>
  </si>
  <si>
    <t>Total Quantity Sold</t>
  </si>
  <si>
    <t>Avarage Order Value</t>
  </si>
  <si>
    <t xml:space="preserve">Highest Order </t>
  </si>
  <si>
    <t>Lowest Order</t>
  </si>
  <si>
    <t xml:space="preserve">Top Product </t>
  </si>
  <si>
    <t>Top Customer</t>
  </si>
  <si>
    <t>Top City</t>
  </si>
  <si>
    <t>Row Labels</t>
  </si>
  <si>
    <t>Grand Total</t>
  </si>
  <si>
    <t>Sum of Gross Sales</t>
  </si>
  <si>
    <t xml:space="preserve">Sum of Profit </t>
  </si>
  <si>
    <t>Jan</t>
  </si>
  <si>
    <t>Feb</t>
  </si>
  <si>
    <t>Mar</t>
  </si>
  <si>
    <t>Apr</t>
  </si>
  <si>
    <t>May</t>
  </si>
  <si>
    <t>Jun</t>
  </si>
  <si>
    <t>Jul</t>
  </si>
  <si>
    <t>Aug</t>
  </si>
  <si>
    <t>Sep</t>
  </si>
  <si>
    <t>Oct</t>
  </si>
  <si>
    <t>Nov</t>
  </si>
  <si>
    <t>Dec</t>
  </si>
  <si>
    <t>Riya sharma</t>
  </si>
  <si>
    <t>Month</t>
  </si>
  <si>
    <t>Sum of Selling Price</t>
  </si>
  <si>
    <t>✔ Riya Sharma achieved highest sales.</t>
  </si>
  <si>
    <t>✔ Laptop generated highest revenue.</t>
  </si>
  <si>
    <t>✔ Jaipur is the top performing city.</t>
  </si>
  <si>
    <t>✔ Electronics contributes 78% of total revenue.</t>
  </si>
  <si>
    <t>✔ Revenue and Profit are highest in Jan ,mar , Des .</t>
  </si>
  <si>
    <t>Business Insights</t>
  </si>
  <si>
    <t>Retail Store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</si>
</sst>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mm:ss"/>
    <numFmt numFmtId="165" formatCode="_-[$$-409]* #,##0.00_ ;_-[$$-409]* \-#,##0.00\ ;_-[$$-409]* &quot;-&quot;??_ ;_-@_ "/>
    <numFmt numFmtId="166" formatCode="_-[$$-409]* #,##0_ ;_-[$$-409]* \-#,##0\ ;_-[$$-409]* &quot;-&quot;??_ ;_-@_ "/>
  </numFmts>
  <fonts count="9" x14ac:knownFonts="1">
    <font>
      <sz val="11"/>
      <color theme="1"/>
      <name val="Calibri"/>
      <family val="2"/>
      <scheme val="minor"/>
    </font>
    <font>
      <sz val="11"/>
      <color theme="1"/>
      <name val="Calibri"/>
      <family val="2"/>
      <scheme val="minor"/>
    </font>
    <font>
      <sz val="11"/>
      <color theme="0" tint="-4.9989318521683403E-2"/>
      <name val="Calibri"/>
      <family val="2"/>
      <scheme val="minor"/>
    </font>
    <font>
      <b/>
      <sz val="18"/>
      <color theme="0" tint="-4.9989318521683403E-2"/>
      <name val="Calibri"/>
      <family val="2"/>
      <scheme val="minor"/>
    </font>
    <font>
      <b/>
      <sz val="11"/>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24"/>
      <color theme="0" tint="-4.9989318521683403E-2"/>
      <name val="Calibri"/>
      <family val="2"/>
      <scheme val="minor"/>
    </font>
  </fonts>
  <fills count="6">
    <fill>
      <patternFill patternType="none"/>
    </fill>
    <fill>
      <patternFill patternType="gray125"/>
    </fill>
    <fill>
      <patternFill patternType="solid">
        <fgColor theme="8" tint="0.39997558519241921"/>
        <bgColor indexed="64"/>
      </patternFill>
    </fill>
    <fill>
      <patternFill patternType="solid">
        <fgColor theme="3" tint="-0.499984740745262"/>
        <bgColor indexed="64"/>
      </patternFill>
    </fill>
    <fill>
      <patternFill patternType="solid">
        <fgColor theme="4" tint="0.79998168889431442"/>
        <bgColor indexed="64"/>
      </patternFill>
    </fill>
    <fill>
      <patternFill patternType="solid">
        <fgColor theme="4" tint="0.39997558519241921"/>
        <bgColor indexed="64"/>
      </patternFill>
    </fill>
  </fills>
  <borders count="15">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44">
    <xf numFmtId="0" fontId="0" fillId="0" borderId="0" xfId="0"/>
    <xf numFmtId="164" fontId="0" fillId="0" borderId="0" xfId="0" applyNumberFormat="1"/>
    <xf numFmtId="14" fontId="0" fillId="0" borderId="0" xfId="0" applyNumberFormat="1"/>
    <xf numFmtId="9" fontId="0" fillId="0" borderId="0" xfId="1" applyFont="1"/>
    <xf numFmtId="0" fontId="0" fillId="0" borderId="0" xfId="0" pivotButton="1"/>
    <xf numFmtId="0" fontId="0" fillId="0" borderId="0" xfId="0" applyAlignment="1">
      <alignment horizontal="left"/>
    </xf>
    <xf numFmtId="0" fontId="0" fillId="0" borderId="0" xfId="0" applyAlignment="1">
      <alignment horizontal="right"/>
    </xf>
    <xf numFmtId="0" fontId="0" fillId="4" borderId="0" xfId="0" applyFill="1"/>
    <xf numFmtId="0" fontId="2" fillId="4" borderId="0" xfId="0" applyFont="1" applyFill="1"/>
    <xf numFmtId="166" fontId="0" fillId="4" borderId="0" xfId="0" applyNumberFormat="1" applyFill="1"/>
    <xf numFmtId="165" fontId="0" fillId="4" borderId="0" xfId="0" applyNumberFormat="1" applyFill="1"/>
    <xf numFmtId="0" fontId="3" fillId="0" borderId="0" xfId="0" applyFont="1" applyAlignment="1">
      <alignment vertical="center"/>
    </xf>
    <xf numFmtId="0" fontId="5" fillId="0" borderId="0" xfId="0" applyFont="1" applyAlignment="1">
      <alignment vertical="center"/>
    </xf>
    <xf numFmtId="0" fontId="0" fillId="0" borderId="3" xfId="0" applyBorder="1"/>
    <xf numFmtId="0" fontId="0" fillId="0" borderId="4" xfId="0" applyBorder="1"/>
    <xf numFmtId="0" fontId="0" fillId="0" borderId="6" xfId="0" applyBorder="1"/>
    <xf numFmtId="0" fontId="5" fillId="0" borderId="5" xfId="0" applyFont="1" applyBorder="1" applyAlignment="1">
      <alignment vertical="center"/>
    </xf>
    <xf numFmtId="0" fontId="4" fillId="2" borderId="0" xfId="0" applyFont="1" applyFill="1"/>
    <xf numFmtId="14" fontId="4" fillId="2" borderId="0" xfId="0" applyNumberFormat="1" applyFont="1" applyFill="1"/>
    <xf numFmtId="0" fontId="4" fillId="5" borderId="9" xfId="0" applyFont="1" applyFill="1" applyBorder="1"/>
    <xf numFmtId="0" fontId="4" fillId="5" borderId="10" xfId="0" applyFont="1" applyFill="1" applyBorder="1"/>
    <xf numFmtId="0" fontId="0" fillId="0" borderId="11" xfId="0" applyBorder="1"/>
    <xf numFmtId="0" fontId="0" fillId="0" borderId="12" xfId="0" applyBorder="1"/>
    <xf numFmtId="9" fontId="0" fillId="0" borderId="12" xfId="1" applyFont="1" applyBorder="1"/>
    <xf numFmtId="0" fontId="0" fillId="0" borderId="12" xfId="0" applyBorder="1" applyAlignment="1">
      <alignment horizontal="right"/>
    </xf>
    <xf numFmtId="0" fontId="0" fillId="0" borderId="13" xfId="0" applyBorder="1"/>
    <xf numFmtId="0" fontId="0" fillId="0" borderId="14" xfId="0" applyBorder="1" applyAlignment="1">
      <alignment horizontal="right"/>
    </xf>
    <xf numFmtId="0" fontId="6" fillId="0" borderId="5" xfId="0" applyFont="1" applyBorder="1" applyAlignment="1">
      <alignment horizontal="left"/>
    </xf>
    <xf numFmtId="0" fontId="6" fillId="0" borderId="0" xfId="0" applyFont="1" applyAlignment="1">
      <alignment horizontal="left"/>
    </xf>
    <xf numFmtId="0" fontId="5" fillId="0" borderId="5" xfId="0" applyFont="1" applyBorder="1" applyAlignment="1">
      <alignment horizontal="left" vertical="center"/>
    </xf>
    <xf numFmtId="0" fontId="5" fillId="0" borderId="0" xfId="0" applyFont="1" applyAlignment="1">
      <alignment horizontal="left" vertical="center"/>
    </xf>
    <xf numFmtId="0" fontId="5" fillId="0" borderId="5" xfId="0" applyFont="1" applyBorder="1" applyAlignment="1">
      <alignment horizontal="left" vertical="top"/>
    </xf>
    <xf numFmtId="0" fontId="5" fillId="0" borderId="0" xfId="0" applyFont="1" applyAlignment="1">
      <alignment horizontal="left" vertical="top"/>
    </xf>
    <xf numFmtId="0" fontId="5" fillId="0" borderId="6" xfId="0" applyFont="1" applyBorder="1" applyAlignment="1">
      <alignment horizontal="left" vertical="top"/>
    </xf>
    <xf numFmtId="0" fontId="5" fillId="0" borderId="7" xfId="0" applyFont="1" applyBorder="1" applyAlignment="1">
      <alignment horizontal="left" vertical="top"/>
    </xf>
    <xf numFmtId="0" fontId="5" fillId="0" borderId="1" xfId="0" applyFont="1" applyBorder="1" applyAlignment="1">
      <alignment horizontal="left" vertical="top"/>
    </xf>
    <xf numFmtId="0" fontId="5" fillId="0" borderId="8" xfId="0" applyFont="1" applyBorder="1" applyAlignment="1">
      <alignment horizontal="left" vertical="top"/>
    </xf>
    <xf numFmtId="0" fontId="8" fillId="3" borderId="0" xfId="0" applyFont="1" applyFill="1" applyAlignment="1">
      <alignment horizontal="center" vertical="center"/>
    </xf>
    <xf numFmtId="0" fontId="6" fillId="0" borderId="5" xfId="0" applyFont="1" applyBorder="1" applyAlignment="1">
      <alignment horizontal="center"/>
    </xf>
    <xf numFmtId="0" fontId="6" fillId="0" borderId="0" xfId="0" applyFont="1" applyAlignment="1">
      <alignment horizontal="center"/>
    </xf>
    <xf numFmtId="0" fontId="7" fillId="0" borderId="2" xfId="0" applyFont="1" applyBorder="1" applyAlignment="1">
      <alignment horizontal="center"/>
    </xf>
    <xf numFmtId="0" fontId="7" fillId="0" borderId="3" xfId="0" applyFont="1" applyBorder="1" applyAlignment="1">
      <alignment horizontal="center"/>
    </xf>
    <xf numFmtId="0" fontId="7" fillId="0" borderId="5" xfId="0" applyFont="1" applyBorder="1" applyAlignment="1">
      <alignment horizontal="center"/>
    </xf>
    <xf numFmtId="0" fontId="7" fillId="0" borderId="0" xfId="0" applyFont="1" applyAlignment="1">
      <alignment horizontal="center"/>
    </xf>
  </cellXfs>
  <cellStyles count="2">
    <cellStyle name="Normal" xfId="0" builtinId="0"/>
    <cellStyle name="Percent" xfId="1" builtinId="5"/>
  </cellStyles>
  <dxfs count="1">
    <dxf>
      <fill>
        <patternFill>
          <bgColor theme="4"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[Project_4_Retail_Management_1000_Rows.xlsx]Pivot Table 4!PivotTable4</c:name>
    <c:fmtId val="4"/>
  </c:pivotSource>
  <c:chart>
    <c:title>
      <c:tx>
        <c:rich>
          <a:bodyPr rot="0" spcFirstLastPara="1" vertOverflow="ellipsis" vert="horz" wrap="square" anchor="ctr" anchorCtr="1"/>
          <a:lstStyle/>
          <a:p>
            <a:pPr>
              <a:defRPr sz="1600" b="1" i="0" u="none" strike="noStrike" kern="1200" baseline="0">
                <a:ln>
                  <a:solidFill>
                    <a:schemeClr val="tx2"/>
                  </a:solidFill>
                </a:ln>
                <a:solidFill>
                  <a:schemeClr val="tx2"/>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600" b="1" i="0" u="none" strike="noStrike" kern="1200" baseline="0">
              <a:ln>
                <a:solidFill>
                  <a:schemeClr val="tx2"/>
                </a:solidFill>
              </a:ln>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2"/>
                    </a:solidFill>
                  </a:ln>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30608673915759"/>
          <c:y val="0.25683364254792829"/>
          <c:w val="0.76520184976877892"/>
          <c:h val="0.56165057289916687"/>
        </c:manualLayout>
      </c:layout>
      <c:lineChart>
        <c:grouping val="standard"/>
        <c:varyColors val="0"/>
        <c:ser>
          <c:idx val="0"/>
          <c:order val="0"/>
          <c:tx>
            <c:strRef>
              <c:f>'Pivot Table 4'!$B$3</c:f>
              <c:strCache>
                <c:ptCount val="1"/>
                <c:pt idx="0">
                  <c:v>Total</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'Pivot Table 4'!$A$4:$A$16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4'!$B$4:$B$16</c:f>
              <c:numCache>
                <c:formatCode>General</c:formatCode>
                <c:ptCount val="12"/>
                <c:pt idx="0">
                  <c:v>4719300</c:v>
                </c:pt>
                <c:pt idx="1">
                  <c:v>3330300</c:v>
                </c:pt>
                <c:pt idx="2">
                  <c:v>3274600</c:v>
                </c:pt>
                <c:pt idx="3">
                  <c:v>3407900</c:v>
                </c:pt>
                <c:pt idx="4">
                  <c:v>5037200</c:v>
                </c:pt>
                <c:pt idx="5">
                  <c:v>3957500</c:v>
                </c:pt>
                <c:pt idx="6">
                  <c:v>3903600</c:v>
                </c:pt>
                <c:pt idx="7">
                  <c:v>4015100</c:v>
                </c:pt>
                <c:pt idx="8">
                  <c:v>2832900</c:v>
                </c:pt>
                <c:pt idx="9">
                  <c:v>3970900</c:v>
                </c:pt>
                <c:pt idx="10">
                  <c:v>4349900</c:v>
                </c:pt>
                <c:pt idx="11">
                  <c:v>4964100</c:v>
                </c:pt>
              </c:numCache>
            </c:numRef>
          </c:val>
          <c:smooth val="0"/>
          <c:extLst>
            <c:ext xmlns:c16="http://schemas.microsoft.com/office/drawing/2014/chart" uri="{C3380CC4-5D6E-409C-BE32-E72D297353CC}">
              <c16:uniqueId val="{00000000-28E7-41FB-92B8-87C25EDEA8A8}"/>
            </c:ext>
          </c:extLst>
        </c:ser>
        <c:dLbls>
          <c:showLegendKey val="0"/>
          <c:showVal val="0"/>
          <c:showCatName val="0"/>
          <c:showSerName val="0"/>
          <c:showPercent val="0"/>
          <c:showBubbleSize val="0"/>
        </c:dLbls>
        <c:marker val="1"/>
        <c:smooth val="0"/>
        <c:axId val="545872223"/>
        <c:axId val="549219727"/>
      </c:lineChart>
      <c:catAx>
        <c:axId val="545872223"/>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2"/>
                  </a:solidFill>
                </a:ln>
                <a:solidFill>
                  <a:schemeClr val="tx2"/>
                </a:solidFill>
                <a:latin typeface="+mn-lt"/>
                <a:ea typeface="+mn-ea"/>
                <a:cs typeface="+mn-cs"/>
              </a:defRPr>
            </a:pPr>
            <a:endParaRPr lang="en-US"/>
          </a:p>
        </c:txPr>
        <c:crossAx val="549219727"/>
        <c:crosses val="autoZero"/>
        <c:auto val="1"/>
        <c:lblAlgn val="ctr"/>
        <c:lblOffset val="100"/>
        <c:noMultiLvlLbl val="0"/>
      </c:catAx>
      <c:valAx>
        <c:axId val="549219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2"/>
                  </a:solidFill>
                </a:ln>
                <a:solidFill>
                  <a:schemeClr val="tx2"/>
                </a:solidFill>
                <a:latin typeface="+mn-lt"/>
                <a:ea typeface="+mn-ea"/>
                <a:cs typeface="+mn-cs"/>
              </a:defRPr>
            </a:pPr>
            <a:endParaRPr lang="en-US"/>
          </a:p>
        </c:txPr>
        <c:crossAx val="545872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ln>
            <a:solidFill>
              <a:schemeClr val="tx2"/>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[Project_4_Retail_Management_1000_Rows.xlsx]Pivot Table 5!PivotTable5</c:name>
    <c:fmtId val="4"/>
  </c:pivotSource>
  <c:chart>
    <c:title>
      <c:tx>
        <c:rich>
          <a:bodyPr rot="0" spcFirstLastPara="1" vertOverflow="ellipsis" vert="horz" wrap="square" anchor="ctr" anchorCtr="1"/>
          <a:lstStyle/>
          <a:p>
            <a:pPr>
              <a:defRPr sz="1600" b="1" i="0" u="none" strike="noStrike" kern="1200" baseline="0">
                <a:ln>
                  <a:solidFill>
                    <a:schemeClr val="tx2"/>
                  </a:solidFill>
                </a:ln>
                <a:solidFill>
                  <a:schemeClr val="tx2"/>
                </a:solidFill>
                <a:latin typeface="+mn-lt"/>
                <a:ea typeface="+mn-ea"/>
                <a:cs typeface="+mn-cs"/>
              </a:defRPr>
            </a:pPr>
            <a:r>
              <a:rPr lang="en-US"/>
              <a:t>Monthly  Profit Trend</a:t>
            </a:r>
          </a:p>
        </c:rich>
      </c:tx>
      <c:layout>
        <c:manualLayout>
          <c:xMode val="edge"/>
          <c:yMode val="edge"/>
          <c:x val="0.33006233595800527"/>
          <c:y val="3.2407407407407406E-2"/>
        </c:manualLayout>
      </c:layout>
      <c:overlay val="0"/>
      <c:spPr>
        <a:noFill/>
        <a:ln>
          <a:noFill/>
        </a:ln>
        <a:effectLst/>
      </c:spPr>
      <c:txPr>
        <a:bodyPr rot="0" spcFirstLastPara="1" vertOverflow="ellipsis" vert="horz" wrap="square" anchor="ctr" anchorCtr="1"/>
        <a:lstStyle/>
        <a:p>
          <a:pPr>
            <a:defRPr sz="1600" b="1" i="0" u="none" strike="noStrike" kern="1200" baseline="0">
              <a:ln>
                <a:solidFill>
                  <a:schemeClr val="tx2"/>
                </a:solidFill>
              </a:ln>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2"/>
                    </a:solidFill>
                  </a:ln>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2"/>
                    </a:solidFill>
                  </a:ln>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2"/>
                    </a:solidFill>
                  </a:ln>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92915934051928"/>
          <c:y val="0.26841470765521397"/>
          <c:w val="0.76630609280636042"/>
          <c:h val="0.57274802674982084"/>
        </c:manualLayout>
      </c:layout>
      <c:lineChart>
        <c:grouping val="standard"/>
        <c:varyColors val="0"/>
        <c:ser>
          <c:idx val="0"/>
          <c:order val="0"/>
          <c:tx>
            <c:strRef>
              <c:f>'Pivot Table 5'!$B$3</c:f>
              <c:strCache>
                <c:ptCount val="1"/>
                <c:pt idx="0">
                  <c:v>Total</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'Pivot Table 5'!$A$4:$A$16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5'!$B$4:$B$16</c:f>
              <c:numCache>
                <c:formatCode>General</c:formatCode>
                <c:ptCount val="12"/>
                <c:pt idx="0">
                  <c:v>881200</c:v>
                </c:pt>
                <c:pt idx="1">
                  <c:v>630900</c:v>
                </c:pt>
                <c:pt idx="2">
                  <c:v>629800</c:v>
                </c:pt>
                <c:pt idx="3">
                  <c:v>670100</c:v>
                </c:pt>
                <c:pt idx="4">
                  <c:v>943200</c:v>
                </c:pt>
                <c:pt idx="5">
                  <c:v>760300</c:v>
                </c:pt>
                <c:pt idx="6">
                  <c:v>764300</c:v>
                </c:pt>
                <c:pt idx="7">
                  <c:v>741800</c:v>
                </c:pt>
                <c:pt idx="8">
                  <c:v>558800</c:v>
                </c:pt>
                <c:pt idx="9">
                  <c:v>775800</c:v>
                </c:pt>
                <c:pt idx="10">
                  <c:v>844200</c:v>
                </c:pt>
                <c:pt idx="11">
                  <c:v>957300</c:v>
                </c:pt>
              </c:numCache>
            </c:numRef>
          </c:val>
          <c:smooth val="0"/>
          <c:extLst>
            <c:ext xmlns:c16="http://schemas.microsoft.com/office/drawing/2014/chart" uri="{C3380CC4-5D6E-409C-BE32-E72D297353CC}">
              <c16:uniqueId val="{00000000-5C21-430A-B9E7-668F6799E426}"/>
            </c:ext>
          </c:extLst>
        </c:ser>
        <c:dLbls>
          <c:showLegendKey val="0"/>
          <c:showVal val="0"/>
          <c:showCatName val="0"/>
          <c:showSerName val="0"/>
          <c:showPercent val="0"/>
          <c:showBubbleSize val="0"/>
        </c:dLbls>
        <c:marker val="1"/>
        <c:smooth val="0"/>
        <c:axId val="858719375"/>
        <c:axId val="553284719"/>
      </c:lineChart>
      <c:catAx>
        <c:axId val="858719375"/>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2"/>
                  </a:solidFill>
                </a:ln>
                <a:solidFill>
                  <a:schemeClr val="tx2"/>
                </a:solidFill>
                <a:latin typeface="+mn-lt"/>
                <a:ea typeface="+mn-ea"/>
                <a:cs typeface="+mn-cs"/>
              </a:defRPr>
            </a:pPr>
            <a:endParaRPr lang="en-US"/>
          </a:p>
        </c:txPr>
        <c:crossAx val="553284719"/>
        <c:crosses val="autoZero"/>
        <c:auto val="1"/>
        <c:lblAlgn val="ctr"/>
        <c:lblOffset val="100"/>
        <c:noMultiLvlLbl val="0"/>
      </c:catAx>
      <c:valAx>
        <c:axId val="5532847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2"/>
                  </a:solidFill>
                </a:ln>
                <a:solidFill>
                  <a:schemeClr val="tx2"/>
                </a:solidFill>
                <a:latin typeface="+mn-lt"/>
                <a:ea typeface="+mn-ea"/>
                <a:cs typeface="+mn-cs"/>
              </a:defRPr>
            </a:pPr>
            <a:endParaRPr lang="en-US"/>
          </a:p>
        </c:txPr>
        <c:crossAx val="858719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ln>
            <a:solidFill>
              <a:schemeClr val="tx2"/>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[Project_4_Retail_Management_1000_Rows.xlsx]Pivot Table 1!PivotTable1</c:name>
    <c:fmtId val="4"/>
  </c:pivotSource>
  <c:chart>
    <c:title>
      <c:tx>
        <c:rich>
          <a:bodyPr rot="0" spcFirstLastPara="1" vertOverflow="ellipsis" vert="horz" wrap="square" anchor="ctr" anchorCtr="1"/>
          <a:lstStyle/>
          <a:p>
            <a:pPr>
              <a:defRPr sz="1600" b="1" i="0" u="none" strike="noStrike" kern="1200" baseline="0">
                <a:ln>
                  <a:solidFill>
                    <a:schemeClr val="tx2"/>
                  </a:solidFill>
                </a:ln>
                <a:solidFill>
                  <a:schemeClr val="tx2"/>
                </a:solidFill>
                <a:latin typeface="+mn-lt"/>
                <a:ea typeface="+mn-ea"/>
                <a:cs typeface="+mn-cs"/>
              </a:defRPr>
            </a:pPr>
            <a:r>
              <a:rPr lang="en-US"/>
              <a:t>Revenue by Product</a:t>
            </a:r>
          </a:p>
        </c:rich>
      </c:tx>
      <c:overlay val="0"/>
      <c:spPr>
        <a:noFill/>
        <a:ln>
          <a:noFill/>
        </a:ln>
        <a:effectLst/>
      </c:spPr>
      <c:txPr>
        <a:bodyPr rot="0" spcFirstLastPara="1" vertOverflow="ellipsis" vert="horz" wrap="square" anchor="ctr" anchorCtr="1"/>
        <a:lstStyle/>
        <a:p>
          <a:pPr>
            <a:defRPr sz="1600" b="1" i="0" u="none" strike="noStrike" kern="1200" baseline="0">
              <a:ln>
                <a:solidFill>
                  <a:schemeClr val="tx2"/>
                </a:solidFill>
              </a:ln>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2"/>
                    </a:solidFill>
                  </a:ln>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2"/>
                    </a:solidFill>
                  </a:ln>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2"/>
                    </a:solidFill>
                  </a:ln>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7027135967526"/>
          <c:y val="0.23507921136459747"/>
          <c:w val="0.78314889692842449"/>
          <c:h val="0.49624016926070957"/>
        </c:manualLayout>
      </c:layout>
      <c:barChart>
        <c:barDir val="col"/>
        <c:grouping val="clustered"/>
        <c:varyColors val="0"/>
        <c:ser>
          <c:idx val="0"/>
          <c:order val="0"/>
          <c:tx>
            <c:strRef>
              <c:f>'Pivot Table 1'!$B$3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 1'!$A$4:$A$12</c:f>
              <c:strCache>
                <c:ptCount val="8"/>
                <c:pt idx="0">
                  <c:v>Laptop</c:v>
                </c:pt>
                <c:pt idx="1">
                  <c:v>Mobile</c:v>
                </c:pt>
                <c:pt idx="2">
                  <c:v>Monitor</c:v>
                </c:pt>
                <c:pt idx="3">
                  <c:v>Printer</c:v>
                </c:pt>
                <c:pt idx="4">
                  <c:v>Tablet</c:v>
                </c:pt>
                <c:pt idx="5">
                  <c:v>Speaker</c:v>
                </c:pt>
                <c:pt idx="6">
                  <c:v>Keyboard</c:v>
                </c:pt>
                <c:pt idx="7">
                  <c:v>Mouse</c:v>
                </c:pt>
              </c:strCache>
            </c:strRef>
          </c:cat>
          <c:val>
            <c:numRef>
              <c:f>'Pivot Table 1'!$B$4:$B$12</c:f>
              <c:numCache>
                <c:formatCode>General</c:formatCode>
                <c:ptCount val="8"/>
                <c:pt idx="0">
                  <c:v>7500000</c:v>
                </c:pt>
                <c:pt idx="1">
                  <c:v>3850000</c:v>
                </c:pt>
                <c:pt idx="2">
                  <c:v>1536000</c:v>
                </c:pt>
                <c:pt idx="3">
                  <c:v>1245000</c:v>
                </c:pt>
                <c:pt idx="4">
                  <c:v>1116000</c:v>
                </c:pt>
                <c:pt idx="5">
                  <c:v>360000</c:v>
                </c:pt>
                <c:pt idx="6">
                  <c:v>232500</c:v>
                </c:pt>
                <c:pt idx="7">
                  <c:v>118400</c:v>
                </c:pt>
              </c:numCache>
            </c:numRef>
          </c:val>
          <c:extLst>
            <c:ext xmlns:c16="http://schemas.microsoft.com/office/drawing/2014/chart" uri="{C3380CC4-5D6E-409C-BE32-E72D297353CC}">
              <c16:uniqueId val="{00000000-2C13-4EB8-9BDC-632E60717CB3}"/>
            </c:ext>
          </c:extLst>
        </c:ser>
        <c:dLbls>
          <c:showLegendKey val="0"/>
          <c:showVal val="0"/>
          <c:showCatName val="0"/>
          <c:showSerName val="0"/>
          <c:showPercent val="0"/>
          <c:showBubbleSize val="0"/>
        </c:dLbls>
        <c:gapWidth val="100"/>
        <c:overlap val="-24"/>
        <c:axId val="2132757296"/>
        <c:axId val="553287599"/>
      </c:barChart>
      <c:catAx>
        <c:axId val="213275729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2"/>
                  </a:solidFill>
                </a:ln>
                <a:solidFill>
                  <a:schemeClr val="tx2"/>
                </a:solidFill>
                <a:latin typeface="+mn-lt"/>
                <a:ea typeface="+mn-ea"/>
                <a:cs typeface="+mn-cs"/>
              </a:defRPr>
            </a:pPr>
            <a:endParaRPr lang="en-US"/>
          </a:p>
        </c:txPr>
        <c:crossAx val="553287599"/>
        <c:crosses val="autoZero"/>
        <c:auto val="1"/>
        <c:lblAlgn val="ctr"/>
        <c:lblOffset val="100"/>
        <c:noMultiLvlLbl val="0"/>
      </c:catAx>
      <c:valAx>
        <c:axId val="5532875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2"/>
                  </a:solidFill>
                </a:ln>
                <a:solidFill>
                  <a:schemeClr val="tx2"/>
                </a:solidFill>
                <a:latin typeface="+mn-lt"/>
                <a:ea typeface="+mn-ea"/>
                <a:cs typeface="+mn-cs"/>
              </a:defRPr>
            </a:pPr>
            <a:endParaRPr lang="en-US"/>
          </a:p>
        </c:txPr>
        <c:crossAx val="2132757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ln>
            <a:solidFill>
              <a:schemeClr val="tx2"/>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[Project_4_Retail_Management_1000_Rows.xlsx]Sheet7!PivotTable7</c:name>
    <c:fmtId val="15"/>
  </c:pivotSource>
  <c:chart>
    <c:title>
      <c:tx>
        <c:rich>
          <a:bodyPr rot="0" spcFirstLastPara="1" vertOverflow="ellipsis" vert="horz" wrap="square" anchor="ctr" anchorCtr="1"/>
          <a:lstStyle/>
          <a:p>
            <a:pPr>
              <a:defRPr sz="1600" b="1" i="0" u="none" strike="noStrike" kern="1200" baseline="0">
                <a:ln>
                  <a:solidFill>
                    <a:schemeClr val="tx2"/>
                  </a:solidFill>
                </a:ln>
                <a:solidFill>
                  <a:schemeClr val="tx2"/>
                </a:solidFill>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600" b="1" i="0" u="none" strike="noStrike" kern="1200" baseline="0">
              <a:ln>
                <a:solidFill>
                  <a:schemeClr val="tx2"/>
                </a:solidFill>
              </a:ln>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2"/>
                    </a:solidFill>
                  </a:ln>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2"/>
                    </a:solidFill>
                  </a:ln>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2"/>
                    </a:solidFill>
                  </a:ln>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6"/>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2"/>
                    </a:solidFill>
                  </a:ln>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2"/>
                    </a:solidFill>
                  </a:ln>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2"/>
                    </a:solidFill>
                  </a:ln>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3"/>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2"/>
                    </a:solidFill>
                  </a:ln>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6"/>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2"/>
                    </a:solidFill>
                  </a:ln>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8"/>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9"/>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pieChart>
        <c:varyColors val="1"/>
        <c:ser>
          <c:idx val="0"/>
          <c:order val="0"/>
          <c:tx>
            <c:strRef>
              <c:f>Sheet7!$B$3</c:f>
              <c:strCache>
                <c:ptCount val="1"/>
                <c:pt idx="0">
                  <c:v>Total</c:v>
                </c:pt>
              </c:strCache>
            </c:strRef>
          </c:tx>
          <c:dPt>
            <c:idx val="0"/>
            <c:bubble3D val="0"/>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E342-4742-B895-0745923ABC3F}"/>
              </c:ext>
            </c:extLst>
          </c:dPt>
          <c:dPt>
            <c:idx val="1"/>
            <c:bubble3D val="0"/>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E342-4742-B895-0745923ABC3F}"/>
              </c:ext>
            </c:extLst>
          </c:dPt>
          <c:dLbls>
            <c:spPr>
              <a:noFill/>
              <a:ln>
                <a:noFill/>
              </a:ln>
              <a:effectLst/>
            </c:spPr>
            <c:txPr>
              <a:bodyPr rot="0" spcFirstLastPara="1" vertOverflow="ellipsis" vert="horz" wrap="square" anchor="ctr" anchorCtr="1"/>
              <a:lstStyle/>
              <a:p>
                <a:pPr>
                  <a:defRPr sz="900" b="0" i="0" u="none" strike="noStrike" kern="1200" baseline="0">
                    <a:ln>
                      <a:solidFill>
                        <a:schemeClr val="tx2"/>
                      </a:solidFill>
                    </a:ln>
                    <a:solidFill>
                      <a:schemeClr val="tx2"/>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Sheet7!$A$4:$A$6</c:f>
              <c:strCache>
                <c:ptCount val="2"/>
                <c:pt idx="0">
                  <c:v>Accessories</c:v>
                </c:pt>
                <c:pt idx="1">
                  <c:v>Electronics</c:v>
                </c:pt>
              </c:strCache>
            </c:strRef>
          </c:cat>
          <c:val>
            <c:numRef>
              <c:f>Sheet7!$B$4:$B$6</c:f>
              <c:numCache>
                <c:formatCode>General</c:formatCode>
                <c:ptCount val="2"/>
                <c:pt idx="0">
                  <c:v>2051700</c:v>
                </c:pt>
                <c:pt idx="1">
                  <c:v>7106000</c:v>
                </c:pt>
              </c:numCache>
            </c:numRef>
          </c:val>
          <c:extLst>
            <c:ext xmlns:c16="http://schemas.microsoft.com/office/drawing/2014/chart" uri="{C3380CC4-5D6E-409C-BE32-E72D297353CC}">
              <c16:uniqueId val="{00000004-E342-4742-B895-0745923ABC3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tx2"/>
                </a:solidFill>
              </a:ln>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ln>
            <a:solidFill>
              <a:schemeClr val="tx2"/>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[Project_4_Retail_Management_1000_Rows.xlsx]Pivot Table 3!PivotTable3</c:name>
    <c:fmtId val="4"/>
  </c:pivotSource>
  <c:chart>
    <c:title>
      <c:tx>
        <c:rich>
          <a:bodyPr rot="0" spcFirstLastPara="1" vertOverflow="ellipsis" vert="horz" wrap="square" anchor="ctr" anchorCtr="1"/>
          <a:lstStyle/>
          <a:p>
            <a:pPr>
              <a:defRPr sz="1600" b="1" i="0" u="none" strike="noStrike" kern="1200" baseline="0">
                <a:ln>
                  <a:solidFill>
                    <a:schemeClr val="tx2"/>
                  </a:solidFill>
                </a:ln>
                <a:solidFill>
                  <a:schemeClr val="tx2"/>
                </a:solidFill>
                <a:latin typeface="+mn-lt"/>
                <a:ea typeface="+mn-ea"/>
                <a:cs typeface="+mn-cs"/>
              </a:defRPr>
            </a:pPr>
            <a:r>
              <a:rPr lang="en-US"/>
              <a:t>Reveenue by City</a:t>
            </a:r>
          </a:p>
        </c:rich>
      </c:tx>
      <c:overlay val="0"/>
      <c:spPr>
        <a:noFill/>
        <a:ln>
          <a:noFill/>
        </a:ln>
        <a:effectLst/>
      </c:spPr>
      <c:txPr>
        <a:bodyPr rot="0" spcFirstLastPara="1" vertOverflow="ellipsis" vert="horz" wrap="square" anchor="ctr" anchorCtr="1"/>
        <a:lstStyle/>
        <a:p>
          <a:pPr>
            <a:defRPr sz="1600" b="1" i="0" u="none" strike="noStrike" kern="1200" baseline="0">
              <a:ln>
                <a:solidFill>
                  <a:schemeClr val="tx2"/>
                </a:solidFill>
              </a:ln>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2"/>
                    </a:solidFill>
                  </a:ln>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2"/>
                    </a:solidFill>
                  </a:ln>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2"/>
                    </a:solidFill>
                  </a:ln>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4228389808954"/>
          <c:y val="0.27274974963456122"/>
          <c:w val="0.7526621672290964"/>
          <c:h val="0.45502231468615961"/>
        </c:manualLayout>
      </c:layout>
      <c:barChart>
        <c:barDir val="col"/>
        <c:grouping val="clustered"/>
        <c:varyColors val="0"/>
        <c:ser>
          <c:idx val="0"/>
          <c:order val="0"/>
          <c:tx>
            <c:strRef>
              <c:f>'Pivot Table 3'!$B$3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 3'!$A$4:$A$13</c:f>
              <c:strCache>
                <c:ptCount val="9"/>
                <c:pt idx="0">
                  <c:v>Jaipur</c:v>
                </c:pt>
                <c:pt idx="1">
                  <c:v>Lucknow</c:v>
                </c:pt>
                <c:pt idx="2">
                  <c:v>Ahmedabad</c:v>
                </c:pt>
                <c:pt idx="3">
                  <c:v>Mumbai</c:v>
                </c:pt>
                <c:pt idx="4">
                  <c:v>Chandigarh</c:v>
                </c:pt>
                <c:pt idx="6">
                  <c:v>Pune</c:v>
                </c:pt>
                <c:pt idx="7">
                  <c:v>Delhi</c:v>
                </c:pt>
                <c:pt idx="8">
                  <c:v>Noida</c:v>
                </c:pt>
              </c:strCache>
            </c:strRef>
          </c:cat>
          <c:val>
            <c:numRef>
              <c:f>'Pivot Table 3'!$B$4:$B$13</c:f>
              <c:numCache>
                <c:formatCode>General</c:formatCode>
                <c:ptCount val="9"/>
                <c:pt idx="0">
                  <c:v>7768800</c:v>
                </c:pt>
                <c:pt idx="1">
                  <c:v>7753800</c:v>
                </c:pt>
                <c:pt idx="2">
                  <c:v>6942400</c:v>
                </c:pt>
                <c:pt idx="3">
                  <c:v>4979100</c:v>
                </c:pt>
                <c:pt idx="4">
                  <c:v>4261800</c:v>
                </c:pt>
                <c:pt idx="5">
                  <c:v>4249600</c:v>
                </c:pt>
                <c:pt idx="6">
                  <c:v>4063500</c:v>
                </c:pt>
                <c:pt idx="7">
                  <c:v>3956300</c:v>
                </c:pt>
                <c:pt idx="8">
                  <c:v>3788000</c:v>
                </c:pt>
              </c:numCache>
            </c:numRef>
          </c:val>
          <c:extLst>
            <c:ext xmlns:c16="http://schemas.microsoft.com/office/drawing/2014/chart" uri="{C3380CC4-5D6E-409C-BE32-E72D297353CC}">
              <c16:uniqueId val="{00000000-15A5-4ACE-BCB5-D6BB9BF3308D}"/>
            </c:ext>
          </c:extLst>
        </c:ser>
        <c:dLbls>
          <c:showLegendKey val="0"/>
          <c:showVal val="0"/>
          <c:showCatName val="0"/>
          <c:showSerName val="0"/>
          <c:showPercent val="0"/>
          <c:showBubbleSize val="0"/>
        </c:dLbls>
        <c:gapWidth val="100"/>
        <c:overlap val="-24"/>
        <c:axId val="905421855"/>
        <c:axId val="553279439"/>
      </c:barChart>
      <c:catAx>
        <c:axId val="90542185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2"/>
                  </a:solidFill>
                </a:ln>
                <a:solidFill>
                  <a:schemeClr val="tx2"/>
                </a:solidFill>
                <a:latin typeface="+mn-lt"/>
                <a:ea typeface="+mn-ea"/>
                <a:cs typeface="+mn-cs"/>
              </a:defRPr>
            </a:pPr>
            <a:endParaRPr lang="en-US"/>
          </a:p>
        </c:txPr>
        <c:crossAx val="553279439"/>
        <c:crosses val="autoZero"/>
        <c:auto val="1"/>
        <c:lblAlgn val="ctr"/>
        <c:lblOffset val="100"/>
        <c:noMultiLvlLbl val="0"/>
      </c:catAx>
      <c:valAx>
        <c:axId val="5532794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2"/>
                  </a:solidFill>
                </a:ln>
                <a:solidFill>
                  <a:schemeClr val="tx2"/>
                </a:solidFill>
                <a:latin typeface="+mn-lt"/>
                <a:ea typeface="+mn-ea"/>
                <a:cs typeface="+mn-cs"/>
              </a:defRPr>
            </a:pPr>
            <a:endParaRPr lang="en-US"/>
          </a:p>
        </c:txPr>
        <c:crossAx val="905421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ln>
            <a:solidFill>
              <a:schemeClr val="tx2"/>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[Project_4_Retail_Management_1000_Rows.xlsx]Pivot Table 6!PivotTable6</c:name>
    <c:fmtId val="4"/>
  </c:pivotSource>
  <c:chart>
    <c:title>
      <c:tx>
        <c:rich>
          <a:bodyPr rot="0" spcFirstLastPara="1" vertOverflow="ellipsis" vert="horz" wrap="square" anchor="ctr" anchorCtr="1"/>
          <a:lstStyle/>
          <a:p>
            <a:pPr>
              <a:defRPr sz="1600" b="1" i="0" u="none" strike="noStrike" kern="1200" baseline="0">
                <a:ln>
                  <a:solidFill>
                    <a:schemeClr val="tx2"/>
                  </a:solidFill>
                </a:ln>
                <a:solidFill>
                  <a:schemeClr val="tx2"/>
                </a:solidFill>
                <a:latin typeface="+mn-lt"/>
                <a:ea typeface="+mn-ea"/>
                <a:cs typeface="+mn-cs"/>
              </a:defRPr>
            </a:pPr>
            <a:r>
              <a:rPr lang="en-US"/>
              <a:t>Top 10 Customer</a:t>
            </a:r>
          </a:p>
        </c:rich>
      </c:tx>
      <c:overlay val="0"/>
      <c:spPr>
        <a:noFill/>
        <a:ln>
          <a:noFill/>
        </a:ln>
        <a:effectLst/>
      </c:spPr>
      <c:txPr>
        <a:bodyPr rot="0" spcFirstLastPara="1" vertOverflow="ellipsis" vert="horz" wrap="square" anchor="ctr" anchorCtr="1"/>
        <a:lstStyle/>
        <a:p>
          <a:pPr>
            <a:defRPr sz="1600" b="1" i="0" u="none" strike="noStrike" kern="1200" baseline="0">
              <a:ln>
                <a:solidFill>
                  <a:schemeClr val="tx2"/>
                </a:solidFill>
              </a:ln>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2"/>
                    </a:solidFill>
                  </a:ln>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2"/>
                    </a:solidFill>
                  </a:ln>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2"/>
                    </a:solidFill>
                  </a:ln>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6'!$B$3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 6'!$A$4:$A$14</c:f>
              <c:strCache>
                <c:ptCount val="10"/>
                <c:pt idx="0">
                  <c:v>Riya Sharma</c:v>
                </c:pt>
                <c:pt idx="1">
                  <c:v>Sneha Roy</c:v>
                </c:pt>
                <c:pt idx="2">
                  <c:v>Karan Patel</c:v>
                </c:pt>
                <c:pt idx="3">
                  <c:v>Arjun Mehta</c:v>
                </c:pt>
                <c:pt idx="4">
                  <c:v>Rahul Sharma</c:v>
                </c:pt>
                <c:pt idx="5">
                  <c:v>Amit Kumar</c:v>
                </c:pt>
                <c:pt idx="6">
                  <c:v>Vikas Yadav</c:v>
                </c:pt>
                <c:pt idx="7">
                  <c:v>Meena Joshi</c:v>
                </c:pt>
                <c:pt idx="8">
                  <c:v>Anjali Gupta</c:v>
                </c:pt>
                <c:pt idx="9">
                  <c:v>Neha Singh</c:v>
                </c:pt>
              </c:strCache>
            </c:strRef>
          </c:cat>
          <c:val>
            <c:numRef>
              <c:f>'Pivot Table 6'!$B$4:$B$14</c:f>
              <c:numCache>
                <c:formatCode>General</c:formatCode>
                <c:ptCount val="10"/>
                <c:pt idx="0">
                  <c:v>6244000</c:v>
                </c:pt>
                <c:pt idx="1">
                  <c:v>4644400</c:v>
                </c:pt>
                <c:pt idx="2">
                  <c:v>4528300</c:v>
                </c:pt>
                <c:pt idx="3">
                  <c:v>4357500</c:v>
                </c:pt>
                <c:pt idx="4">
                  <c:v>4081800</c:v>
                </c:pt>
                <c:pt idx="5">
                  <c:v>3788100</c:v>
                </c:pt>
                <c:pt idx="6">
                  <c:v>3649800</c:v>
                </c:pt>
                <c:pt idx="7">
                  <c:v>3644900</c:v>
                </c:pt>
                <c:pt idx="8">
                  <c:v>3339200</c:v>
                </c:pt>
                <c:pt idx="9">
                  <c:v>2756400</c:v>
                </c:pt>
              </c:numCache>
            </c:numRef>
          </c:val>
          <c:extLst>
            <c:ext xmlns:c16="http://schemas.microsoft.com/office/drawing/2014/chart" uri="{C3380CC4-5D6E-409C-BE32-E72D297353CC}">
              <c16:uniqueId val="{00000000-4508-41D3-A9F1-B8A20085AE55}"/>
            </c:ext>
          </c:extLst>
        </c:ser>
        <c:dLbls>
          <c:showLegendKey val="0"/>
          <c:showVal val="0"/>
          <c:showCatName val="0"/>
          <c:showSerName val="0"/>
          <c:showPercent val="0"/>
          <c:showBubbleSize val="0"/>
        </c:dLbls>
        <c:gapWidth val="100"/>
        <c:overlap val="-24"/>
        <c:axId val="905420463"/>
        <c:axId val="553253519"/>
      </c:barChart>
      <c:catAx>
        <c:axId val="90542046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2"/>
                  </a:solidFill>
                </a:ln>
                <a:solidFill>
                  <a:schemeClr val="tx2"/>
                </a:solidFill>
                <a:latin typeface="+mn-lt"/>
                <a:ea typeface="+mn-ea"/>
                <a:cs typeface="+mn-cs"/>
              </a:defRPr>
            </a:pPr>
            <a:endParaRPr lang="en-US"/>
          </a:p>
        </c:txPr>
        <c:crossAx val="553253519"/>
        <c:crosses val="autoZero"/>
        <c:auto val="1"/>
        <c:lblAlgn val="ctr"/>
        <c:lblOffset val="100"/>
        <c:noMultiLvlLbl val="0"/>
      </c:catAx>
      <c:valAx>
        <c:axId val="553253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2"/>
                  </a:solidFill>
                </a:ln>
                <a:solidFill>
                  <a:schemeClr val="tx2"/>
                </a:solidFill>
                <a:latin typeface="+mn-lt"/>
                <a:ea typeface="+mn-ea"/>
                <a:cs typeface="+mn-cs"/>
              </a:defRPr>
            </a:pPr>
            <a:endParaRPr lang="en-US"/>
          </a:p>
        </c:txPr>
        <c:crossAx val="90542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ln>
            <a:solidFill>
              <a:schemeClr val="tx2"/>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66645</xdr:colOff>
      <xdr:row>4</xdr:row>
      <xdr:rowOff>88538</xdr:rowOff>
    </xdr:from>
    <xdr:to>
      <xdr:col>5</xdr:col>
      <xdr:colOff>51405</xdr:colOff>
      <xdr:row>7</xdr:row>
      <xdr:rowOff>111398</xdr:rowOff>
    </xdr:to>
    <xdr:sp macro="" textlink="">
      <xdr:nvSpPr>
        <xdr:cNvPr id="2" name="Rectangle: Rounded Corners 1">
          <a:extLst>
            <a:ext uri="{FF2B5EF4-FFF2-40B4-BE49-F238E27FC236}">
              <a16:creationId xmlns:a16="http://schemas.microsoft.com/office/drawing/2014/main" id="{5C2ECD65-99E5-5D02-1E01-6BB9601E2A2D}"/>
            </a:ext>
          </a:extLst>
        </xdr:cNvPr>
        <xdr:cNvSpPr/>
      </xdr:nvSpPr>
      <xdr:spPr>
        <a:xfrm>
          <a:off x="1895445" y="833605"/>
          <a:ext cx="1203960" cy="581660"/>
        </a:xfrm>
        <a:prstGeom prst="roundRect">
          <a:avLst/>
        </a:prstGeom>
        <a:solidFill>
          <a:schemeClr val="tx2">
            <a:lumMod val="75000"/>
          </a:schemeClr>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IN" sz="1200" b="1"/>
            <a:t>Total</a:t>
          </a:r>
          <a:r>
            <a:rPr lang="en-IN" sz="1200" b="1" baseline="0"/>
            <a:t> Revenue</a:t>
          </a:r>
        </a:p>
        <a:p>
          <a:pPr algn="l"/>
          <a:r>
            <a:rPr lang="en-IN" sz="1200" b="1" baseline="0"/>
            <a:t>      4.78  Cr</a:t>
          </a:r>
        </a:p>
        <a:p>
          <a:pPr algn="l"/>
          <a:endParaRPr lang="en-IN" sz="1200" b="1"/>
        </a:p>
      </xdr:txBody>
    </xdr:sp>
    <xdr:clientData/>
  </xdr:twoCellAnchor>
  <xdr:twoCellAnchor>
    <xdr:from>
      <xdr:col>9</xdr:col>
      <xdr:colOff>403860</xdr:colOff>
      <xdr:row>4</xdr:row>
      <xdr:rowOff>76200</xdr:rowOff>
    </xdr:from>
    <xdr:to>
      <xdr:col>11</xdr:col>
      <xdr:colOff>396240</xdr:colOff>
      <xdr:row>7</xdr:row>
      <xdr:rowOff>106680</xdr:rowOff>
    </xdr:to>
    <xdr:sp macro="" textlink="">
      <xdr:nvSpPr>
        <xdr:cNvPr id="11" name="Rectangle: Rounded Corners 10">
          <a:extLst>
            <a:ext uri="{FF2B5EF4-FFF2-40B4-BE49-F238E27FC236}">
              <a16:creationId xmlns:a16="http://schemas.microsoft.com/office/drawing/2014/main" id="{59E3B465-AE10-385B-CA00-3F171796C118}"/>
            </a:ext>
          </a:extLst>
        </xdr:cNvPr>
        <xdr:cNvSpPr/>
      </xdr:nvSpPr>
      <xdr:spPr>
        <a:xfrm>
          <a:off x="5890260" y="807720"/>
          <a:ext cx="1211580" cy="579120"/>
        </a:xfrm>
        <a:prstGeom prst="roundRect">
          <a:avLst/>
        </a:prstGeom>
        <a:solidFill>
          <a:schemeClr val="tx2">
            <a:lumMod val="75000"/>
          </a:schemeClr>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IN" sz="1200" b="1"/>
            <a:t>Highest sale</a:t>
          </a:r>
        </a:p>
        <a:p>
          <a:pPr algn="l"/>
          <a:r>
            <a:rPr lang="en-IN" sz="1200" b="1"/>
            <a:t>       </a:t>
          </a:r>
          <a:r>
            <a:rPr lang="en-IN" sz="1200" b="1" baseline="0"/>
            <a:t>2.25 L</a:t>
          </a:r>
          <a:endParaRPr lang="en-IN" sz="1200" b="1"/>
        </a:p>
      </xdr:txBody>
    </xdr:sp>
    <xdr:clientData/>
  </xdr:twoCellAnchor>
  <xdr:twoCellAnchor>
    <xdr:from>
      <xdr:col>12</xdr:col>
      <xdr:colOff>464820</xdr:colOff>
      <xdr:row>4</xdr:row>
      <xdr:rowOff>106680</xdr:rowOff>
    </xdr:from>
    <xdr:to>
      <xdr:col>14</xdr:col>
      <xdr:colOff>335280</xdr:colOff>
      <xdr:row>7</xdr:row>
      <xdr:rowOff>121920</xdr:rowOff>
    </xdr:to>
    <xdr:sp macro="" textlink="">
      <xdr:nvSpPr>
        <xdr:cNvPr id="12" name="Rectangle: Rounded Corners 11">
          <a:extLst>
            <a:ext uri="{FF2B5EF4-FFF2-40B4-BE49-F238E27FC236}">
              <a16:creationId xmlns:a16="http://schemas.microsoft.com/office/drawing/2014/main" id="{8B0AA551-54D9-D1CE-A597-85ED8E41071E}"/>
            </a:ext>
          </a:extLst>
        </xdr:cNvPr>
        <xdr:cNvSpPr/>
      </xdr:nvSpPr>
      <xdr:spPr>
        <a:xfrm>
          <a:off x="8351520" y="838200"/>
          <a:ext cx="1089660" cy="563880"/>
        </a:xfrm>
        <a:prstGeom prst="roundRect">
          <a:avLst/>
        </a:prstGeom>
        <a:solidFill>
          <a:schemeClr val="tx2">
            <a:lumMod val="75000"/>
          </a:schemeClr>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IN" sz="1200" b="1"/>
            <a:t>Profit margin</a:t>
          </a:r>
        </a:p>
        <a:p>
          <a:pPr algn="l"/>
          <a:r>
            <a:rPr lang="en-IN" sz="1200" b="1"/>
            <a:t>     19 %</a:t>
          </a:r>
        </a:p>
      </xdr:txBody>
    </xdr:sp>
    <xdr:clientData/>
  </xdr:twoCellAnchor>
  <xdr:twoCellAnchor>
    <xdr:from>
      <xdr:col>6</xdr:col>
      <xdr:colOff>594360</xdr:colOff>
      <xdr:row>4</xdr:row>
      <xdr:rowOff>76200</xdr:rowOff>
    </xdr:from>
    <xdr:to>
      <xdr:col>9</xdr:col>
      <xdr:colOff>342900</xdr:colOff>
      <xdr:row>7</xdr:row>
      <xdr:rowOff>114300</xdr:rowOff>
    </xdr:to>
    <xdr:sp macro="" textlink="">
      <xdr:nvSpPr>
        <xdr:cNvPr id="13" name="Rectangle: Rounded Corners 12">
          <a:extLst>
            <a:ext uri="{FF2B5EF4-FFF2-40B4-BE49-F238E27FC236}">
              <a16:creationId xmlns:a16="http://schemas.microsoft.com/office/drawing/2014/main" id="{8422FC80-BDA2-567C-4518-8DDE792C744D}"/>
            </a:ext>
          </a:extLst>
        </xdr:cNvPr>
        <xdr:cNvSpPr/>
      </xdr:nvSpPr>
      <xdr:spPr>
        <a:xfrm>
          <a:off x="4251960" y="807720"/>
          <a:ext cx="1577340" cy="586740"/>
        </a:xfrm>
        <a:prstGeom prst="roundRect">
          <a:avLst/>
        </a:prstGeom>
        <a:solidFill>
          <a:schemeClr val="tx2">
            <a:lumMod val="75000"/>
          </a:schemeClr>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IN" sz="1200" b="1"/>
            <a:t>Average</a:t>
          </a:r>
          <a:r>
            <a:rPr lang="en-IN" sz="1200" b="1" baseline="0"/>
            <a:t> Order Value</a:t>
          </a:r>
        </a:p>
        <a:p>
          <a:pPr algn="l"/>
          <a:r>
            <a:rPr lang="en-IN" sz="1200" b="1" baseline="0"/>
            <a:t>       47.8 K</a:t>
          </a:r>
          <a:endParaRPr lang="en-IN" sz="1200" b="1"/>
        </a:p>
      </xdr:txBody>
    </xdr:sp>
    <xdr:clientData/>
  </xdr:twoCellAnchor>
  <xdr:twoCellAnchor>
    <xdr:from>
      <xdr:col>5</xdr:col>
      <xdr:colOff>101238</xdr:colOff>
      <xdr:row>4</xdr:row>
      <xdr:rowOff>88174</xdr:rowOff>
    </xdr:from>
    <xdr:to>
      <xdr:col>6</xdr:col>
      <xdr:colOff>543198</xdr:colOff>
      <xdr:row>7</xdr:row>
      <xdr:rowOff>111034</xdr:rowOff>
    </xdr:to>
    <xdr:sp macro="" textlink="">
      <xdr:nvSpPr>
        <xdr:cNvPr id="14" name="Rectangle: Rounded Corners 13">
          <a:extLst>
            <a:ext uri="{FF2B5EF4-FFF2-40B4-BE49-F238E27FC236}">
              <a16:creationId xmlns:a16="http://schemas.microsoft.com/office/drawing/2014/main" id="{359FF6CC-D30B-9BA3-0086-FF543FFF6564}"/>
            </a:ext>
          </a:extLst>
        </xdr:cNvPr>
        <xdr:cNvSpPr/>
      </xdr:nvSpPr>
      <xdr:spPr>
        <a:xfrm>
          <a:off x="3149238" y="828403"/>
          <a:ext cx="1051560" cy="578031"/>
        </a:xfrm>
        <a:prstGeom prst="roundRect">
          <a:avLst/>
        </a:prstGeom>
        <a:solidFill>
          <a:schemeClr val="tx2">
            <a:lumMod val="75000"/>
          </a:schemeClr>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IN" sz="1200" b="1"/>
            <a:t>  Total</a:t>
          </a:r>
          <a:r>
            <a:rPr lang="en-IN" sz="1200" b="1" baseline="0"/>
            <a:t> Profit</a:t>
          </a:r>
        </a:p>
        <a:p>
          <a:pPr algn="l"/>
          <a:r>
            <a:rPr lang="en-IN" sz="1200" b="1" baseline="0"/>
            <a:t>      91.6  L</a:t>
          </a:r>
          <a:endParaRPr lang="en-IN" sz="1200" b="1"/>
        </a:p>
      </xdr:txBody>
    </xdr:sp>
    <xdr:clientData/>
  </xdr:twoCellAnchor>
  <xdr:twoCellAnchor>
    <xdr:from>
      <xdr:col>11</xdr:col>
      <xdr:colOff>464820</xdr:colOff>
      <xdr:row>4</xdr:row>
      <xdr:rowOff>83820</xdr:rowOff>
    </xdr:from>
    <xdr:to>
      <xdr:col>12</xdr:col>
      <xdr:colOff>365760</xdr:colOff>
      <xdr:row>7</xdr:row>
      <xdr:rowOff>99060</xdr:rowOff>
    </xdr:to>
    <xdr:sp macro="" textlink="">
      <xdr:nvSpPr>
        <xdr:cNvPr id="15" name="Rectangle: Rounded Corners 14">
          <a:extLst>
            <a:ext uri="{FF2B5EF4-FFF2-40B4-BE49-F238E27FC236}">
              <a16:creationId xmlns:a16="http://schemas.microsoft.com/office/drawing/2014/main" id="{F3183DDA-C235-E979-561C-D61DB2B66172}"/>
            </a:ext>
          </a:extLst>
        </xdr:cNvPr>
        <xdr:cNvSpPr/>
      </xdr:nvSpPr>
      <xdr:spPr>
        <a:xfrm>
          <a:off x="7170420" y="815340"/>
          <a:ext cx="1082040" cy="563880"/>
        </a:xfrm>
        <a:prstGeom prst="roundRect">
          <a:avLst/>
        </a:prstGeom>
        <a:solidFill>
          <a:schemeClr val="tx2">
            <a:lumMod val="75000"/>
          </a:schemeClr>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IN" sz="1100" b="1"/>
            <a:t>  Total Order </a:t>
          </a:r>
        </a:p>
        <a:p>
          <a:pPr algn="l"/>
          <a:r>
            <a:rPr lang="en-IN" sz="1100" b="1"/>
            <a:t>      </a:t>
          </a:r>
          <a:r>
            <a:rPr lang="en-IN" sz="1100" b="1" baseline="0"/>
            <a:t>    1K</a:t>
          </a:r>
          <a:endParaRPr lang="en-IN" sz="1100" b="1"/>
        </a:p>
      </xdr:txBody>
    </xdr:sp>
    <xdr:clientData/>
  </xdr:twoCellAnchor>
  <xdr:twoCellAnchor>
    <xdr:from>
      <xdr:col>13</xdr:col>
      <xdr:colOff>118533</xdr:colOff>
      <xdr:row>20</xdr:row>
      <xdr:rowOff>25400</xdr:rowOff>
    </xdr:from>
    <xdr:to>
      <xdr:col>18</xdr:col>
      <xdr:colOff>406400</xdr:colOff>
      <xdr:row>33</xdr:row>
      <xdr:rowOff>160867</xdr:rowOff>
    </xdr:to>
    <xdr:graphicFrame macro="">
      <xdr:nvGraphicFramePr>
        <xdr:cNvPr id="3" name="Chart 2">
          <a:extLst>
            <a:ext uri="{FF2B5EF4-FFF2-40B4-BE49-F238E27FC236}">
              <a16:creationId xmlns:a16="http://schemas.microsoft.com/office/drawing/2014/main" id="{6CC244D9-D23A-4731-B580-8B24A54D13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550333</xdr:colOff>
      <xdr:row>20</xdr:row>
      <xdr:rowOff>8468</xdr:rowOff>
    </xdr:from>
    <xdr:to>
      <xdr:col>13</xdr:col>
      <xdr:colOff>66040</xdr:colOff>
      <xdr:row>34</xdr:row>
      <xdr:rowOff>1</xdr:rowOff>
    </xdr:to>
    <xdr:graphicFrame macro="">
      <xdr:nvGraphicFramePr>
        <xdr:cNvPr id="4" name="Chart 3">
          <a:extLst>
            <a:ext uri="{FF2B5EF4-FFF2-40B4-BE49-F238E27FC236}">
              <a16:creationId xmlns:a16="http://schemas.microsoft.com/office/drawing/2014/main" id="{DD68F5B5-3D4B-490D-9D18-E55D736F71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169333</xdr:colOff>
      <xdr:row>8</xdr:row>
      <xdr:rowOff>0</xdr:rowOff>
    </xdr:from>
    <xdr:to>
      <xdr:col>8</xdr:col>
      <xdr:colOff>462276</xdr:colOff>
      <xdr:row>19</xdr:row>
      <xdr:rowOff>93133</xdr:rowOff>
    </xdr:to>
    <xdr:graphicFrame macro="">
      <xdr:nvGraphicFramePr>
        <xdr:cNvPr id="5" name="Chart 4">
          <a:extLst>
            <a:ext uri="{FF2B5EF4-FFF2-40B4-BE49-F238E27FC236}">
              <a16:creationId xmlns:a16="http://schemas.microsoft.com/office/drawing/2014/main" id="{8E320A0B-CE91-4D1B-A1E7-F486B69613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110066</xdr:colOff>
      <xdr:row>7</xdr:row>
      <xdr:rowOff>177797</xdr:rowOff>
    </xdr:from>
    <xdr:to>
      <xdr:col>18</xdr:col>
      <xdr:colOff>414867</xdr:colOff>
      <xdr:row>19</xdr:row>
      <xdr:rowOff>135467</xdr:rowOff>
    </xdr:to>
    <xdr:graphicFrame macro="">
      <xdr:nvGraphicFramePr>
        <xdr:cNvPr id="7" name="Chart 6">
          <a:extLst>
            <a:ext uri="{FF2B5EF4-FFF2-40B4-BE49-F238E27FC236}">
              <a16:creationId xmlns:a16="http://schemas.microsoft.com/office/drawing/2014/main" id="{E3A59ED3-FE88-4920-AEE5-7ADE08E442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516465</xdr:colOff>
      <xdr:row>7</xdr:row>
      <xdr:rowOff>177801</xdr:rowOff>
    </xdr:from>
    <xdr:to>
      <xdr:col>13</xdr:col>
      <xdr:colOff>76200</xdr:colOff>
      <xdr:row>19</xdr:row>
      <xdr:rowOff>110067</xdr:rowOff>
    </xdr:to>
    <xdr:graphicFrame macro="">
      <xdr:nvGraphicFramePr>
        <xdr:cNvPr id="8" name="Chart 7">
          <a:extLst>
            <a:ext uri="{FF2B5EF4-FFF2-40B4-BE49-F238E27FC236}">
              <a16:creationId xmlns:a16="http://schemas.microsoft.com/office/drawing/2014/main" id="{15D92398-FD91-4A74-9D00-E67FC329EA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160865</xdr:colOff>
      <xdr:row>20</xdr:row>
      <xdr:rowOff>25400</xdr:rowOff>
    </xdr:from>
    <xdr:to>
      <xdr:col>8</xdr:col>
      <xdr:colOff>499533</xdr:colOff>
      <xdr:row>33</xdr:row>
      <xdr:rowOff>169332</xdr:rowOff>
    </xdr:to>
    <xdr:graphicFrame macro="">
      <xdr:nvGraphicFramePr>
        <xdr:cNvPr id="9" name="Chart 8">
          <a:extLst>
            <a:ext uri="{FF2B5EF4-FFF2-40B4-BE49-F238E27FC236}">
              <a16:creationId xmlns:a16="http://schemas.microsoft.com/office/drawing/2014/main" id="{0058E926-1AD4-4578-89AB-1880373424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118532</xdr:colOff>
      <xdr:row>26</xdr:row>
      <xdr:rowOff>135467</xdr:rowOff>
    </xdr:from>
    <xdr:to>
      <xdr:col>3</xdr:col>
      <xdr:colOff>50799</xdr:colOff>
      <xdr:row>33</xdr:row>
      <xdr:rowOff>169334</xdr:rowOff>
    </xdr:to>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id="{A9F49308-AEDF-4CA7-A93A-09F9F58BAEB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28132" y="4986867"/>
              <a:ext cx="1151467" cy="13377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121436</xdr:colOff>
      <xdr:row>11</xdr:row>
      <xdr:rowOff>127848</xdr:rowOff>
    </xdr:from>
    <xdr:to>
      <xdr:col>3</xdr:col>
      <xdr:colOff>18143</xdr:colOff>
      <xdr:row>18</xdr:row>
      <xdr:rowOff>169334</xdr:rowOff>
    </xdr:to>
    <mc:AlternateContent xmlns:mc="http://schemas.openxmlformats.org/markup-compatibility/2006" xmlns:a14="http://schemas.microsoft.com/office/drawing/2010/main">
      <mc:Choice Requires="a14">
        <xdr:graphicFrame macro="">
          <xdr:nvGraphicFramePr>
            <xdr:cNvPr id="22" name="City">
              <a:extLst>
                <a:ext uri="{FF2B5EF4-FFF2-40B4-BE49-F238E27FC236}">
                  <a16:creationId xmlns:a16="http://schemas.microsoft.com/office/drawing/2014/main" id="{97DDA7AB-8C9A-4FBB-9D8B-5CFD544ED1E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31036" y="2174362"/>
              <a:ext cx="1115907" cy="13368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121314</xdr:colOff>
      <xdr:row>19</xdr:row>
      <xdr:rowOff>50319</xdr:rowOff>
    </xdr:from>
    <xdr:to>
      <xdr:col>3</xdr:col>
      <xdr:colOff>20561</xdr:colOff>
      <xdr:row>26</xdr:row>
      <xdr:rowOff>43544</xdr:rowOff>
    </xdr:to>
    <mc:AlternateContent xmlns:mc="http://schemas.openxmlformats.org/markup-compatibility/2006" xmlns:a14="http://schemas.microsoft.com/office/drawing/2010/main">
      <mc:Choice Requires="a14">
        <xdr:graphicFrame macro="">
          <xdr:nvGraphicFramePr>
            <xdr:cNvPr id="26" name="Product name">
              <a:extLst>
                <a:ext uri="{FF2B5EF4-FFF2-40B4-BE49-F238E27FC236}">
                  <a16:creationId xmlns:a16="http://schemas.microsoft.com/office/drawing/2014/main" id="{7252D27B-4990-4022-8934-AEA84B992492}"/>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730914" y="3577290"/>
              <a:ext cx="1118447" cy="1288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127000</xdr:colOff>
      <xdr:row>6</xdr:row>
      <xdr:rowOff>114300</xdr:rowOff>
    </xdr:from>
    <xdr:to>
      <xdr:col>3</xdr:col>
      <xdr:colOff>25400</xdr:colOff>
      <xdr:row>11</xdr:row>
      <xdr:rowOff>42334</xdr:rowOff>
    </xdr:to>
    <mc:AlternateContent xmlns:mc="http://schemas.openxmlformats.org/markup-compatibility/2006" xmlns:a14="http://schemas.microsoft.com/office/drawing/2010/main">
      <mc:Choice Requires="a14">
        <xdr:graphicFrame macro="">
          <xdr:nvGraphicFramePr>
            <xdr:cNvPr id="27" name="Category">
              <a:extLst>
                <a:ext uri="{FF2B5EF4-FFF2-40B4-BE49-F238E27FC236}">
                  <a16:creationId xmlns:a16="http://schemas.microsoft.com/office/drawing/2014/main" id="{0037493C-D0AB-4499-8A91-41F27BD3953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36600" y="1231900"/>
              <a:ext cx="1117600" cy="8678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VERMA" refreshedDate="46208.772585416664" createdVersion="8" refreshedVersion="8" minRefreshableVersion="3" recordCount="1000" xr:uid="{AC3C3593-B1F7-494F-80D9-90005E2BDD4D}">
  <cacheSource type="worksheet">
    <worksheetSource ref="A1:Q1001" sheet="Clean_Data"/>
  </cacheSource>
  <cacheFields count="19">
    <cacheField name="Order ID" numFmtId="0">
      <sharedItems/>
    </cacheField>
    <cacheField name="Order Date" numFmtId="14">
      <sharedItems containsSemiMixedTypes="0" containsNonDate="0" containsDate="1" containsString="0" minDate="2025-01-01T00:00:00" maxDate="2026-01-01T00:00:00" count="340">
        <d v="2025-04-01T00:00:00"/>
        <d v="2025-12-24T00:00:00"/>
        <d v="2025-01-11T00:00:00"/>
        <d v="2025-07-08T00:00:00"/>
        <d v="2025-10-30T00:00:00"/>
        <d v="2025-05-19T00:00:00"/>
        <d v="2025-09-13T00:00:00"/>
        <d v="2025-08-26T00:00:00"/>
        <d v="2025-07-28T00:00:00"/>
        <d v="2025-07-15T00:00:00"/>
        <d v="2025-04-11T00:00:00"/>
        <d v="2025-01-10T00:00:00"/>
        <d v="2025-10-07T00:00:00"/>
        <d v="2025-12-12T00:00:00"/>
        <d v="2025-11-01T00:00:00"/>
        <d v="2025-04-20T00:00:00"/>
        <d v="2025-11-10T00:00:00"/>
        <d v="2025-07-19T00:00:00"/>
        <d v="2025-02-05T00:00:00"/>
        <d v="2025-11-08T00:00:00"/>
        <d v="2025-06-01T00:00:00"/>
        <d v="2025-05-26T00:00:00"/>
        <d v="2025-03-23T00:00:00"/>
        <d v="2025-01-01T00:00:00"/>
        <d v="2025-03-22T00:00:00"/>
        <d v="2025-01-08T00:00:00"/>
        <d v="2025-07-29T00:00:00"/>
        <d v="2025-06-26T00:00:00"/>
        <d v="2025-08-08T00:00:00"/>
        <d v="2025-04-04T00:00:00"/>
        <d v="2025-03-08T00:00:00"/>
        <d v="2025-07-09T00:00:00"/>
        <d v="2025-04-18T00:00:00"/>
        <d v="2025-09-18T00:00:00"/>
        <d v="2025-11-22T00:00:00"/>
        <d v="2025-06-11T00:00:00"/>
        <d v="2025-04-15T00:00:00"/>
        <d v="2025-11-19T00:00:00"/>
        <d v="2025-10-25T00:00:00"/>
        <d v="2025-08-15T00:00:00"/>
        <d v="2025-10-26T00:00:00"/>
        <d v="2025-12-23T00:00:00"/>
        <d v="2025-06-10T00:00:00"/>
        <d v="2025-11-04T00:00:00"/>
        <d v="2025-02-22T00:00:00"/>
        <d v="2025-04-19T00:00:00"/>
        <d v="2025-01-16T00:00:00"/>
        <d v="2025-05-07T00:00:00"/>
        <d v="2025-12-26T00:00:00"/>
        <d v="2025-10-31T00:00:00"/>
        <d v="2025-03-31T00:00:00"/>
        <d v="2025-12-18T00:00:00"/>
        <d v="2025-06-20T00:00:00"/>
        <d v="2025-01-15T00:00:00"/>
        <d v="2025-08-29T00:00:00"/>
        <d v="2025-12-07T00:00:00"/>
        <d v="2025-07-16T00:00:00"/>
        <d v="2025-05-22T00:00:00"/>
        <d v="2025-01-31T00:00:00"/>
        <d v="2025-12-22T00:00:00"/>
        <d v="2025-10-21T00:00:00"/>
        <d v="2025-02-04T00:00:00"/>
        <d v="2025-02-25T00:00:00"/>
        <d v="2025-11-11T00:00:00"/>
        <d v="2025-05-25T00:00:00"/>
        <d v="2025-03-20T00:00:00"/>
        <d v="2025-05-29T00:00:00"/>
        <d v="2025-07-24T00:00:00"/>
        <d v="2025-04-13T00:00:00"/>
        <d v="2025-08-30T00:00:00"/>
        <d v="2025-08-05T00:00:00"/>
        <d v="2025-07-03T00:00:00"/>
        <d v="2025-12-13T00:00:00"/>
        <d v="2025-05-06T00:00:00"/>
        <d v="2025-04-17T00:00:00"/>
        <d v="2025-12-15T00:00:00"/>
        <d v="2025-03-18T00:00:00"/>
        <d v="2025-03-05T00:00:00"/>
        <d v="2025-08-12T00:00:00"/>
        <d v="2025-05-30T00:00:00"/>
        <d v="2025-12-14T00:00:00"/>
        <d v="2025-12-11T00:00:00"/>
        <d v="2025-10-06T00:00:00"/>
        <d v="2025-03-26T00:00:00"/>
        <d v="2025-06-23T00:00:00"/>
        <d v="2025-04-14T00:00:00"/>
        <d v="2025-12-30T00:00:00"/>
        <d v="2025-05-31T00:00:00"/>
        <d v="2025-10-17T00:00:00"/>
        <d v="2025-06-14T00:00:00"/>
        <d v="2025-06-06T00:00:00"/>
        <d v="2025-01-06T00:00:00"/>
        <d v="2025-04-06T00:00:00"/>
        <d v="2025-12-06T00:00:00"/>
        <d v="2025-10-04T00:00:00"/>
        <d v="2025-02-27T00:00:00"/>
        <d v="2025-01-07T00:00:00"/>
        <d v="2025-09-01T00:00:00"/>
        <d v="2025-12-25T00:00:00"/>
        <d v="2025-03-03T00:00:00"/>
        <d v="2025-04-21T00:00:00"/>
        <d v="2025-10-18T00:00:00"/>
        <d v="2025-05-04T00:00:00"/>
        <d v="2025-08-23T00:00:00"/>
        <d v="2025-02-03T00:00:00"/>
        <d v="2025-02-02T00:00:00"/>
        <d v="2025-09-21T00:00:00"/>
        <d v="2025-09-26T00:00:00"/>
        <d v="2025-05-12T00:00:00"/>
        <d v="2025-05-05T00:00:00"/>
        <d v="2025-02-12T00:00:00"/>
        <d v="2025-10-20T00:00:00"/>
        <d v="2025-01-19T00:00:00"/>
        <d v="2025-01-09T00:00:00"/>
        <d v="2025-03-24T00:00:00"/>
        <d v="2025-08-06T00:00:00"/>
        <d v="2025-06-27T00:00:00"/>
        <d v="2025-08-27T00:00:00"/>
        <d v="2025-05-09T00:00:00"/>
        <d v="2025-01-21T00:00:00"/>
        <d v="2025-09-30T00:00:00"/>
        <d v="2025-03-12T00:00:00"/>
        <d v="2025-01-27T00:00:00"/>
        <d v="2025-06-16T00:00:00"/>
        <d v="2025-05-16T00:00:00"/>
        <d v="2025-09-10T00:00:00"/>
        <d v="2025-03-16T00:00:00"/>
        <d v="2025-05-14T00:00:00"/>
        <d v="2025-10-13T00:00:00"/>
        <d v="2025-10-09T00:00:00"/>
        <d v="2025-12-08T00:00:00"/>
        <d v="2025-08-24T00:00:00"/>
        <d v="2025-05-28T00:00:00"/>
        <d v="2025-02-20T00:00:00"/>
        <d v="2025-06-28T00:00:00"/>
        <d v="2025-10-05T00:00:00"/>
        <d v="2025-10-12T00:00:00"/>
        <d v="2025-02-08T00:00:00"/>
        <d v="2025-06-24T00:00:00"/>
        <d v="2025-11-13T00:00:00"/>
        <d v="2025-05-03T00:00:00"/>
        <d v="2025-03-11T00:00:00"/>
        <d v="2025-06-09T00:00:00"/>
        <d v="2025-04-03T00:00:00"/>
        <d v="2025-03-04T00:00:00"/>
        <d v="2025-07-06T00:00:00"/>
        <d v="2025-07-20T00:00:00"/>
        <d v="2025-07-07T00:00:00"/>
        <d v="2025-09-16T00:00:00"/>
        <d v="2025-08-21T00:00:00"/>
        <d v="2025-08-10T00:00:00"/>
        <d v="2025-01-02T00:00:00"/>
        <d v="2025-06-21T00:00:00"/>
        <d v="2025-09-29T00:00:00"/>
        <d v="2025-07-26T00:00:00"/>
        <d v="2025-12-19T00:00:00"/>
        <d v="2025-12-29T00:00:00"/>
        <d v="2025-01-04T00:00:00"/>
        <d v="2025-03-15T00:00:00"/>
        <d v="2025-04-05T00:00:00"/>
        <d v="2025-01-12T00:00:00"/>
        <d v="2025-10-24T00:00:00"/>
        <d v="2025-04-08T00:00:00"/>
        <d v="2025-02-13T00:00:00"/>
        <d v="2025-11-03T00:00:00"/>
        <d v="2025-03-28T00:00:00"/>
        <d v="2025-03-17T00:00:00"/>
        <d v="2025-01-23T00:00:00"/>
        <d v="2025-04-23T00:00:00"/>
        <d v="2025-11-16T00:00:00"/>
        <d v="2025-10-03T00:00:00"/>
        <d v="2025-12-17T00:00:00"/>
        <d v="2025-09-11T00:00:00"/>
        <d v="2025-05-18T00:00:00"/>
        <d v="2025-08-17T00:00:00"/>
        <d v="2025-10-10T00:00:00"/>
        <d v="2025-03-14T00:00:00"/>
        <d v="2025-04-26T00:00:00"/>
        <d v="2025-09-14T00:00:00"/>
        <d v="2025-02-01T00:00:00"/>
        <d v="2025-06-22T00:00:00"/>
        <d v="2025-04-27T00:00:00"/>
        <d v="2025-02-17T00:00:00"/>
        <d v="2025-12-31T00:00:00"/>
        <d v="2025-03-29T00:00:00"/>
        <d v="2025-07-14T00:00:00"/>
        <d v="2025-06-17T00:00:00"/>
        <d v="2025-03-01T00:00:00"/>
        <d v="2025-12-20T00:00:00"/>
        <d v="2025-05-02T00:00:00"/>
        <d v="2025-01-28T00:00:00"/>
        <d v="2025-08-18T00:00:00"/>
        <d v="2025-06-30T00:00:00"/>
        <d v="2025-03-07T00:00:00"/>
        <d v="2025-01-18T00:00:00"/>
        <d v="2025-02-15T00:00:00"/>
        <d v="2025-09-06T00:00:00"/>
        <d v="2025-10-14T00:00:00"/>
        <d v="2025-04-02T00:00:00"/>
        <d v="2025-09-28T00:00:00"/>
        <d v="2025-12-09T00:00:00"/>
        <d v="2025-10-23T00:00:00"/>
        <d v="2025-07-31T00:00:00"/>
        <d v="2025-06-18T00:00:00"/>
        <d v="2025-10-16T00:00:00"/>
        <d v="2025-05-11T00:00:00"/>
        <d v="2025-09-27T00:00:00"/>
        <d v="2025-11-05T00:00:00"/>
        <d v="2025-04-24T00:00:00"/>
        <d v="2025-12-02T00:00:00"/>
        <d v="2025-05-10T00:00:00"/>
        <d v="2025-10-19T00:00:00"/>
        <d v="2025-08-19T00:00:00"/>
        <d v="2025-12-16T00:00:00"/>
        <d v="2025-09-04T00:00:00"/>
        <d v="2025-11-12T00:00:00"/>
        <d v="2025-09-25T00:00:00"/>
        <d v="2025-01-14T00:00:00"/>
        <d v="2025-04-09T00:00:00"/>
        <d v="2025-09-05T00:00:00"/>
        <d v="2025-02-19T00:00:00"/>
        <d v="2025-10-02T00:00:00"/>
        <d v="2025-06-12T00:00:00"/>
        <d v="2025-04-30T00:00:00"/>
        <d v="2025-10-29T00:00:00"/>
        <d v="2025-01-29T00:00:00"/>
        <d v="2025-11-02T00:00:00"/>
        <d v="2025-11-06T00:00:00"/>
        <d v="2025-06-25T00:00:00"/>
        <d v="2025-01-03T00:00:00"/>
        <d v="2025-05-27T00:00:00"/>
        <d v="2025-08-01T00:00:00"/>
        <d v="2025-06-15T00:00:00"/>
        <d v="2025-10-27T00:00:00"/>
        <d v="2025-06-19T00:00:00"/>
        <d v="2025-07-02T00:00:00"/>
        <d v="2025-08-20T00:00:00"/>
        <d v="2025-07-22T00:00:00"/>
        <d v="2025-09-03T00:00:00"/>
        <d v="2025-01-22T00:00:00"/>
        <d v="2025-07-21T00:00:00"/>
        <d v="2025-12-28T00:00:00"/>
        <d v="2025-04-10T00:00:00"/>
        <d v="2025-09-22T00:00:00"/>
        <d v="2025-05-21T00:00:00"/>
        <d v="2025-02-28T00:00:00"/>
        <d v="2025-09-23T00:00:00"/>
        <d v="2025-10-15T00:00:00"/>
        <d v="2025-12-21T00:00:00"/>
        <d v="2025-11-07T00:00:00"/>
        <d v="2025-09-09T00:00:00"/>
        <d v="2025-11-14T00:00:00"/>
        <d v="2025-11-17T00:00:00"/>
        <d v="2025-04-12T00:00:00"/>
        <d v="2025-07-30T00:00:00"/>
        <d v="2025-09-19T00:00:00"/>
        <d v="2025-08-03T00:00:00"/>
        <d v="2025-02-09T00:00:00"/>
        <d v="2025-01-24T00:00:00"/>
        <d v="2025-02-21T00:00:00"/>
        <d v="2025-02-24T00:00:00"/>
        <d v="2025-02-06T00:00:00"/>
        <d v="2025-04-28T00:00:00"/>
        <d v="2025-08-25T00:00:00"/>
        <d v="2025-07-11T00:00:00"/>
        <d v="2025-08-16T00:00:00"/>
        <d v="2025-04-22T00:00:00"/>
        <d v="2025-06-02T00:00:00"/>
        <d v="2025-06-13T00:00:00"/>
        <d v="2025-07-27T00:00:00"/>
        <d v="2025-06-29T00:00:00"/>
        <d v="2025-03-19T00:00:00"/>
        <d v="2025-10-01T00:00:00"/>
        <d v="2025-07-05T00:00:00"/>
        <d v="2025-02-07T00:00:00"/>
        <d v="2025-11-27T00:00:00"/>
        <d v="2025-07-13T00:00:00"/>
        <d v="2025-10-22T00:00:00"/>
        <d v="2025-05-17T00:00:00"/>
        <d v="2025-02-10T00:00:00"/>
        <d v="2025-07-12T00:00:00"/>
        <d v="2025-11-25T00:00:00"/>
        <d v="2025-02-26T00:00:00"/>
        <d v="2025-07-10T00:00:00"/>
        <d v="2025-03-06T00:00:00"/>
        <d v="2025-08-13T00:00:00"/>
        <d v="2025-01-05T00:00:00"/>
        <d v="2025-07-01T00:00:00"/>
        <d v="2025-01-26T00:00:00"/>
        <d v="2025-06-08T00:00:00"/>
        <d v="2025-11-30T00:00:00"/>
        <d v="2025-01-25T00:00:00"/>
        <d v="2025-02-16T00:00:00"/>
        <d v="2025-09-17T00:00:00"/>
        <d v="2025-08-09T00:00:00"/>
        <d v="2025-04-07T00:00:00"/>
        <d v="2025-05-01T00:00:00"/>
        <d v="2025-07-17T00:00:00"/>
        <d v="2025-09-07T00:00:00"/>
        <d v="2025-09-08T00:00:00"/>
        <d v="2025-01-30T00:00:00"/>
        <d v="2025-10-08T00:00:00"/>
        <d v="2025-11-29T00:00:00"/>
        <d v="2025-06-04T00:00:00"/>
        <d v="2025-02-14T00:00:00"/>
        <d v="2025-07-25T00:00:00"/>
        <d v="2025-08-04T00:00:00"/>
        <d v="2025-01-17T00:00:00"/>
        <d v="2025-05-15T00:00:00"/>
        <d v="2025-08-31T00:00:00"/>
        <d v="2025-05-20T00:00:00"/>
        <d v="2025-05-08T00:00:00"/>
        <d v="2025-03-25T00:00:00"/>
        <d v="2025-12-03T00:00:00"/>
        <d v="2025-10-11T00:00:00"/>
        <d v="2025-08-11T00:00:00"/>
        <d v="2025-03-21T00:00:00"/>
        <d v="2025-11-18T00:00:00"/>
        <d v="2025-10-28T00:00:00"/>
        <d v="2025-11-21T00:00:00"/>
        <d v="2025-11-20T00:00:00"/>
        <d v="2025-08-22T00:00:00"/>
        <d v="2025-07-23T00:00:00"/>
        <d v="2025-12-05T00:00:00"/>
        <d v="2025-01-20T00:00:00"/>
        <d v="2025-09-12T00:00:00"/>
        <d v="2025-08-07T00:00:00"/>
        <d v="2025-11-28T00:00:00"/>
        <d v="2025-09-20T00:00:00"/>
        <d v="2025-09-24T00:00:00"/>
        <d v="2025-12-04T00:00:00"/>
        <d v="2025-02-23T00:00:00"/>
        <d v="2025-08-02T00:00:00"/>
        <d v="2025-11-09T00:00:00"/>
        <d v="2025-12-10T00:00:00"/>
        <d v="2025-03-13T00:00:00"/>
        <d v="2025-12-27T00:00:00"/>
        <d v="2025-03-02T00:00:00"/>
        <d v="2025-02-18T00:00:00"/>
        <d v="2025-08-28T00:00:00"/>
      </sharedItems>
      <fieldGroup par="18"/>
    </cacheField>
    <cacheField name="Month" numFmtId="14">
      <sharedItems count="12">
        <s v="April"/>
        <s v="December"/>
        <s v="January"/>
        <s v="July"/>
        <s v="October"/>
        <s v="May"/>
        <s v="September"/>
        <s v="August"/>
        <s v="November"/>
        <s v="February"/>
        <s v="June"/>
        <s v="March"/>
      </sharedItems>
    </cacheField>
    <cacheField name="Customer ID" numFmtId="0">
      <sharedItems/>
    </cacheField>
    <cacheField name="Product ID" numFmtId="0">
      <sharedItems/>
    </cacheField>
    <cacheField name="Quantity" numFmtId="0">
      <sharedItems containsSemiMixedTypes="0" containsString="0" containsNumber="1" containsInteger="1" minValue="1" maxValue="5"/>
    </cacheField>
    <cacheField name="Customer name" numFmtId="0">
      <sharedItems count="13">
        <s v="Riya Sharma"/>
        <s v="Karan Patel"/>
        <s v="Rahul Sharma"/>
        <s v="Mohan Das"/>
        <s v="Arjun Mehta"/>
        <s v="Priya Verma"/>
        <s v="Vikas Yadav"/>
        <s v="Invailid"/>
        <s v="Neha Singh"/>
        <s v="Anjali Gupta"/>
        <s v="Amit Kumar"/>
        <s v="Sneha Roy"/>
        <s v="Meena Joshi"/>
      </sharedItems>
    </cacheField>
    <cacheField name="City" numFmtId="0">
      <sharedItems count="9">
        <s v="Lucknow"/>
        <s v="Jaipur"/>
        <s v="Pune"/>
        <s v="Ahmedabad"/>
        <s v="Delhi"/>
        <s v="Mumbai"/>
        <s v="Chandigarh"/>
        <s v="Noida"/>
        <s v=""/>
      </sharedItems>
    </cacheField>
    <cacheField name="Product name" numFmtId="0">
      <sharedItems count="8">
        <s v="Printer"/>
        <s v="Monitor"/>
        <s v="Mobile"/>
        <s v="Laptop"/>
        <s v="Keyboard"/>
        <s v="Mouse"/>
        <s v="Speaker"/>
        <s v="Tablet"/>
      </sharedItems>
    </cacheField>
    <cacheField name="Category" numFmtId="0">
      <sharedItems count="2">
        <s v="Electronics"/>
        <s v="Accessories"/>
      </sharedItems>
    </cacheField>
    <cacheField name="Cost Price" numFmtId="0">
      <sharedItems containsSemiMixedTypes="0" containsString="0" containsNumber="1" containsInteger="1" minValue="500" maxValue="42000"/>
    </cacheField>
    <cacheField name="Selling Price" numFmtId="0">
      <sharedItems containsSemiMixedTypes="0" containsString="0" containsNumber="1" containsInteger="1" minValue="800" maxValue="50000"/>
    </cacheField>
    <cacheField name="Gross Sales" numFmtId="0">
      <sharedItems containsSemiMixedTypes="0" containsString="0" containsNumber="1" containsInteger="1" minValue="800" maxValue="250000"/>
    </cacheField>
    <cacheField name="Total Cost" numFmtId="0">
      <sharedItems containsSemiMixedTypes="0" containsString="0" containsNumber="1" containsInteger="1" minValue="500" maxValue="210000"/>
    </cacheField>
    <cacheField name="Profit " numFmtId="0">
      <sharedItems containsSemiMixedTypes="0" containsString="0" containsNumber="1" containsInteger="1" minValue="300" maxValue="40000" count="24">
        <n v="6000"/>
        <n v="12000"/>
        <n v="10000"/>
        <n v="40000"/>
        <n v="1200"/>
        <n v="600"/>
        <n v="15000"/>
        <n v="300"/>
        <n v="32000"/>
        <n v="20000"/>
        <n v="5000"/>
        <n v="9000"/>
        <n v="3000"/>
        <n v="1800"/>
        <n v="24000"/>
        <n v="25000"/>
        <n v="1500"/>
        <n v="2400"/>
        <n v="8000"/>
        <n v="900"/>
        <n v="4000"/>
        <n v="1000"/>
        <n v="2000"/>
        <n v="16000"/>
      </sharedItems>
    </cacheField>
    <cacheField name="Profit %" numFmtId="9">
      <sharedItems containsSemiMixedTypes="0" containsString="0" containsNumber="1" minValue="0.16" maxValue="0.4"/>
    </cacheField>
    <cacheField name="Profit Category" numFmtId="9">
      <sharedItems/>
    </cacheField>
    <cacheField name="Days (Order Date)" numFmtId="0" databaseField="0">
      <fieldGroup base="1">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Order Date)"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17294471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00001"/>
    <x v="0"/>
    <x v="0"/>
    <s v="C0020"/>
    <s v="P090"/>
    <n v="2"/>
    <x v="0"/>
    <x v="0"/>
    <x v="0"/>
    <x v="0"/>
    <n v="12000"/>
    <n v="15000"/>
    <n v="30000"/>
    <n v="24000"/>
    <x v="0"/>
    <n v="0.2"/>
    <s v="Low Profit"/>
  </r>
  <r>
    <s v="O00002"/>
    <x v="1"/>
    <x v="1"/>
    <s v="C0142"/>
    <s v="P035"/>
    <n v="4"/>
    <x v="1"/>
    <x v="1"/>
    <x v="1"/>
    <x v="1"/>
    <n v="9000"/>
    <n v="12000"/>
    <n v="48000"/>
    <n v="36000"/>
    <x v="1"/>
    <n v="0.25"/>
    <s v="High Profit"/>
  </r>
  <r>
    <s v="O00003"/>
    <x v="2"/>
    <x v="2"/>
    <s v="C0300"/>
    <s v="P072"/>
    <n v="2"/>
    <x v="2"/>
    <x v="2"/>
    <x v="2"/>
    <x v="0"/>
    <n v="20000"/>
    <n v="25000"/>
    <n v="50000"/>
    <n v="40000"/>
    <x v="2"/>
    <n v="0.2"/>
    <s v="Low Profit"/>
  </r>
  <r>
    <s v="O00004"/>
    <x v="3"/>
    <x v="3"/>
    <s v="C0069"/>
    <s v="P018"/>
    <n v="5"/>
    <x v="3"/>
    <x v="3"/>
    <x v="3"/>
    <x v="0"/>
    <n v="42000"/>
    <n v="50000"/>
    <n v="250000"/>
    <n v="210000"/>
    <x v="3"/>
    <n v="0.16"/>
    <s v="Low Profit"/>
  </r>
  <r>
    <s v="O00005"/>
    <x v="4"/>
    <x v="4"/>
    <s v="C0130"/>
    <s v="P058"/>
    <n v="2"/>
    <x v="2"/>
    <x v="4"/>
    <x v="4"/>
    <x v="1"/>
    <n v="900"/>
    <n v="1500"/>
    <n v="3000"/>
    <n v="1800"/>
    <x v="4"/>
    <n v="0.4"/>
    <s v="High Profit"/>
  </r>
  <r>
    <s v="O00006"/>
    <x v="5"/>
    <x v="5"/>
    <s v="C0282"/>
    <s v="P042"/>
    <n v="1"/>
    <x v="1"/>
    <x v="5"/>
    <x v="4"/>
    <x v="1"/>
    <n v="900"/>
    <n v="1500"/>
    <n v="1500"/>
    <n v="900"/>
    <x v="5"/>
    <n v="0.4"/>
    <s v="High Profit"/>
  </r>
  <r>
    <s v="O00007"/>
    <x v="6"/>
    <x v="6"/>
    <s v="C0031"/>
    <s v="P016"/>
    <n v="3"/>
    <x v="4"/>
    <x v="6"/>
    <x v="2"/>
    <x v="0"/>
    <n v="20000"/>
    <n v="25000"/>
    <n v="75000"/>
    <n v="60000"/>
    <x v="6"/>
    <n v="0.2"/>
    <s v="Low Profit"/>
  </r>
  <r>
    <s v="O00008"/>
    <x v="7"/>
    <x v="7"/>
    <s v="C0157"/>
    <s v="P024"/>
    <n v="1"/>
    <x v="0"/>
    <x v="3"/>
    <x v="5"/>
    <x v="1"/>
    <n v="500"/>
    <n v="800"/>
    <n v="800"/>
    <n v="500"/>
    <x v="7"/>
    <n v="0.375"/>
    <s v="High Profit"/>
  </r>
  <r>
    <s v="O00009"/>
    <x v="8"/>
    <x v="3"/>
    <s v="C0114"/>
    <s v="P027"/>
    <n v="4"/>
    <x v="0"/>
    <x v="1"/>
    <x v="3"/>
    <x v="0"/>
    <n v="42000"/>
    <n v="50000"/>
    <n v="200000"/>
    <n v="168000"/>
    <x v="8"/>
    <n v="0.16"/>
    <s v="Low Profit"/>
  </r>
  <r>
    <s v="O00010"/>
    <x v="9"/>
    <x v="3"/>
    <s v="C0218"/>
    <s v="P035"/>
    <n v="5"/>
    <x v="5"/>
    <x v="7"/>
    <x v="1"/>
    <x v="1"/>
    <n v="9000"/>
    <n v="12000"/>
    <n v="60000"/>
    <n v="45000"/>
    <x v="6"/>
    <n v="0.25"/>
    <s v="High Profit"/>
  </r>
  <r>
    <s v="O00011"/>
    <x v="10"/>
    <x v="0"/>
    <s v="C0063"/>
    <s v="P032"/>
    <n v="4"/>
    <x v="6"/>
    <x v="0"/>
    <x v="2"/>
    <x v="0"/>
    <n v="20000"/>
    <n v="25000"/>
    <n v="100000"/>
    <n v="80000"/>
    <x v="9"/>
    <n v="0.2"/>
    <s v="Low Profit"/>
  </r>
  <r>
    <s v="O00012"/>
    <x v="11"/>
    <x v="2"/>
    <s v="C9999"/>
    <s v="P075"/>
    <n v="1"/>
    <x v="7"/>
    <x v="8"/>
    <x v="2"/>
    <x v="0"/>
    <n v="20000"/>
    <n v="25000"/>
    <n v="25000"/>
    <n v="20000"/>
    <x v="10"/>
    <n v="0.2"/>
    <s v="Low Profit"/>
  </r>
  <r>
    <s v="O00013"/>
    <x v="12"/>
    <x v="4"/>
    <s v="C0162"/>
    <s v="P005"/>
    <n v="2"/>
    <x v="0"/>
    <x v="7"/>
    <x v="5"/>
    <x v="1"/>
    <n v="500"/>
    <n v="800"/>
    <n v="1600"/>
    <n v="1000"/>
    <x v="5"/>
    <n v="0.375"/>
    <s v="High Profit"/>
  </r>
  <r>
    <s v="O00014"/>
    <x v="13"/>
    <x v="1"/>
    <s v="C0172"/>
    <s v="P014"/>
    <n v="1"/>
    <x v="5"/>
    <x v="4"/>
    <x v="5"/>
    <x v="1"/>
    <n v="500"/>
    <n v="800"/>
    <n v="800"/>
    <n v="500"/>
    <x v="7"/>
    <n v="0.375"/>
    <s v="High Profit"/>
  </r>
  <r>
    <s v="O00015"/>
    <x v="14"/>
    <x v="8"/>
    <s v="C0077"/>
    <s v="P043"/>
    <n v="3"/>
    <x v="1"/>
    <x v="7"/>
    <x v="0"/>
    <x v="0"/>
    <n v="12000"/>
    <n v="15000"/>
    <n v="45000"/>
    <n v="36000"/>
    <x v="11"/>
    <n v="0.2"/>
    <s v="Low Profit"/>
  </r>
  <r>
    <s v="O00016"/>
    <x v="15"/>
    <x v="0"/>
    <s v="C0164"/>
    <s v="P091"/>
    <n v="1"/>
    <x v="4"/>
    <x v="2"/>
    <x v="1"/>
    <x v="1"/>
    <n v="9000"/>
    <n v="12000"/>
    <n v="12000"/>
    <n v="9000"/>
    <x v="12"/>
    <n v="0.25"/>
    <s v="High Profit"/>
  </r>
  <r>
    <s v="O00017"/>
    <x v="16"/>
    <x v="8"/>
    <s v="C0259"/>
    <s v="P085"/>
    <n v="3"/>
    <x v="5"/>
    <x v="1"/>
    <x v="4"/>
    <x v="1"/>
    <n v="900"/>
    <n v="1500"/>
    <n v="4500"/>
    <n v="2700"/>
    <x v="13"/>
    <n v="0.4"/>
    <s v="High Profit"/>
  </r>
  <r>
    <s v="O00018"/>
    <x v="7"/>
    <x v="7"/>
    <s v="C0287"/>
    <s v="P100"/>
    <n v="3"/>
    <x v="0"/>
    <x v="7"/>
    <x v="6"/>
    <x v="1"/>
    <n v="2000"/>
    <n v="3000"/>
    <n v="9000"/>
    <n v="6000"/>
    <x v="12"/>
    <n v="0.33333333333333331"/>
    <s v="High Profit"/>
  </r>
  <r>
    <s v="O00019"/>
    <x v="17"/>
    <x v="3"/>
    <s v="C0077"/>
    <s v="P044"/>
    <n v="3"/>
    <x v="1"/>
    <x v="7"/>
    <x v="3"/>
    <x v="0"/>
    <n v="42000"/>
    <n v="50000"/>
    <n v="150000"/>
    <n v="126000"/>
    <x v="14"/>
    <n v="0.16"/>
    <s v="Low Profit"/>
  </r>
  <r>
    <s v="O00020"/>
    <x v="18"/>
    <x v="9"/>
    <s v="C0219"/>
    <s v="P010"/>
    <n v="3"/>
    <x v="0"/>
    <x v="0"/>
    <x v="1"/>
    <x v="1"/>
    <n v="9000"/>
    <n v="12000"/>
    <n v="36000"/>
    <n v="27000"/>
    <x v="11"/>
    <n v="0.25"/>
    <s v="High Profit"/>
  </r>
  <r>
    <s v="O00021"/>
    <x v="19"/>
    <x v="8"/>
    <s v="C8888"/>
    <s v="P001"/>
    <n v="5"/>
    <x v="7"/>
    <x v="8"/>
    <x v="2"/>
    <x v="0"/>
    <n v="20000"/>
    <n v="25000"/>
    <n v="125000"/>
    <n v="100000"/>
    <x v="15"/>
    <n v="0.2"/>
    <s v="Low Profit"/>
  </r>
  <r>
    <s v="O00022"/>
    <x v="20"/>
    <x v="10"/>
    <s v="C0197"/>
    <s v="P024"/>
    <n v="5"/>
    <x v="4"/>
    <x v="1"/>
    <x v="5"/>
    <x v="1"/>
    <n v="500"/>
    <n v="800"/>
    <n v="4000"/>
    <n v="2500"/>
    <x v="16"/>
    <n v="0.375"/>
    <s v="High Profit"/>
  </r>
  <r>
    <s v="O00023"/>
    <x v="21"/>
    <x v="5"/>
    <s v="C0263"/>
    <s v="P081"/>
    <n v="3"/>
    <x v="8"/>
    <x v="8"/>
    <x v="7"/>
    <x v="0"/>
    <n v="15000"/>
    <n v="18000"/>
    <n v="54000"/>
    <n v="45000"/>
    <x v="11"/>
    <n v="0.16666666666666666"/>
    <s v="Low Profit"/>
  </r>
  <r>
    <s v="O00024"/>
    <x v="22"/>
    <x v="11"/>
    <s v="C0217"/>
    <s v="P026"/>
    <n v="1"/>
    <x v="9"/>
    <x v="7"/>
    <x v="1"/>
    <x v="1"/>
    <n v="9000"/>
    <n v="12000"/>
    <n v="12000"/>
    <n v="9000"/>
    <x v="12"/>
    <n v="0.25"/>
    <s v="High Profit"/>
  </r>
  <r>
    <s v="O00025"/>
    <x v="23"/>
    <x v="2"/>
    <s v="C0168"/>
    <s v="P048"/>
    <n v="3"/>
    <x v="6"/>
    <x v="0"/>
    <x v="7"/>
    <x v="0"/>
    <n v="15000"/>
    <n v="18000"/>
    <n v="54000"/>
    <n v="45000"/>
    <x v="11"/>
    <n v="0.16666666666666666"/>
    <s v="Low Profit"/>
  </r>
  <r>
    <s v="O00026"/>
    <x v="24"/>
    <x v="11"/>
    <s v="C0244"/>
    <s v="P023"/>
    <n v="5"/>
    <x v="10"/>
    <x v="5"/>
    <x v="6"/>
    <x v="1"/>
    <n v="2000"/>
    <n v="3000"/>
    <n v="15000"/>
    <n v="10000"/>
    <x v="10"/>
    <n v="0.33333333333333331"/>
    <s v="High Profit"/>
  </r>
  <r>
    <s v="O00027"/>
    <x v="25"/>
    <x v="2"/>
    <s v="C0119"/>
    <s v="P082"/>
    <n v="1"/>
    <x v="9"/>
    <x v="6"/>
    <x v="7"/>
    <x v="0"/>
    <n v="15000"/>
    <n v="18000"/>
    <n v="18000"/>
    <n v="15000"/>
    <x v="12"/>
    <n v="0.16666666666666666"/>
    <s v="Low Profit"/>
  </r>
  <r>
    <s v="O00028"/>
    <x v="26"/>
    <x v="3"/>
    <s v="C0058"/>
    <s v="P099"/>
    <n v="4"/>
    <x v="11"/>
    <x v="3"/>
    <x v="4"/>
    <x v="1"/>
    <n v="900"/>
    <n v="1500"/>
    <n v="6000"/>
    <n v="3600"/>
    <x v="17"/>
    <n v="0.4"/>
    <s v="High Profit"/>
  </r>
  <r>
    <s v="O00029"/>
    <x v="27"/>
    <x v="10"/>
    <s v="C0055"/>
    <s v="P040"/>
    <n v="1"/>
    <x v="11"/>
    <x v="6"/>
    <x v="3"/>
    <x v="0"/>
    <n v="42000"/>
    <n v="50000"/>
    <n v="50000"/>
    <n v="42000"/>
    <x v="18"/>
    <n v="0.16"/>
    <s v="Low Profit"/>
  </r>
  <r>
    <s v="O00030"/>
    <x v="28"/>
    <x v="7"/>
    <s v="C0024"/>
    <s v="P086"/>
    <n v="3"/>
    <x v="1"/>
    <x v="3"/>
    <x v="3"/>
    <x v="0"/>
    <n v="42000"/>
    <n v="50000"/>
    <n v="150000"/>
    <n v="126000"/>
    <x v="14"/>
    <n v="0.16"/>
    <s v="Low Profit"/>
  </r>
  <r>
    <s v="O00031"/>
    <x v="29"/>
    <x v="0"/>
    <s v="C0014"/>
    <s v="P044"/>
    <n v="4"/>
    <x v="0"/>
    <x v="1"/>
    <x v="3"/>
    <x v="0"/>
    <n v="42000"/>
    <n v="50000"/>
    <n v="200000"/>
    <n v="168000"/>
    <x v="8"/>
    <n v="0.16"/>
    <s v="Low Profit"/>
  </r>
  <r>
    <s v="O00032"/>
    <x v="30"/>
    <x v="11"/>
    <s v="C0103"/>
    <s v="P060"/>
    <n v="5"/>
    <x v="3"/>
    <x v="5"/>
    <x v="5"/>
    <x v="1"/>
    <n v="500"/>
    <n v="800"/>
    <n v="4000"/>
    <n v="2500"/>
    <x v="16"/>
    <n v="0.375"/>
    <s v="High Profit"/>
  </r>
  <r>
    <s v="O00033"/>
    <x v="31"/>
    <x v="3"/>
    <s v="C0294"/>
    <s v="P088"/>
    <n v="3"/>
    <x v="3"/>
    <x v="6"/>
    <x v="5"/>
    <x v="1"/>
    <n v="500"/>
    <n v="800"/>
    <n v="2400"/>
    <n v="1500"/>
    <x v="19"/>
    <n v="0.375"/>
    <s v="High Profit"/>
  </r>
  <r>
    <s v="O00034"/>
    <x v="32"/>
    <x v="0"/>
    <s v="C0182"/>
    <s v="P016"/>
    <n v="4"/>
    <x v="10"/>
    <x v="3"/>
    <x v="2"/>
    <x v="0"/>
    <n v="20000"/>
    <n v="25000"/>
    <n v="100000"/>
    <n v="80000"/>
    <x v="9"/>
    <n v="0.2"/>
    <s v="Low Profit"/>
  </r>
  <r>
    <s v="O00035"/>
    <x v="33"/>
    <x v="6"/>
    <s v="C0280"/>
    <s v="P075"/>
    <n v="2"/>
    <x v="10"/>
    <x v="2"/>
    <x v="2"/>
    <x v="0"/>
    <n v="20000"/>
    <n v="25000"/>
    <n v="50000"/>
    <n v="40000"/>
    <x v="2"/>
    <n v="0.2"/>
    <s v="Low Profit"/>
  </r>
  <r>
    <s v="O00036"/>
    <x v="0"/>
    <x v="0"/>
    <s v="C0090"/>
    <s v="P100"/>
    <n v="4"/>
    <x v="2"/>
    <x v="1"/>
    <x v="6"/>
    <x v="1"/>
    <n v="2000"/>
    <n v="3000"/>
    <n v="12000"/>
    <n v="8000"/>
    <x v="20"/>
    <n v="0.33333333333333331"/>
    <s v="High Profit"/>
  </r>
  <r>
    <s v="O00037"/>
    <x v="34"/>
    <x v="8"/>
    <s v="C0295"/>
    <s v="P049"/>
    <n v="1"/>
    <x v="3"/>
    <x v="1"/>
    <x v="6"/>
    <x v="1"/>
    <n v="2000"/>
    <n v="3000"/>
    <n v="3000"/>
    <n v="2000"/>
    <x v="21"/>
    <n v="0.33333333333333331"/>
    <s v="High Profit"/>
  </r>
  <r>
    <s v="O00038"/>
    <x v="35"/>
    <x v="10"/>
    <s v="C0086"/>
    <s v="P083"/>
    <n v="2"/>
    <x v="9"/>
    <x v="3"/>
    <x v="7"/>
    <x v="0"/>
    <n v="15000"/>
    <n v="18000"/>
    <n v="36000"/>
    <n v="30000"/>
    <x v="0"/>
    <n v="0.16666666666666666"/>
    <s v="Low Profit"/>
  </r>
  <r>
    <s v="O00039"/>
    <x v="32"/>
    <x v="0"/>
    <s v="C0107"/>
    <s v="P013"/>
    <n v="5"/>
    <x v="10"/>
    <x v="0"/>
    <x v="1"/>
    <x v="1"/>
    <n v="9000"/>
    <n v="12000"/>
    <n v="60000"/>
    <n v="45000"/>
    <x v="6"/>
    <n v="0.25"/>
    <s v="High Profit"/>
  </r>
  <r>
    <s v="O00040"/>
    <x v="36"/>
    <x v="0"/>
    <s v="C0014"/>
    <s v="P031"/>
    <n v="1"/>
    <x v="0"/>
    <x v="1"/>
    <x v="4"/>
    <x v="1"/>
    <n v="900"/>
    <n v="1500"/>
    <n v="1500"/>
    <n v="900"/>
    <x v="5"/>
    <n v="0.4"/>
    <s v="High Profit"/>
  </r>
  <r>
    <s v="O00041"/>
    <x v="37"/>
    <x v="8"/>
    <s v="C0205"/>
    <s v="P075"/>
    <n v="2"/>
    <x v="6"/>
    <x v="7"/>
    <x v="2"/>
    <x v="0"/>
    <n v="20000"/>
    <n v="25000"/>
    <n v="50000"/>
    <n v="40000"/>
    <x v="2"/>
    <n v="0.2"/>
    <s v="Low Profit"/>
  </r>
  <r>
    <s v="O00042"/>
    <x v="38"/>
    <x v="4"/>
    <s v="C0116"/>
    <s v="P042"/>
    <n v="5"/>
    <x v="12"/>
    <x v="6"/>
    <x v="4"/>
    <x v="1"/>
    <n v="900"/>
    <n v="1500"/>
    <n v="7500"/>
    <n v="4500"/>
    <x v="12"/>
    <n v="0.4"/>
    <s v="High Profit"/>
  </r>
  <r>
    <s v="O00043"/>
    <x v="21"/>
    <x v="5"/>
    <s v="C0217"/>
    <s v="P039"/>
    <n v="4"/>
    <x v="9"/>
    <x v="7"/>
    <x v="1"/>
    <x v="1"/>
    <n v="9000"/>
    <n v="12000"/>
    <n v="48000"/>
    <n v="36000"/>
    <x v="1"/>
    <n v="0.25"/>
    <s v="High Profit"/>
  </r>
  <r>
    <s v="O00044"/>
    <x v="39"/>
    <x v="7"/>
    <s v="C0169"/>
    <s v="P072"/>
    <n v="5"/>
    <x v="10"/>
    <x v="6"/>
    <x v="2"/>
    <x v="0"/>
    <n v="20000"/>
    <n v="25000"/>
    <n v="125000"/>
    <n v="100000"/>
    <x v="15"/>
    <n v="0.2"/>
    <s v="Low Profit"/>
  </r>
  <r>
    <s v="O00045"/>
    <x v="40"/>
    <x v="4"/>
    <s v="C0193"/>
    <s v="P062"/>
    <n v="5"/>
    <x v="1"/>
    <x v="5"/>
    <x v="5"/>
    <x v="1"/>
    <n v="500"/>
    <n v="800"/>
    <n v="4000"/>
    <n v="2500"/>
    <x v="16"/>
    <n v="0.375"/>
    <s v="High Profit"/>
  </r>
  <r>
    <s v="O00046"/>
    <x v="28"/>
    <x v="7"/>
    <s v="C0100"/>
    <s v="P035"/>
    <n v="1"/>
    <x v="1"/>
    <x v="4"/>
    <x v="1"/>
    <x v="1"/>
    <n v="9000"/>
    <n v="12000"/>
    <n v="12000"/>
    <n v="9000"/>
    <x v="12"/>
    <n v="0.25"/>
    <s v="High Profit"/>
  </r>
  <r>
    <s v="O00047"/>
    <x v="41"/>
    <x v="1"/>
    <s v="C0217"/>
    <s v="P033"/>
    <n v="4"/>
    <x v="9"/>
    <x v="7"/>
    <x v="3"/>
    <x v="0"/>
    <n v="42000"/>
    <n v="50000"/>
    <n v="200000"/>
    <n v="168000"/>
    <x v="8"/>
    <n v="0.16"/>
    <s v="Low Profit"/>
  </r>
  <r>
    <s v="O00048"/>
    <x v="42"/>
    <x v="10"/>
    <s v="C0218"/>
    <s v="P003"/>
    <n v="3"/>
    <x v="5"/>
    <x v="7"/>
    <x v="4"/>
    <x v="1"/>
    <n v="900"/>
    <n v="1500"/>
    <n v="4500"/>
    <n v="2700"/>
    <x v="13"/>
    <n v="0.4"/>
    <s v="High Profit"/>
  </r>
  <r>
    <s v="O00049"/>
    <x v="43"/>
    <x v="8"/>
    <s v="C0145"/>
    <s v="P080"/>
    <n v="3"/>
    <x v="11"/>
    <x v="2"/>
    <x v="4"/>
    <x v="1"/>
    <n v="900"/>
    <n v="1500"/>
    <n v="4500"/>
    <n v="2700"/>
    <x v="13"/>
    <n v="0.4"/>
    <s v="High Profit"/>
  </r>
  <r>
    <s v="O00050"/>
    <x v="44"/>
    <x v="9"/>
    <s v="C0249"/>
    <s v="P062"/>
    <n v="4"/>
    <x v="1"/>
    <x v="0"/>
    <x v="5"/>
    <x v="1"/>
    <n v="500"/>
    <n v="800"/>
    <n v="3200"/>
    <n v="2000"/>
    <x v="4"/>
    <n v="0.375"/>
    <s v="High Profit"/>
  </r>
  <r>
    <s v="O00051"/>
    <x v="45"/>
    <x v="0"/>
    <s v="C0154"/>
    <s v="P001"/>
    <n v="1"/>
    <x v="1"/>
    <x v="0"/>
    <x v="2"/>
    <x v="0"/>
    <n v="20000"/>
    <n v="25000"/>
    <n v="25000"/>
    <n v="20000"/>
    <x v="10"/>
    <n v="0.2"/>
    <s v="Low Profit"/>
  </r>
  <r>
    <s v="O00052"/>
    <x v="46"/>
    <x v="2"/>
    <s v="C0085"/>
    <s v="P032"/>
    <n v="2"/>
    <x v="11"/>
    <x v="6"/>
    <x v="2"/>
    <x v="0"/>
    <n v="20000"/>
    <n v="25000"/>
    <n v="50000"/>
    <n v="40000"/>
    <x v="2"/>
    <n v="0.2"/>
    <s v="Low Profit"/>
  </r>
  <r>
    <s v="O00053"/>
    <x v="47"/>
    <x v="5"/>
    <s v="C0101"/>
    <s v="P030"/>
    <n v="2"/>
    <x v="9"/>
    <x v="3"/>
    <x v="2"/>
    <x v="0"/>
    <n v="20000"/>
    <n v="25000"/>
    <n v="50000"/>
    <n v="40000"/>
    <x v="2"/>
    <n v="0.2"/>
    <s v="Low Profit"/>
  </r>
  <r>
    <s v="O00054"/>
    <x v="48"/>
    <x v="1"/>
    <s v="C0036"/>
    <s v="P040"/>
    <n v="5"/>
    <x v="1"/>
    <x v="1"/>
    <x v="3"/>
    <x v="0"/>
    <n v="42000"/>
    <n v="50000"/>
    <n v="250000"/>
    <n v="210000"/>
    <x v="3"/>
    <n v="0.16"/>
    <s v="Low Profit"/>
  </r>
  <r>
    <s v="O00055"/>
    <x v="9"/>
    <x v="3"/>
    <s v="C0201"/>
    <s v="P098"/>
    <n v="5"/>
    <x v="11"/>
    <x v="5"/>
    <x v="1"/>
    <x v="1"/>
    <n v="9000"/>
    <n v="12000"/>
    <n v="60000"/>
    <n v="45000"/>
    <x v="6"/>
    <n v="0.25"/>
    <s v="High Profit"/>
  </r>
  <r>
    <s v="O00056"/>
    <x v="49"/>
    <x v="4"/>
    <s v="C0227"/>
    <s v="P016"/>
    <n v="3"/>
    <x v="0"/>
    <x v="5"/>
    <x v="2"/>
    <x v="0"/>
    <n v="20000"/>
    <n v="25000"/>
    <n v="75000"/>
    <n v="60000"/>
    <x v="6"/>
    <n v="0.2"/>
    <s v="Low Profit"/>
  </r>
  <r>
    <s v="O00057"/>
    <x v="50"/>
    <x v="11"/>
    <s v="C0130"/>
    <s v="P067"/>
    <n v="2"/>
    <x v="2"/>
    <x v="4"/>
    <x v="0"/>
    <x v="0"/>
    <n v="12000"/>
    <n v="15000"/>
    <n v="30000"/>
    <n v="24000"/>
    <x v="0"/>
    <n v="0.2"/>
    <s v="Low Profit"/>
  </r>
  <r>
    <s v="O00058"/>
    <x v="51"/>
    <x v="1"/>
    <s v="C0044"/>
    <s v="P095"/>
    <n v="4"/>
    <x v="6"/>
    <x v="3"/>
    <x v="2"/>
    <x v="0"/>
    <n v="20000"/>
    <n v="25000"/>
    <n v="100000"/>
    <n v="80000"/>
    <x v="9"/>
    <n v="0.2"/>
    <s v="Low Profit"/>
  </r>
  <r>
    <s v="O00059"/>
    <x v="37"/>
    <x v="8"/>
    <s v="C0120"/>
    <s v="P092"/>
    <n v="4"/>
    <x v="11"/>
    <x v="1"/>
    <x v="1"/>
    <x v="1"/>
    <n v="9000"/>
    <n v="12000"/>
    <n v="48000"/>
    <n v="36000"/>
    <x v="1"/>
    <n v="0.25"/>
    <s v="High Profit"/>
  </r>
  <r>
    <s v="O00060"/>
    <x v="52"/>
    <x v="10"/>
    <s v="C0143"/>
    <s v="P081"/>
    <n v="3"/>
    <x v="9"/>
    <x v="2"/>
    <x v="7"/>
    <x v="0"/>
    <n v="15000"/>
    <n v="18000"/>
    <n v="54000"/>
    <n v="45000"/>
    <x v="11"/>
    <n v="0.16666666666666666"/>
    <s v="Low Profit"/>
  </r>
  <r>
    <s v="O00061"/>
    <x v="53"/>
    <x v="2"/>
    <s v="C0207"/>
    <s v="P095"/>
    <n v="5"/>
    <x v="11"/>
    <x v="1"/>
    <x v="2"/>
    <x v="0"/>
    <n v="20000"/>
    <n v="25000"/>
    <n v="125000"/>
    <n v="100000"/>
    <x v="15"/>
    <n v="0.2"/>
    <s v="Low Profit"/>
  </r>
  <r>
    <s v="O00062"/>
    <x v="54"/>
    <x v="7"/>
    <s v="C0155"/>
    <s v="P091"/>
    <n v="4"/>
    <x v="9"/>
    <x v="3"/>
    <x v="1"/>
    <x v="1"/>
    <n v="9000"/>
    <n v="12000"/>
    <n v="48000"/>
    <n v="36000"/>
    <x v="1"/>
    <n v="0.25"/>
    <s v="High Profit"/>
  </r>
  <r>
    <s v="O00063"/>
    <x v="55"/>
    <x v="1"/>
    <s v="C0012"/>
    <s v="P009"/>
    <n v="1"/>
    <x v="2"/>
    <x v="2"/>
    <x v="6"/>
    <x v="1"/>
    <n v="2000"/>
    <n v="3000"/>
    <n v="3000"/>
    <n v="2000"/>
    <x v="21"/>
    <n v="0.33333333333333331"/>
    <s v="High Profit"/>
  </r>
  <r>
    <s v="O00064"/>
    <x v="50"/>
    <x v="11"/>
    <s v="C0203"/>
    <s v="P052"/>
    <n v="3"/>
    <x v="12"/>
    <x v="0"/>
    <x v="5"/>
    <x v="1"/>
    <n v="500"/>
    <n v="800"/>
    <n v="2400"/>
    <n v="1500"/>
    <x v="19"/>
    <n v="0.375"/>
    <s v="High Profit"/>
  </r>
  <r>
    <s v="O00065"/>
    <x v="56"/>
    <x v="3"/>
    <s v="C0248"/>
    <s v="P057"/>
    <n v="5"/>
    <x v="10"/>
    <x v="4"/>
    <x v="3"/>
    <x v="0"/>
    <n v="42000"/>
    <n v="50000"/>
    <n v="250000"/>
    <n v="210000"/>
    <x v="3"/>
    <n v="0.16"/>
    <s v="Low Profit"/>
  </r>
  <r>
    <s v="O00066"/>
    <x v="57"/>
    <x v="5"/>
    <s v="C8888"/>
    <s v="P057"/>
    <n v="1"/>
    <x v="7"/>
    <x v="8"/>
    <x v="3"/>
    <x v="0"/>
    <n v="42000"/>
    <n v="50000"/>
    <n v="50000"/>
    <n v="42000"/>
    <x v="18"/>
    <n v="0.16"/>
    <s v="Low Profit"/>
  </r>
  <r>
    <s v="O00067"/>
    <x v="16"/>
    <x v="8"/>
    <s v="C0075"/>
    <s v="P090"/>
    <n v="2"/>
    <x v="3"/>
    <x v="1"/>
    <x v="0"/>
    <x v="0"/>
    <n v="12000"/>
    <n v="15000"/>
    <n v="30000"/>
    <n v="24000"/>
    <x v="0"/>
    <n v="0.2"/>
    <s v="Low Profit"/>
  </r>
  <r>
    <s v="O00068"/>
    <x v="58"/>
    <x v="2"/>
    <s v="C0108"/>
    <s v="P002"/>
    <n v="1"/>
    <x v="5"/>
    <x v="0"/>
    <x v="5"/>
    <x v="1"/>
    <n v="500"/>
    <n v="800"/>
    <n v="800"/>
    <n v="500"/>
    <x v="7"/>
    <n v="0.375"/>
    <s v="High Profit"/>
  </r>
  <r>
    <s v="O00069"/>
    <x v="59"/>
    <x v="1"/>
    <s v="C0275"/>
    <s v="P023"/>
    <n v="2"/>
    <x v="4"/>
    <x v="8"/>
    <x v="6"/>
    <x v="1"/>
    <n v="2000"/>
    <n v="3000"/>
    <n v="6000"/>
    <n v="4000"/>
    <x v="22"/>
    <n v="0.33333333333333331"/>
    <s v="High Profit"/>
  </r>
  <r>
    <s v="O00070"/>
    <x v="60"/>
    <x v="4"/>
    <s v="C0248"/>
    <s v="P019"/>
    <n v="1"/>
    <x v="10"/>
    <x v="4"/>
    <x v="3"/>
    <x v="0"/>
    <n v="42000"/>
    <n v="50000"/>
    <n v="50000"/>
    <n v="42000"/>
    <x v="18"/>
    <n v="0.16"/>
    <s v="Low Profit"/>
  </r>
  <r>
    <s v="O00071"/>
    <x v="61"/>
    <x v="9"/>
    <s v="C0036"/>
    <s v="P041"/>
    <n v="4"/>
    <x v="1"/>
    <x v="1"/>
    <x v="2"/>
    <x v="0"/>
    <n v="20000"/>
    <n v="25000"/>
    <n v="100000"/>
    <n v="80000"/>
    <x v="9"/>
    <n v="0.2"/>
    <s v="Low Profit"/>
  </r>
  <r>
    <s v="O00072"/>
    <x v="62"/>
    <x v="9"/>
    <s v="C0179"/>
    <s v="P051"/>
    <n v="3"/>
    <x v="4"/>
    <x v="3"/>
    <x v="6"/>
    <x v="1"/>
    <n v="2000"/>
    <n v="3000"/>
    <n v="9000"/>
    <n v="6000"/>
    <x v="12"/>
    <n v="0.33333333333333331"/>
    <s v="High Profit"/>
  </r>
  <r>
    <s v="O00073"/>
    <x v="63"/>
    <x v="8"/>
    <s v="C0018"/>
    <s v="P052"/>
    <n v="4"/>
    <x v="11"/>
    <x v="5"/>
    <x v="5"/>
    <x v="1"/>
    <n v="500"/>
    <n v="800"/>
    <n v="3200"/>
    <n v="2000"/>
    <x v="4"/>
    <n v="0.375"/>
    <s v="High Profit"/>
  </r>
  <r>
    <s v="O00074"/>
    <x v="47"/>
    <x v="5"/>
    <s v="C0125"/>
    <s v="P032"/>
    <n v="2"/>
    <x v="12"/>
    <x v="0"/>
    <x v="2"/>
    <x v="0"/>
    <n v="20000"/>
    <n v="25000"/>
    <n v="50000"/>
    <n v="40000"/>
    <x v="2"/>
    <n v="0.2"/>
    <s v="Low Profit"/>
  </r>
  <r>
    <s v="O00075"/>
    <x v="64"/>
    <x v="5"/>
    <s v="C0142"/>
    <s v="P007"/>
    <n v="2"/>
    <x v="1"/>
    <x v="1"/>
    <x v="2"/>
    <x v="0"/>
    <n v="20000"/>
    <n v="25000"/>
    <n v="50000"/>
    <n v="40000"/>
    <x v="2"/>
    <n v="0.2"/>
    <s v="Low Profit"/>
  </r>
  <r>
    <s v="O00076"/>
    <x v="0"/>
    <x v="0"/>
    <s v="C0121"/>
    <s v="P025"/>
    <n v="3"/>
    <x v="0"/>
    <x v="0"/>
    <x v="1"/>
    <x v="1"/>
    <n v="9000"/>
    <n v="12000"/>
    <n v="36000"/>
    <n v="27000"/>
    <x v="11"/>
    <n v="0.25"/>
    <s v="High Profit"/>
  </r>
  <r>
    <s v="O00077"/>
    <x v="65"/>
    <x v="11"/>
    <s v="C0084"/>
    <s v="P012"/>
    <n v="1"/>
    <x v="1"/>
    <x v="6"/>
    <x v="4"/>
    <x v="1"/>
    <n v="900"/>
    <n v="1500"/>
    <n v="1500"/>
    <n v="900"/>
    <x v="5"/>
    <n v="0.4"/>
    <s v="High Profit"/>
  </r>
  <r>
    <s v="O00078"/>
    <x v="66"/>
    <x v="5"/>
    <s v="C0198"/>
    <s v="P017"/>
    <n v="4"/>
    <x v="12"/>
    <x v="3"/>
    <x v="4"/>
    <x v="1"/>
    <n v="900"/>
    <n v="1500"/>
    <n v="6000"/>
    <n v="3600"/>
    <x v="17"/>
    <n v="0.4"/>
    <s v="High Profit"/>
  </r>
  <r>
    <s v="O00079"/>
    <x v="67"/>
    <x v="3"/>
    <s v="C0134"/>
    <s v="P024"/>
    <n v="5"/>
    <x v="0"/>
    <x v="0"/>
    <x v="5"/>
    <x v="1"/>
    <n v="500"/>
    <n v="800"/>
    <n v="4000"/>
    <n v="2500"/>
    <x v="16"/>
    <n v="0.375"/>
    <s v="High Profit"/>
  </r>
  <r>
    <s v="O00080"/>
    <x v="65"/>
    <x v="11"/>
    <s v="C0171"/>
    <s v="P082"/>
    <n v="1"/>
    <x v="0"/>
    <x v="5"/>
    <x v="7"/>
    <x v="0"/>
    <n v="15000"/>
    <n v="18000"/>
    <n v="18000"/>
    <n v="15000"/>
    <x v="12"/>
    <n v="0.16666666666666666"/>
    <s v="Low Profit"/>
  </r>
  <r>
    <s v="O00081"/>
    <x v="12"/>
    <x v="4"/>
    <s v="C0092"/>
    <s v="P049"/>
    <n v="3"/>
    <x v="3"/>
    <x v="1"/>
    <x v="6"/>
    <x v="1"/>
    <n v="2000"/>
    <n v="3000"/>
    <n v="9000"/>
    <n v="6000"/>
    <x v="12"/>
    <n v="0.33333333333333331"/>
    <s v="High Profit"/>
  </r>
  <r>
    <s v="O00082"/>
    <x v="43"/>
    <x v="8"/>
    <s v="C0069"/>
    <s v="P075"/>
    <n v="5"/>
    <x v="3"/>
    <x v="3"/>
    <x v="2"/>
    <x v="0"/>
    <n v="20000"/>
    <n v="25000"/>
    <n v="125000"/>
    <n v="100000"/>
    <x v="15"/>
    <n v="0.2"/>
    <s v="Low Profit"/>
  </r>
  <r>
    <s v="O00083"/>
    <x v="68"/>
    <x v="0"/>
    <s v="C0193"/>
    <s v="P020"/>
    <n v="4"/>
    <x v="1"/>
    <x v="5"/>
    <x v="5"/>
    <x v="1"/>
    <n v="500"/>
    <n v="800"/>
    <n v="3200"/>
    <n v="2000"/>
    <x v="4"/>
    <n v="0.375"/>
    <s v="High Profit"/>
  </r>
  <r>
    <s v="O00084"/>
    <x v="69"/>
    <x v="7"/>
    <s v="C0266"/>
    <s v="P014"/>
    <n v="2"/>
    <x v="2"/>
    <x v="0"/>
    <x v="5"/>
    <x v="1"/>
    <n v="500"/>
    <n v="800"/>
    <n v="1600"/>
    <n v="1000"/>
    <x v="5"/>
    <n v="0.375"/>
    <s v="High Profit"/>
  </r>
  <r>
    <s v="O00085"/>
    <x v="70"/>
    <x v="7"/>
    <s v="C0096"/>
    <s v="P018"/>
    <n v="2"/>
    <x v="9"/>
    <x v="3"/>
    <x v="3"/>
    <x v="0"/>
    <n v="42000"/>
    <n v="50000"/>
    <n v="100000"/>
    <n v="84000"/>
    <x v="23"/>
    <n v="0.16"/>
    <s v="Low Profit"/>
  </r>
  <r>
    <s v="O00086"/>
    <x v="71"/>
    <x v="3"/>
    <s v="C0061"/>
    <s v="P030"/>
    <n v="1"/>
    <x v="4"/>
    <x v="5"/>
    <x v="2"/>
    <x v="0"/>
    <n v="20000"/>
    <n v="25000"/>
    <n v="25000"/>
    <n v="20000"/>
    <x v="10"/>
    <n v="0.2"/>
    <s v="Low Profit"/>
  </r>
  <r>
    <s v="O00087"/>
    <x v="72"/>
    <x v="1"/>
    <s v="C0234"/>
    <s v="P077"/>
    <n v="4"/>
    <x v="11"/>
    <x v="0"/>
    <x v="2"/>
    <x v="0"/>
    <n v="20000"/>
    <n v="25000"/>
    <n v="100000"/>
    <n v="80000"/>
    <x v="9"/>
    <n v="0.2"/>
    <s v="Low Profit"/>
  </r>
  <r>
    <s v="O00088"/>
    <x v="73"/>
    <x v="5"/>
    <s v="C0015"/>
    <s v="P087"/>
    <n v="2"/>
    <x v="0"/>
    <x v="8"/>
    <x v="1"/>
    <x v="1"/>
    <n v="9000"/>
    <n v="12000"/>
    <n v="24000"/>
    <n v="18000"/>
    <x v="0"/>
    <n v="0.25"/>
    <s v="High Profit"/>
  </r>
  <r>
    <s v="O00089"/>
    <x v="74"/>
    <x v="0"/>
    <s v="C0105"/>
    <s v="P092"/>
    <n v="5"/>
    <x v="11"/>
    <x v="2"/>
    <x v="1"/>
    <x v="1"/>
    <n v="9000"/>
    <n v="12000"/>
    <n v="60000"/>
    <n v="45000"/>
    <x v="6"/>
    <n v="0.25"/>
    <s v="High Profit"/>
  </r>
  <r>
    <s v="O00090"/>
    <x v="75"/>
    <x v="1"/>
    <s v="C0118"/>
    <s v="P075"/>
    <n v="3"/>
    <x v="12"/>
    <x v="0"/>
    <x v="2"/>
    <x v="0"/>
    <n v="20000"/>
    <n v="25000"/>
    <n v="75000"/>
    <n v="60000"/>
    <x v="6"/>
    <n v="0.2"/>
    <s v="Low Profit"/>
  </r>
  <r>
    <s v="O00091"/>
    <x v="76"/>
    <x v="11"/>
    <s v="C0194"/>
    <s v="P009"/>
    <n v="2"/>
    <x v="3"/>
    <x v="8"/>
    <x v="6"/>
    <x v="1"/>
    <n v="2000"/>
    <n v="3000"/>
    <n v="6000"/>
    <n v="4000"/>
    <x v="22"/>
    <n v="0.33333333333333331"/>
    <s v="High Profit"/>
  </r>
  <r>
    <s v="O00092"/>
    <x v="77"/>
    <x v="11"/>
    <s v="C0235"/>
    <s v="P001"/>
    <n v="4"/>
    <x v="8"/>
    <x v="4"/>
    <x v="2"/>
    <x v="0"/>
    <n v="20000"/>
    <n v="25000"/>
    <n v="100000"/>
    <n v="80000"/>
    <x v="9"/>
    <n v="0.2"/>
    <s v="Low Profit"/>
  </r>
  <r>
    <s v="O00093"/>
    <x v="78"/>
    <x v="7"/>
    <s v="C0049"/>
    <s v="P062"/>
    <n v="1"/>
    <x v="8"/>
    <x v="2"/>
    <x v="5"/>
    <x v="1"/>
    <n v="500"/>
    <n v="800"/>
    <n v="800"/>
    <n v="500"/>
    <x v="7"/>
    <n v="0.375"/>
    <s v="High Profit"/>
  </r>
  <r>
    <s v="O00094"/>
    <x v="49"/>
    <x v="4"/>
    <s v="C0089"/>
    <s v="P058"/>
    <n v="1"/>
    <x v="12"/>
    <x v="6"/>
    <x v="4"/>
    <x v="1"/>
    <n v="900"/>
    <n v="1500"/>
    <n v="1500"/>
    <n v="900"/>
    <x v="5"/>
    <n v="0.4"/>
    <s v="High Profit"/>
  </r>
  <r>
    <s v="O00095"/>
    <x v="79"/>
    <x v="5"/>
    <s v="C0275"/>
    <s v="P003"/>
    <n v="2"/>
    <x v="4"/>
    <x v="8"/>
    <x v="4"/>
    <x v="1"/>
    <n v="900"/>
    <n v="1500"/>
    <n v="3000"/>
    <n v="1800"/>
    <x v="4"/>
    <n v="0.4"/>
    <s v="High Profit"/>
  </r>
  <r>
    <s v="O00096"/>
    <x v="80"/>
    <x v="1"/>
    <s v="C0260"/>
    <s v="P047"/>
    <n v="2"/>
    <x v="3"/>
    <x v="0"/>
    <x v="6"/>
    <x v="1"/>
    <n v="2000"/>
    <n v="3000"/>
    <n v="6000"/>
    <n v="4000"/>
    <x v="22"/>
    <n v="0.33333333333333331"/>
    <s v="High Profit"/>
  </r>
  <r>
    <s v="O00097"/>
    <x v="20"/>
    <x v="10"/>
    <s v="C0072"/>
    <s v="P014"/>
    <n v="5"/>
    <x v="4"/>
    <x v="2"/>
    <x v="5"/>
    <x v="1"/>
    <n v="500"/>
    <n v="800"/>
    <n v="4000"/>
    <n v="2500"/>
    <x v="16"/>
    <n v="0.375"/>
    <s v="High Profit"/>
  </r>
  <r>
    <s v="O00098"/>
    <x v="81"/>
    <x v="1"/>
    <s v="C0269"/>
    <s v="P005"/>
    <n v="5"/>
    <x v="8"/>
    <x v="6"/>
    <x v="5"/>
    <x v="1"/>
    <n v="500"/>
    <n v="800"/>
    <n v="4000"/>
    <n v="2500"/>
    <x v="16"/>
    <n v="0.375"/>
    <s v="High Profit"/>
  </r>
  <r>
    <s v="O00099"/>
    <x v="82"/>
    <x v="4"/>
    <s v="C0140"/>
    <s v="P095"/>
    <n v="3"/>
    <x v="4"/>
    <x v="5"/>
    <x v="2"/>
    <x v="0"/>
    <n v="20000"/>
    <n v="25000"/>
    <n v="75000"/>
    <n v="60000"/>
    <x v="6"/>
    <n v="0.2"/>
    <s v="Low Profit"/>
  </r>
  <r>
    <s v="O00100"/>
    <x v="83"/>
    <x v="11"/>
    <s v="C0205"/>
    <s v="P057"/>
    <n v="4"/>
    <x v="6"/>
    <x v="7"/>
    <x v="3"/>
    <x v="0"/>
    <n v="42000"/>
    <n v="50000"/>
    <n v="200000"/>
    <n v="168000"/>
    <x v="8"/>
    <n v="0.16"/>
    <s v="Low Profit"/>
  </r>
  <r>
    <s v="O00101"/>
    <x v="38"/>
    <x v="4"/>
    <s v="C0289"/>
    <s v="P093"/>
    <n v="1"/>
    <x v="5"/>
    <x v="5"/>
    <x v="0"/>
    <x v="0"/>
    <n v="12000"/>
    <n v="15000"/>
    <n v="15000"/>
    <n v="12000"/>
    <x v="12"/>
    <n v="0.2"/>
    <s v="Low Profit"/>
  </r>
  <r>
    <s v="O00102"/>
    <x v="84"/>
    <x v="10"/>
    <s v="C0071"/>
    <s v="P049"/>
    <n v="1"/>
    <x v="1"/>
    <x v="1"/>
    <x v="6"/>
    <x v="1"/>
    <n v="2000"/>
    <n v="3000"/>
    <n v="3000"/>
    <n v="2000"/>
    <x v="21"/>
    <n v="0.33333333333333331"/>
    <s v="High Profit"/>
  </r>
  <r>
    <s v="O00103"/>
    <x v="85"/>
    <x v="0"/>
    <s v="C0219"/>
    <s v="P019"/>
    <n v="3"/>
    <x v="0"/>
    <x v="0"/>
    <x v="3"/>
    <x v="0"/>
    <n v="42000"/>
    <n v="50000"/>
    <n v="150000"/>
    <n v="126000"/>
    <x v="14"/>
    <n v="0.16"/>
    <s v="Low Profit"/>
  </r>
  <r>
    <s v="O00104"/>
    <x v="86"/>
    <x v="1"/>
    <s v="C0204"/>
    <s v="P005"/>
    <n v="5"/>
    <x v="12"/>
    <x v="1"/>
    <x v="5"/>
    <x v="1"/>
    <n v="500"/>
    <n v="800"/>
    <n v="4000"/>
    <n v="2500"/>
    <x v="16"/>
    <n v="0.375"/>
    <s v="High Profit"/>
  </r>
  <r>
    <s v="O00105"/>
    <x v="87"/>
    <x v="5"/>
    <s v="C0132"/>
    <s v="P063"/>
    <n v="4"/>
    <x v="5"/>
    <x v="0"/>
    <x v="6"/>
    <x v="1"/>
    <n v="2000"/>
    <n v="3000"/>
    <n v="12000"/>
    <n v="8000"/>
    <x v="20"/>
    <n v="0.33333333333333331"/>
    <s v="High Profit"/>
  </r>
  <r>
    <s v="O00106"/>
    <x v="88"/>
    <x v="4"/>
    <s v="C0292"/>
    <s v="P088"/>
    <n v="1"/>
    <x v="9"/>
    <x v="5"/>
    <x v="5"/>
    <x v="1"/>
    <n v="500"/>
    <n v="800"/>
    <n v="800"/>
    <n v="500"/>
    <x v="7"/>
    <n v="0.375"/>
    <s v="High Profit"/>
  </r>
  <r>
    <s v="O00107"/>
    <x v="14"/>
    <x v="8"/>
    <s v="C0087"/>
    <s v="P033"/>
    <n v="1"/>
    <x v="5"/>
    <x v="3"/>
    <x v="3"/>
    <x v="0"/>
    <n v="42000"/>
    <n v="50000"/>
    <n v="50000"/>
    <n v="42000"/>
    <x v="18"/>
    <n v="0.16"/>
    <s v="Low Profit"/>
  </r>
  <r>
    <s v="O00108"/>
    <x v="89"/>
    <x v="10"/>
    <s v="C0227"/>
    <s v="P035"/>
    <n v="3"/>
    <x v="0"/>
    <x v="5"/>
    <x v="1"/>
    <x v="1"/>
    <n v="9000"/>
    <n v="12000"/>
    <n v="36000"/>
    <n v="27000"/>
    <x v="11"/>
    <n v="0.25"/>
    <s v="High Profit"/>
  </r>
  <r>
    <s v="O00109"/>
    <x v="90"/>
    <x v="10"/>
    <s v="C0194"/>
    <s v="P060"/>
    <n v="3"/>
    <x v="3"/>
    <x v="8"/>
    <x v="5"/>
    <x v="1"/>
    <n v="500"/>
    <n v="800"/>
    <n v="2400"/>
    <n v="1500"/>
    <x v="19"/>
    <n v="0.375"/>
    <s v="High Profit"/>
  </r>
  <r>
    <s v="O00110"/>
    <x v="91"/>
    <x v="2"/>
    <s v="C0250"/>
    <s v="P018"/>
    <n v="3"/>
    <x v="4"/>
    <x v="2"/>
    <x v="3"/>
    <x v="0"/>
    <n v="42000"/>
    <n v="50000"/>
    <n v="150000"/>
    <n v="126000"/>
    <x v="14"/>
    <n v="0.16"/>
    <s v="Low Profit"/>
  </r>
  <r>
    <s v="O00111"/>
    <x v="26"/>
    <x v="3"/>
    <s v="C0277"/>
    <s v="P065"/>
    <n v="3"/>
    <x v="4"/>
    <x v="7"/>
    <x v="5"/>
    <x v="1"/>
    <n v="500"/>
    <n v="800"/>
    <n v="2400"/>
    <n v="1500"/>
    <x v="19"/>
    <n v="0.375"/>
    <s v="High Profit"/>
  </r>
  <r>
    <s v="O00112"/>
    <x v="92"/>
    <x v="0"/>
    <s v="C0082"/>
    <s v="P053"/>
    <n v="3"/>
    <x v="12"/>
    <x v="1"/>
    <x v="3"/>
    <x v="0"/>
    <n v="42000"/>
    <n v="50000"/>
    <n v="150000"/>
    <n v="126000"/>
    <x v="14"/>
    <n v="0.16"/>
    <s v="Low Profit"/>
  </r>
  <r>
    <s v="O00113"/>
    <x v="93"/>
    <x v="1"/>
    <s v="C0193"/>
    <s v="P010"/>
    <n v="3"/>
    <x v="1"/>
    <x v="5"/>
    <x v="1"/>
    <x v="1"/>
    <n v="9000"/>
    <n v="12000"/>
    <n v="36000"/>
    <n v="27000"/>
    <x v="11"/>
    <n v="0.25"/>
    <s v="High Profit"/>
  </r>
  <r>
    <s v="O00114"/>
    <x v="94"/>
    <x v="4"/>
    <s v="C0250"/>
    <s v="P010"/>
    <n v="4"/>
    <x v="4"/>
    <x v="2"/>
    <x v="1"/>
    <x v="1"/>
    <n v="9000"/>
    <n v="12000"/>
    <n v="48000"/>
    <n v="36000"/>
    <x v="1"/>
    <n v="0.25"/>
    <s v="High Profit"/>
  </r>
  <r>
    <s v="O00115"/>
    <x v="95"/>
    <x v="9"/>
    <s v="C0261"/>
    <s v="P067"/>
    <n v="1"/>
    <x v="2"/>
    <x v="5"/>
    <x v="0"/>
    <x v="0"/>
    <n v="12000"/>
    <n v="15000"/>
    <n v="15000"/>
    <n v="12000"/>
    <x v="12"/>
    <n v="0.2"/>
    <s v="Low Profit"/>
  </r>
  <r>
    <s v="O00116"/>
    <x v="96"/>
    <x v="2"/>
    <s v="C0011"/>
    <s v="P012"/>
    <n v="4"/>
    <x v="10"/>
    <x v="3"/>
    <x v="4"/>
    <x v="1"/>
    <n v="900"/>
    <n v="1500"/>
    <n v="6000"/>
    <n v="3600"/>
    <x v="17"/>
    <n v="0.4"/>
    <s v="High Profit"/>
  </r>
  <r>
    <s v="O00117"/>
    <x v="97"/>
    <x v="6"/>
    <s v="C0143"/>
    <s v="P054"/>
    <n v="5"/>
    <x v="9"/>
    <x v="2"/>
    <x v="4"/>
    <x v="1"/>
    <n v="900"/>
    <n v="1500"/>
    <n v="7500"/>
    <n v="4500"/>
    <x v="12"/>
    <n v="0.4"/>
    <s v="High Profit"/>
  </r>
  <r>
    <s v="O00118"/>
    <x v="98"/>
    <x v="1"/>
    <s v="C0116"/>
    <s v="P040"/>
    <n v="5"/>
    <x v="12"/>
    <x v="6"/>
    <x v="3"/>
    <x v="0"/>
    <n v="42000"/>
    <n v="50000"/>
    <n v="250000"/>
    <n v="210000"/>
    <x v="3"/>
    <n v="0.16"/>
    <s v="Low Profit"/>
  </r>
  <r>
    <s v="O00119"/>
    <x v="99"/>
    <x v="11"/>
    <s v="C0246"/>
    <s v="P012"/>
    <n v="4"/>
    <x v="12"/>
    <x v="2"/>
    <x v="4"/>
    <x v="1"/>
    <n v="900"/>
    <n v="1500"/>
    <n v="6000"/>
    <n v="3600"/>
    <x v="17"/>
    <n v="0.4"/>
    <s v="High Profit"/>
  </r>
  <r>
    <s v="O00120"/>
    <x v="90"/>
    <x v="10"/>
    <s v="C0254"/>
    <s v="P096"/>
    <n v="3"/>
    <x v="6"/>
    <x v="0"/>
    <x v="0"/>
    <x v="0"/>
    <n v="12000"/>
    <n v="15000"/>
    <n v="45000"/>
    <n v="36000"/>
    <x v="11"/>
    <n v="0.2"/>
    <s v="Low Profit"/>
  </r>
  <r>
    <s v="O00121"/>
    <x v="100"/>
    <x v="0"/>
    <s v="C0189"/>
    <s v="P007"/>
    <n v="4"/>
    <x v="2"/>
    <x v="0"/>
    <x v="2"/>
    <x v="0"/>
    <n v="20000"/>
    <n v="25000"/>
    <n v="100000"/>
    <n v="80000"/>
    <x v="9"/>
    <n v="0.2"/>
    <s v="Low Profit"/>
  </r>
  <r>
    <s v="O00122"/>
    <x v="101"/>
    <x v="4"/>
    <s v="C0167"/>
    <s v="P021"/>
    <n v="1"/>
    <x v="10"/>
    <x v="5"/>
    <x v="2"/>
    <x v="0"/>
    <n v="20000"/>
    <n v="25000"/>
    <n v="25000"/>
    <n v="20000"/>
    <x v="10"/>
    <n v="0.2"/>
    <s v="Low Profit"/>
  </r>
  <r>
    <s v="O00123"/>
    <x v="102"/>
    <x v="5"/>
    <s v="C0027"/>
    <s v="P071"/>
    <n v="3"/>
    <x v="8"/>
    <x v="6"/>
    <x v="5"/>
    <x v="1"/>
    <n v="500"/>
    <n v="800"/>
    <n v="2400"/>
    <n v="1500"/>
    <x v="19"/>
    <n v="0.375"/>
    <s v="High Profit"/>
  </r>
  <r>
    <s v="O00124"/>
    <x v="103"/>
    <x v="7"/>
    <s v="C0059"/>
    <s v="P068"/>
    <n v="4"/>
    <x v="0"/>
    <x v="3"/>
    <x v="1"/>
    <x v="1"/>
    <n v="9000"/>
    <n v="12000"/>
    <n v="48000"/>
    <n v="36000"/>
    <x v="1"/>
    <n v="0.25"/>
    <s v="High Profit"/>
  </r>
  <r>
    <s v="O00125"/>
    <x v="104"/>
    <x v="9"/>
    <s v="C0031"/>
    <s v="P034"/>
    <n v="3"/>
    <x v="4"/>
    <x v="6"/>
    <x v="4"/>
    <x v="1"/>
    <n v="900"/>
    <n v="1500"/>
    <n v="4500"/>
    <n v="2700"/>
    <x v="13"/>
    <n v="0.4"/>
    <s v="High Profit"/>
  </r>
  <r>
    <s v="O00126"/>
    <x v="105"/>
    <x v="9"/>
    <s v="C0076"/>
    <s v="P090"/>
    <n v="1"/>
    <x v="2"/>
    <x v="1"/>
    <x v="0"/>
    <x v="0"/>
    <n v="12000"/>
    <n v="15000"/>
    <n v="15000"/>
    <n v="12000"/>
    <x v="12"/>
    <n v="0.2"/>
    <s v="Low Profit"/>
  </r>
  <r>
    <s v="O00127"/>
    <x v="87"/>
    <x v="5"/>
    <s v="C0296"/>
    <s v="P042"/>
    <n v="5"/>
    <x v="10"/>
    <x v="6"/>
    <x v="4"/>
    <x v="1"/>
    <n v="900"/>
    <n v="1500"/>
    <n v="7500"/>
    <n v="4500"/>
    <x v="12"/>
    <n v="0.4"/>
    <s v="High Profit"/>
  </r>
  <r>
    <s v="O00128"/>
    <x v="106"/>
    <x v="6"/>
    <s v="C0146"/>
    <s v="P035"/>
    <n v="2"/>
    <x v="1"/>
    <x v="1"/>
    <x v="1"/>
    <x v="1"/>
    <n v="9000"/>
    <n v="12000"/>
    <n v="24000"/>
    <n v="18000"/>
    <x v="0"/>
    <n v="0.25"/>
    <s v="High Profit"/>
  </r>
  <r>
    <s v="O00129"/>
    <x v="107"/>
    <x v="6"/>
    <s v="C0219"/>
    <s v="P010"/>
    <n v="3"/>
    <x v="0"/>
    <x v="0"/>
    <x v="1"/>
    <x v="1"/>
    <n v="9000"/>
    <n v="12000"/>
    <n v="36000"/>
    <n v="27000"/>
    <x v="11"/>
    <n v="0.25"/>
    <s v="High Profit"/>
  </r>
  <r>
    <s v="O00130"/>
    <x v="53"/>
    <x v="2"/>
    <s v="C0221"/>
    <s v="P076"/>
    <n v="5"/>
    <x v="8"/>
    <x v="7"/>
    <x v="6"/>
    <x v="1"/>
    <n v="2000"/>
    <n v="3000"/>
    <n v="15000"/>
    <n v="10000"/>
    <x v="10"/>
    <n v="0.33333333333333331"/>
    <s v="High Profit"/>
  </r>
  <r>
    <s v="O00131"/>
    <x v="20"/>
    <x v="10"/>
    <s v="C0286"/>
    <s v="P063"/>
    <n v="4"/>
    <x v="12"/>
    <x v="2"/>
    <x v="6"/>
    <x v="1"/>
    <n v="2000"/>
    <n v="3000"/>
    <n v="12000"/>
    <n v="8000"/>
    <x v="20"/>
    <n v="0.33333333333333331"/>
    <s v="High Profit"/>
  </r>
  <r>
    <s v="O00132"/>
    <x v="108"/>
    <x v="5"/>
    <s v="C0286"/>
    <s v="P012"/>
    <n v="5"/>
    <x v="12"/>
    <x v="2"/>
    <x v="4"/>
    <x v="1"/>
    <n v="900"/>
    <n v="1500"/>
    <n v="7500"/>
    <n v="4500"/>
    <x v="12"/>
    <n v="0.4"/>
    <s v="High Profit"/>
  </r>
  <r>
    <s v="O00133"/>
    <x v="109"/>
    <x v="5"/>
    <s v="C0287"/>
    <s v="P007"/>
    <n v="2"/>
    <x v="0"/>
    <x v="7"/>
    <x v="2"/>
    <x v="0"/>
    <n v="20000"/>
    <n v="25000"/>
    <n v="50000"/>
    <n v="40000"/>
    <x v="2"/>
    <n v="0.2"/>
    <s v="Low Profit"/>
  </r>
  <r>
    <s v="O00134"/>
    <x v="54"/>
    <x v="7"/>
    <s v="C0233"/>
    <s v="P011"/>
    <n v="2"/>
    <x v="2"/>
    <x v="0"/>
    <x v="4"/>
    <x v="1"/>
    <n v="900"/>
    <n v="1500"/>
    <n v="3000"/>
    <n v="1800"/>
    <x v="4"/>
    <n v="0.4"/>
    <s v="High Profit"/>
  </r>
  <r>
    <s v="O00135"/>
    <x v="110"/>
    <x v="9"/>
    <s v="C0186"/>
    <s v="P005"/>
    <n v="1"/>
    <x v="9"/>
    <x v="2"/>
    <x v="5"/>
    <x v="1"/>
    <n v="500"/>
    <n v="800"/>
    <n v="800"/>
    <n v="500"/>
    <x v="7"/>
    <n v="0.375"/>
    <s v="High Profit"/>
  </r>
  <r>
    <s v="O00136"/>
    <x v="73"/>
    <x v="5"/>
    <s v="C0046"/>
    <s v="P012"/>
    <n v="3"/>
    <x v="2"/>
    <x v="3"/>
    <x v="4"/>
    <x v="1"/>
    <n v="900"/>
    <n v="1500"/>
    <n v="4500"/>
    <n v="2700"/>
    <x v="13"/>
    <n v="0.4"/>
    <s v="High Profit"/>
  </r>
  <r>
    <s v="O00137"/>
    <x v="23"/>
    <x v="2"/>
    <s v="C0155"/>
    <s v="P048"/>
    <n v="4"/>
    <x v="9"/>
    <x v="3"/>
    <x v="7"/>
    <x v="0"/>
    <n v="15000"/>
    <n v="18000"/>
    <n v="72000"/>
    <n v="60000"/>
    <x v="1"/>
    <n v="0.16666666666666666"/>
    <s v="Low Profit"/>
  </r>
  <r>
    <s v="O00138"/>
    <x v="111"/>
    <x v="4"/>
    <s v="C0270"/>
    <s v="P018"/>
    <n v="1"/>
    <x v="1"/>
    <x v="5"/>
    <x v="3"/>
    <x v="0"/>
    <n v="42000"/>
    <n v="50000"/>
    <n v="50000"/>
    <n v="42000"/>
    <x v="18"/>
    <n v="0.16"/>
    <s v="Low Profit"/>
  </r>
  <r>
    <s v="O00139"/>
    <x v="38"/>
    <x v="4"/>
    <s v="C0107"/>
    <s v="P099"/>
    <n v="4"/>
    <x v="10"/>
    <x v="0"/>
    <x v="4"/>
    <x v="1"/>
    <n v="900"/>
    <n v="1500"/>
    <n v="6000"/>
    <n v="3600"/>
    <x v="17"/>
    <n v="0.4"/>
    <s v="High Profit"/>
  </r>
  <r>
    <s v="O00140"/>
    <x v="112"/>
    <x v="2"/>
    <s v="C9999"/>
    <s v="P001"/>
    <n v="1"/>
    <x v="7"/>
    <x v="8"/>
    <x v="2"/>
    <x v="0"/>
    <n v="20000"/>
    <n v="25000"/>
    <n v="25000"/>
    <n v="20000"/>
    <x v="10"/>
    <n v="0.2"/>
    <s v="Low Profit"/>
  </r>
  <r>
    <s v="O00141"/>
    <x v="16"/>
    <x v="8"/>
    <s v="C0186"/>
    <s v="P037"/>
    <n v="2"/>
    <x v="9"/>
    <x v="2"/>
    <x v="0"/>
    <x v="0"/>
    <n v="12000"/>
    <n v="15000"/>
    <n v="30000"/>
    <n v="24000"/>
    <x v="0"/>
    <n v="0.2"/>
    <s v="Low Profit"/>
  </r>
  <r>
    <s v="O00142"/>
    <x v="113"/>
    <x v="2"/>
    <s v="C0007"/>
    <s v="P072"/>
    <n v="2"/>
    <x v="8"/>
    <x v="0"/>
    <x v="2"/>
    <x v="0"/>
    <n v="20000"/>
    <n v="25000"/>
    <n v="50000"/>
    <n v="40000"/>
    <x v="2"/>
    <n v="0.2"/>
    <s v="Low Profit"/>
  </r>
  <r>
    <s v="O00143"/>
    <x v="114"/>
    <x v="11"/>
    <s v="C0224"/>
    <s v="P085"/>
    <n v="1"/>
    <x v="0"/>
    <x v="2"/>
    <x v="4"/>
    <x v="1"/>
    <n v="900"/>
    <n v="1500"/>
    <n v="1500"/>
    <n v="900"/>
    <x v="5"/>
    <n v="0.4"/>
    <s v="High Profit"/>
  </r>
  <r>
    <s v="O00144"/>
    <x v="115"/>
    <x v="7"/>
    <s v="C9999"/>
    <s v="P006"/>
    <n v="3"/>
    <x v="7"/>
    <x v="8"/>
    <x v="3"/>
    <x v="0"/>
    <n v="42000"/>
    <n v="50000"/>
    <n v="150000"/>
    <n v="126000"/>
    <x v="14"/>
    <n v="0.16"/>
    <s v="Low Profit"/>
  </r>
  <r>
    <s v="O00145"/>
    <x v="116"/>
    <x v="10"/>
    <s v="C0061"/>
    <s v="P036"/>
    <n v="3"/>
    <x v="4"/>
    <x v="5"/>
    <x v="2"/>
    <x v="0"/>
    <n v="20000"/>
    <n v="25000"/>
    <n v="75000"/>
    <n v="60000"/>
    <x v="6"/>
    <n v="0.2"/>
    <s v="Low Profit"/>
  </r>
  <r>
    <s v="O00146"/>
    <x v="117"/>
    <x v="7"/>
    <s v="C0173"/>
    <s v="P064"/>
    <n v="1"/>
    <x v="3"/>
    <x v="2"/>
    <x v="2"/>
    <x v="0"/>
    <n v="20000"/>
    <n v="25000"/>
    <n v="25000"/>
    <n v="20000"/>
    <x v="10"/>
    <n v="0.2"/>
    <s v="Low Profit"/>
  </r>
  <r>
    <s v="O00147"/>
    <x v="118"/>
    <x v="5"/>
    <s v="C0075"/>
    <s v="P028"/>
    <n v="5"/>
    <x v="3"/>
    <x v="1"/>
    <x v="3"/>
    <x v="0"/>
    <n v="42000"/>
    <n v="50000"/>
    <n v="250000"/>
    <n v="210000"/>
    <x v="3"/>
    <n v="0.16"/>
    <s v="Low Profit"/>
  </r>
  <r>
    <s v="O00148"/>
    <x v="119"/>
    <x v="2"/>
    <s v="C0206"/>
    <s v="P012"/>
    <n v="3"/>
    <x v="5"/>
    <x v="0"/>
    <x v="4"/>
    <x v="1"/>
    <n v="900"/>
    <n v="1500"/>
    <n v="4500"/>
    <n v="2700"/>
    <x v="13"/>
    <n v="0.4"/>
    <s v="High Profit"/>
  </r>
  <r>
    <s v="O00149"/>
    <x v="120"/>
    <x v="6"/>
    <s v="C0156"/>
    <s v="P047"/>
    <n v="3"/>
    <x v="11"/>
    <x v="0"/>
    <x v="6"/>
    <x v="1"/>
    <n v="2000"/>
    <n v="3000"/>
    <n v="9000"/>
    <n v="6000"/>
    <x v="12"/>
    <n v="0.33333333333333331"/>
    <s v="High Profit"/>
  </r>
  <r>
    <s v="O00150"/>
    <x v="121"/>
    <x v="11"/>
    <s v="C0074"/>
    <s v="P100"/>
    <n v="5"/>
    <x v="0"/>
    <x v="6"/>
    <x v="6"/>
    <x v="1"/>
    <n v="2000"/>
    <n v="3000"/>
    <n v="15000"/>
    <n v="10000"/>
    <x v="10"/>
    <n v="0.33333333333333331"/>
    <s v="High Profit"/>
  </r>
  <r>
    <s v="O00151"/>
    <x v="90"/>
    <x v="10"/>
    <s v="C0290"/>
    <s v="P099"/>
    <n v="2"/>
    <x v="0"/>
    <x v="4"/>
    <x v="4"/>
    <x v="1"/>
    <n v="900"/>
    <n v="1500"/>
    <n v="3000"/>
    <n v="1800"/>
    <x v="4"/>
    <n v="0.4"/>
    <s v="High Profit"/>
  </r>
  <r>
    <s v="O00152"/>
    <x v="81"/>
    <x v="1"/>
    <s v="C0209"/>
    <s v="P022"/>
    <n v="5"/>
    <x v="10"/>
    <x v="6"/>
    <x v="3"/>
    <x v="0"/>
    <n v="42000"/>
    <n v="50000"/>
    <n v="250000"/>
    <n v="210000"/>
    <x v="3"/>
    <n v="0.16"/>
    <s v="Low Profit"/>
  </r>
  <r>
    <s v="O00153"/>
    <x v="122"/>
    <x v="2"/>
    <s v="C0056"/>
    <s v="P013"/>
    <n v="5"/>
    <x v="4"/>
    <x v="7"/>
    <x v="1"/>
    <x v="1"/>
    <n v="9000"/>
    <n v="12000"/>
    <n v="60000"/>
    <n v="45000"/>
    <x v="6"/>
    <n v="0.25"/>
    <s v="High Profit"/>
  </r>
  <r>
    <s v="O00154"/>
    <x v="123"/>
    <x v="10"/>
    <s v="C0076"/>
    <s v="P085"/>
    <n v="5"/>
    <x v="2"/>
    <x v="1"/>
    <x v="4"/>
    <x v="1"/>
    <n v="900"/>
    <n v="1500"/>
    <n v="7500"/>
    <n v="4500"/>
    <x v="12"/>
    <n v="0.4"/>
    <s v="High Profit"/>
  </r>
  <r>
    <s v="O00155"/>
    <x v="124"/>
    <x v="5"/>
    <s v="C0186"/>
    <s v="P042"/>
    <n v="3"/>
    <x v="9"/>
    <x v="2"/>
    <x v="4"/>
    <x v="1"/>
    <n v="900"/>
    <n v="1500"/>
    <n v="4500"/>
    <n v="2700"/>
    <x v="13"/>
    <n v="0.4"/>
    <s v="High Profit"/>
  </r>
  <r>
    <s v="O00156"/>
    <x v="125"/>
    <x v="6"/>
    <s v="C0126"/>
    <s v="P062"/>
    <n v="3"/>
    <x v="0"/>
    <x v="4"/>
    <x v="5"/>
    <x v="1"/>
    <n v="500"/>
    <n v="800"/>
    <n v="2400"/>
    <n v="1500"/>
    <x v="19"/>
    <n v="0.375"/>
    <s v="High Profit"/>
  </r>
  <r>
    <s v="O00157"/>
    <x v="126"/>
    <x v="11"/>
    <s v="C0273"/>
    <s v="P068"/>
    <n v="4"/>
    <x v="12"/>
    <x v="5"/>
    <x v="1"/>
    <x v="1"/>
    <n v="9000"/>
    <n v="12000"/>
    <n v="48000"/>
    <n v="36000"/>
    <x v="1"/>
    <n v="0.25"/>
    <s v="High Profit"/>
  </r>
  <r>
    <s v="O00158"/>
    <x v="122"/>
    <x v="2"/>
    <s v="C8888"/>
    <s v="P016"/>
    <n v="1"/>
    <x v="7"/>
    <x v="8"/>
    <x v="2"/>
    <x v="0"/>
    <n v="20000"/>
    <n v="25000"/>
    <n v="25000"/>
    <n v="20000"/>
    <x v="10"/>
    <n v="0.2"/>
    <s v="Low Profit"/>
  </r>
  <r>
    <s v="O00159"/>
    <x v="21"/>
    <x v="5"/>
    <s v="C0293"/>
    <s v="P013"/>
    <n v="2"/>
    <x v="2"/>
    <x v="1"/>
    <x v="1"/>
    <x v="1"/>
    <n v="9000"/>
    <n v="12000"/>
    <n v="24000"/>
    <n v="18000"/>
    <x v="0"/>
    <n v="0.25"/>
    <s v="High Profit"/>
  </r>
  <r>
    <s v="O00160"/>
    <x v="127"/>
    <x v="5"/>
    <s v="C0271"/>
    <s v="P083"/>
    <n v="5"/>
    <x v="0"/>
    <x v="8"/>
    <x v="7"/>
    <x v="0"/>
    <n v="15000"/>
    <n v="18000"/>
    <n v="90000"/>
    <n v="75000"/>
    <x v="6"/>
    <n v="0.16666666666666666"/>
    <s v="Low Profit"/>
  </r>
  <r>
    <s v="O00161"/>
    <x v="128"/>
    <x v="4"/>
    <s v="C0183"/>
    <s v="P040"/>
    <n v="4"/>
    <x v="10"/>
    <x v="2"/>
    <x v="3"/>
    <x v="0"/>
    <n v="42000"/>
    <n v="50000"/>
    <n v="200000"/>
    <n v="168000"/>
    <x v="8"/>
    <n v="0.16"/>
    <s v="Low Profit"/>
  </r>
  <r>
    <s v="O00162"/>
    <x v="129"/>
    <x v="4"/>
    <s v="C0209"/>
    <s v="P083"/>
    <n v="1"/>
    <x v="10"/>
    <x v="6"/>
    <x v="7"/>
    <x v="0"/>
    <n v="15000"/>
    <n v="18000"/>
    <n v="18000"/>
    <n v="15000"/>
    <x v="12"/>
    <n v="0.16666666666666666"/>
    <s v="Low Profit"/>
  </r>
  <r>
    <s v="O00163"/>
    <x v="130"/>
    <x v="1"/>
    <s v="C0159"/>
    <s v="P026"/>
    <n v="2"/>
    <x v="12"/>
    <x v="0"/>
    <x v="1"/>
    <x v="1"/>
    <n v="9000"/>
    <n v="12000"/>
    <n v="24000"/>
    <n v="18000"/>
    <x v="0"/>
    <n v="0.25"/>
    <s v="High Profit"/>
  </r>
  <r>
    <s v="O00164"/>
    <x v="131"/>
    <x v="7"/>
    <s v="C0148"/>
    <s v="P045"/>
    <n v="1"/>
    <x v="10"/>
    <x v="1"/>
    <x v="4"/>
    <x v="1"/>
    <n v="900"/>
    <n v="1500"/>
    <n v="1500"/>
    <n v="900"/>
    <x v="5"/>
    <n v="0.4"/>
    <s v="High Profit"/>
  </r>
  <r>
    <s v="O00165"/>
    <x v="77"/>
    <x v="11"/>
    <s v="C0093"/>
    <s v="P017"/>
    <n v="5"/>
    <x v="0"/>
    <x v="4"/>
    <x v="4"/>
    <x v="1"/>
    <n v="900"/>
    <n v="1500"/>
    <n v="7500"/>
    <n v="4500"/>
    <x v="12"/>
    <n v="0.4"/>
    <s v="High Profit"/>
  </r>
  <r>
    <s v="O00166"/>
    <x v="132"/>
    <x v="5"/>
    <s v="C0223"/>
    <s v="P011"/>
    <n v="3"/>
    <x v="11"/>
    <x v="0"/>
    <x v="4"/>
    <x v="1"/>
    <n v="900"/>
    <n v="1500"/>
    <n v="4500"/>
    <n v="2700"/>
    <x v="13"/>
    <n v="0.4"/>
    <s v="High Profit"/>
  </r>
  <r>
    <s v="O00167"/>
    <x v="94"/>
    <x v="4"/>
    <s v="C0077"/>
    <s v="P022"/>
    <n v="4"/>
    <x v="1"/>
    <x v="7"/>
    <x v="3"/>
    <x v="0"/>
    <n v="42000"/>
    <n v="50000"/>
    <n v="200000"/>
    <n v="168000"/>
    <x v="8"/>
    <n v="0.16"/>
    <s v="Low Profit"/>
  </r>
  <r>
    <s v="O00168"/>
    <x v="133"/>
    <x v="9"/>
    <s v="C0245"/>
    <s v="P083"/>
    <n v="5"/>
    <x v="5"/>
    <x v="3"/>
    <x v="7"/>
    <x v="0"/>
    <n v="15000"/>
    <n v="18000"/>
    <n v="90000"/>
    <n v="75000"/>
    <x v="6"/>
    <n v="0.16666666666666666"/>
    <s v="Low Profit"/>
  </r>
  <r>
    <s v="O00169"/>
    <x v="134"/>
    <x v="10"/>
    <s v="C0058"/>
    <s v="P091"/>
    <n v="1"/>
    <x v="11"/>
    <x v="3"/>
    <x v="1"/>
    <x v="1"/>
    <n v="9000"/>
    <n v="12000"/>
    <n v="12000"/>
    <n v="9000"/>
    <x v="12"/>
    <n v="0.25"/>
    <s v="High Profit"/>
  </r>
  <r>
    <s v="O00170"/>
    <x v="135"/>
    <x v="4"/>
    <s v="C0075"/>
    <s v="P073"/>
    <n v="2"/>
    <x v="3"/>
    <x v="1"/>
    <x v="3"/>
    <x v="0"/>
    <n v="42000"/>
    <n v="50000"/>
    <n v="100000"/>
    <n v="84000"/>
    <x v="23"/>
    <n v="0.16"/>
    <s v="Low Profit"/>
  </r>
  <r>
    <s v="O00171"/>
    <x v="136"/>
    <x v="4"/>
    <s v="C0018"/>
    <s v="P100"/>
    <n v="2"/>
    <x v="11"/>
    <x v="5"/>
    <x v="6"/>
    <x v="1"/>
    <n v="2000"/>
    <n v="3000"/>
    <n v="6000"/>
    <n v="4000"/>
    <x v="22"/>
    <n v="0.33333333333333331"/>
    <s v="High Profit"/>
  </r>
  <r>
    <s v="O00172"/>
    <x v="45"/>
    <x v="0"/>
    <s v="C0214"/>
    <s v="P080"/>
    <n v="3"/>
    <x v="5"/>
    <x v="8"/>
    <x v="4"/>
    <x v="1"/>
    <n v="900"/>
    <n v="1500"/>
    <n v="4500"/>
    <n v="2700"/>
    <x v="13"/>
    <n v="0.4"/>
    <s v="High Profit"/>
  </r>
  <r>
    <s v="O00173"/>
    <x v="137"/>
    <x v="9"/>
    <s v="C0150"/>
    <s v="P005"/>
    <n v="5"/>
    <x v="12"/>
    <x v="7"/>
    <x v="5"/>
    <x v="1"/>
    <n v="500"/>
    <n v="800"/>
    <n v="4000"/>
    <n v="2500"/>
    <x v="16"/>
    <n v="0.375"/>
    <s v="High Profit"/>
  </r>
  <r>
    <s v="O00174"/>
    <x v="138"/>
    <x v="10"/>
    <s v="C0169"/>
    <s v="P045"/>
    <n v="3"/>
    <x v="10"/>
    <x v="6"/>
    <x v="4"/>
    <x v="1"/>
    <n v="900"/>
    <n v="1500"/>
    <n v="4500"/>
    <n v="2700"/>
    <x v="13"/>
    <n v="0.4"/>
    <s v="High Profit"/>
  </r>
  <r>
    <s v="O00175"/>
    <x v="43"/>
    <x v="8"/>
    <s v="C0262"/>
    <s v="P084"/>
    <n v="4"/>
    <x v="4"/>
    <x v="4"/>
    <x v="2"/>
    <x v="0"/>
    <n v="20000"/>
    <n v="25000"/>
    <n v="100000"/>
    <n v="80000"/>
    <x v="9"/>
    <n v="0.2"/>
    <s v="Low Profit"/>
  </r>
  <r>
    <s v="O00176"/>
    <x v="139"/>
    <x v="8"/>
    <s v="C0256"/>
    <s v="P037"/>
    <n v="2"/>
    <x v="11"/>
    <x v="5"/>
    <x v="0"/>
    <x v="0"/>
    <n v="12000"/>
    <n v="15000"/>
    <n v="30000"/>
    <n v="24000"/>
    <x v="0"/>
    <n v="0.2"/>
    <s v="Low Profit"/>
  </r>
  <r>
    <s v="O00177"/>
    <x v="79"/>
    <x v="5"/>
    <s v="C0214"/>
    <s v="P018"/>
    <n v="5"/>
    <x v="5"/>
    <x v="8"/>
    <x v="3"/>
    <x v="0"/>
    <n v="42000"/>
    <n v="50000"/>
    <n v="250000"/>
    <n v="210000"/>
    <x v="3"/>
    <n v="0.16"/>
    <s v="Low Profit"/>
  </r>
  <r>
    <s v="O00178"/>
    <x v="140"/>
    <x v="5"/>
    <s v="C0263"/>
    <s v="P027"/>
    <n v="4"/>
    <x v="8"/>
    <x v="8"/>
    <x v="3"/>
    <x v="0"/>
    <n v="42000"/>
    <n v="50000"/>
    <n v="200000"/>
    <n v="168000"/>
    <x v="8"/>
    <n v="0.16"/>
    <s v="Low Profit"/>
  </r>
  <r>
    <s v="O00179"/>
    <x v="62"/>
    <x v="9"/>
    <s v="C0057"/>
    <s v="P089"/>
    <n v="2"/>
    <x v="5"/>
    <x v="0"/>
    <x v="6"/>
    <x v="1"/>
    <n v="2000"/>
    <n v="3000"/>
    <n v="6000"/>
    <n v="4000"/>
    <x v="22"/>
    <n v="0.33333333333333331"/>
    <s v="High Profit"/>
  </r>
  <r>
    <s v="O00180"/>
    <x v="67"/>
    <x v="3"/>
    <s v="C0057"/>
    <s v="P096"/>
    <n v="1"/>
    <x v="5"/>
    <x v="0"/>
    <x v="0"/>
    <x v="0"/>
    <n v="12000"/>
    <n v="15000"/>
    <n v="15000"/>
    <n v="12000"/>
    <x v="12"/>
    <n v="0.2"/>
    <s v="Low Profit"/>
  </r>
  <r>
    <s v="O00181"/>
    <x v="141"/>
    <x v="11"/>
    <s v="C0108"/>
    <s v="P040"/>
    <n v="1"/>
    <x v="5"/>
    <x v="0"/>
    <x v="3"/>
    <x v="0"/>
    <n v="42000"/>
    <n v="50000"/>
    <n v="50000"/>
    <n v="42000"/>
    <x v="18"/>
    <n v="0.16"/>
    <s v="Low Profit"/>
  </r>
  <r>
    <s v="O00182"/>
    <x v="142"/>
    <x v="10"/>
    <s v="C0219"/>
    <s v="P031"/>
    <n v="4"/>
    <x v="0"/>
    <x v="0"/>
    <x v="4"/>
    <x v="1"/>
    <n v="900"/>
    <n v="1500"/>
    <n v="6000"/>
    <n v="3600"/>
    <x v="17"/>
    <n v="0.4"/>
    <s v="High Profit"/>
  </r>
  <r>
    <s v="O00183"/>
    <x v="143"/>
    <x v="0"/>
    <s v="C0300"/>
    <s v="P001"/>
    <n v="5"/>
    <x v="2"/>
    <x v="2"/>
    <x v="2"/>
    <x v="0"/>
    <n v="20000"/>
    <n v="25000"/>
    <n v="125000"/>
    <n v="100000"/>
    <x v="15"/>
    <n v="0.2"/>
    <s v="Low Profit"/>
  </r>
  <r>
    <s v="O00184"/>
    <x v="113"/>
    <x v="2"/>
    <s v="C9999"/>
    <s v="P041"/>
    <n v="2"/>
    <x v="7"/>
    <x v="8"/>
    <x v="2"/>
    <x v="0"/>
    <n v="20000"/>
    <n v="25000"/>
    <n v="50000"/>
    <n v="40000"/>
    <x v="2"/>
    <n v="0.2"/>
    <s v="Low Profit"/>
  </r>
  <r>
    <s v="O00185"/>
    <x v="144"/>
    <x v="11"/>
    <s v="C8888"/>
    <s v="P068"/>
    <n v="3"/>
    <x v="7"/>
    <x v="8"/>
    <x v="1"/>
    <x v="1"/>
    <n v="9000"/>
    <n v="12000"/>
    <n v="36000"/>
    <n v="27000"/>
    <x v="11"/>
    <n v="0.25"/>
    <s v="High Profit"/>
  </r>
  <r>
    <s v="O00186"/>
    <x v="145"/>
    <x v="3"/>
    <s v="C0125"/>
    <s v="P064"/>
    <n v="1"/>
    <x v="12"/>
    <x v="0"/>
    <x v="2"/>
    <x v="0"/>
    <n v="20000"/>
    <n v="25000"/>
    <n v="25000"/>
    <n v="20000"/>
    <x v="10"/>
    <n v="0.2"/>
    <s v="Low Profit"/>
  </r>
  <r>
    <s v="O00187"/>
    <x v="146"/>
    <x v="3"/>
    <s v="C0144"/>
    <s v="P073"/>
    <n v="3"/>
    <x v="2"/>
    <x v="3"/>
    <x v="3"/>
    <x v="0"/>
    <n v="42000"/>
    <n v="50000"/>
    <n v="150000"/>
    <n v="126000"/>
    <x v="14"/>
    <n v="0.16"/>
    <s v="Low Profit"/>
  </r>
  <r>
    <s v="O00188"/>
    <x v="115"/>
    <x v="7"/>
    <s v="C0170"/>
    <s v="P027"/>
    <n v="2"/>
    <x v="12"/>
    <x v="2"/>
    <x v="3"/>
    <x v="0"/>
    <n v="42000"/>
    <n v="50000"/>
    <n v="100000"/>
    <n v="84000"/>
    <x v="23"/>
    <n v="0.16"/>
    <s v="Low Profit"/>
  </r>
  <r>
    <s v="O00189"/>
    <x v="24"/>
    <x v="11"/>
    <s v="C0093"/>
    <s v="P063"/>
    <n v="4"/>
    <x v="0"/>
    <x v="4"/>
    <x v="6"/>
    <x v="1"/>
    <n v="2000"/>
    <n v="3000"/>
    <n v="12000"/>
    <n v="8000"/>
    <x v="20"/>
    <n v="0.33333333333333331"/>
    <s v="High Profit"/>
  </r>
  <r>
    <s v="O00190"/>
    <x v="147"/>
    <x v="3"/>
    <s v="C0296"/>
    <s v="P011"/>
    <n v="2"/>
    <x v="10"/>
    <x v="6"/>
    <x v="4"/>
    <x v="1"/>
    <n v="900"/>
    <n v="1500"/>
    <n v="3000"/>
    <n v="1800"/>
    <x v="4"/>
    <n v="0.4"/>
    <s v="High Profit"/>
  </r>
  <r>
    <s v="O00191"/>
    <x v="48"/>
    <x v="1"/>
    <s v="C0053"/>
    <s v="P049"/>
    <n v="5"/>
    <x v="2"/>
    <x v="6"/>
    <x v="6"/>
    <x v="1"/>
    <n v="2000"/>
    <n v="3000"/>
    <n v="15000"/>
    <n v="10000"/>
    <x v="10"/>
    <n v="0.33333333333333331"/>
    <s v="High Profit"/>
  </r>
  <r>
    <s v="O00192"/>
    <x v="148"/>
    <x v="6"/>
    <s v="C8888"/>
    <s v="P012"/>
    <n v="2"/>
    <x v="7"/>
    <x v="8"/>
    <x v="4"/>
    <x v="1"/>
    <n v="900"/>
    <n v="1500"/>
    <n v="3000"/>
    <n v="1800"/>
    <x v="4"/>
    <n v="0.4"/>
    <s v="High Profit"/>
  </r>
  <r>
    <s v="O00193"/>
    <x v="149"/>
    <x v="7"/>
    <s v="C0057"/>
    <s v="P041"/>
    <n v="4"/>
    <x v="5"/>
    <x v="0"/>
    <x v="2"/>
    <x v="0"/>
    <n v="20000"/>
    <n v="25000"/>
    <n v="100000"/>
    <n v="80000"/>
    <x v="9"/>
    <n v="0.2"/>
    <s v="Low Profit"/>
  </r>
  <r>
    <s v="O00194"/>
    <x v="99"/>
    <x v="11"/>
    <s v="C0184"/>
    <s v="P035"/>
    <n v="4"/>
    <x v="2"/>
    <x v="6"/>
    <x v="1"/>
    <x v="1"/>
    <n v="9000"/>
    <n v="12000"/>
    <n v="48000"/>
    <n v="36000"/>
    <x v="1"/>
    <n v="0.25"/>
    <s v="High Profit"/>
  </r>
  <r>
    <s v="O00195"/>
    <x v="126"/>
    <x v="11"/>
    <s v="C0296"/>
    <s v="P085"/>
    <n v="5"/>
    <x v="10"/>
    <x v="6"/>
    <x v="4"/>
    <x v="1"/>
    <n v="900"/>
    <n v="1500"/>
    <n v="7500"/>
    <n v="4500"/>
    <x v="12"/>
    <n v="0.4"/>
    <s v="High Profit"/>
  </r>
  <r>
    <s v="O00196"/>
    <x v="23"/>
    <x v="2"/>
    <s v="C0128"/>
    <s v="P046"/>
    <n v="2"/>
    <x v="3"/>
    <x v="2"/>
    <x v="5"/>
    <x v="1"/>
    <n v="500"/>
    <n v="800"/>
    <n v="1600"/>
    <n v="1000"/>
    <x v="5"/>
    <n v="0.375"/>
    <s v="High Profit"/>
  </r>
  <r>
    <s v="O00197"/>
    <x v="150"/>
    <x v="7"/>
    <s v="C0108"/>
    <s v="P079"/>
    <n v="2"/>
    <x v="5"/>
    <x v="0"/>
    <x v="5"/>
    <x v="1"/>
    <n v="500"/>
    <n v="800"/>
    <n v="1600"/>
    <n v="1000"/>
    <x v="5"/>
    <n v="0.375"/>
    <s v="High Profit"/>
  </r>
  <r>
    <s v="O00198"/>
    <x v="2"/>
    <x v="2"/>
    <s v="C0040"/>
    <s v="P040"/>
    <n v="5"/>
    <x v="11"/>
    <x v="5"/>
    <x v="3"/>
    <x v="0"/>
    <n v="42000"/>
    <n v="50000"/>
    <n v="250000"/>
    <n v="210000"/>
    <x v="3"/>
    <n v="0.16"/>
    <s v="Low Profit"/>
  </r>
  <r>
    <s v="O00199"/>
    <x v="65"/>
    <x v="11"/>
    <s v="C0203"/>
    <s v="P036"/>
    <n v="1"/>
    <x v="12"/>
    <x v="0"/>
    <x v="2"/>
    <x v="0"/>
    <n v="20000"/>
    <n v="25000"/>
    <n v="25000"/>
    <n v="20000"/>
    <x v="10"/>
    <n v="0.2"/>
    <s v="Low Profit"/>
  </r>
  <r>
    <s v="O00200"/>
    <x v="151"/>
    <x v="2"/>
    <s v="C0203"/>
    <s v="P085"/>
    <n v="2"/>
    <x v="12"/>
    <x v="0"/>
    <x v="4"/>
    <x v="1"/>
    <n v="900"/>
    <n v="1500"/>
    <n v="3000"/>
    <n v="1800"/>
    <x v="4"/>
    <n v="0.4"/>
    <s v="High Profit"/>
  </r>
  <r>
    <s v="O00201"/>
    <x v="80"/>
    <x v="1"/>
    <s v="C0188"/>
    <s v="P061"/>
    <n v="2"/>
    <x v="1"/>
    <x v="3"/>
    <x v="0"/>
    <x v="0"/>
    <n v="12000"/>
    <n v="15000"/>
    <n v="30000"/>
    <n v="24000"/>
    <x v="0"/>
    <n v="0.2"/>
    <s v="Low Profit"/>
  </r>
  <r>
    <s v="O00202"/>
    <x v="152"/>
    <x v="10"/>
    <s v="C0091"/>
    <s v="P084"/>
    <n v="4"/>
    <x v="9"/>
    <x v="0"/>
    <x v="2"/>
    <x v="0"/>
    <n v="20000"/>
    <n v="25000"/>
    <n v="100000"/>
    <n v="80000"/>
    <x v="9"/>
    <n v="0.2"/>
    <s v="Low Profit"/>
  </r>
  <r>
    <s v="O00203"/>
    <x v="153"/>
    <x v="6"/>
    <s v="C0263"/>
    <s v="P068"/>
    <n v="1"/>
    <x v="8"/>
    <x v="8"/>
    <x v="1"/>
    <x v="1"/>
    <n v="9000"/>
    <n v="12000"/>
    <n v="12000"/>
    <n v="9000"/>
    <x v="12"/>
    <n v="0.25"/>
    <s v="High Profit"/>
  </r>
  <r>
    <s v="O00204"/>
    <x v="154"/>
    <x v="3"/>
    <s v="C0201"/>
    <s v="P052"/>
    <n v="3"/>
    <x v="11"/>
    <x v="5"/>
    <x v="5"/>
    <x v="1"/>
    <n v="500"/>
    <n v="800"/>
    <n v="2400"/>
    <n v="1500"/>
    <x v="19"/>
    <n v="0.375"/>
    <s v="High Profit"/>
  </r>
  <r>
    <s v="O00205"/>
    <x v="155"/>
    <x v="1"/>
    <s v="C0115"/>
    <s v="P021"/>
    <n v="5"/>
    <x v="0"/>
    <x v="4"/>
    <x v="2"/>
    <x v="0"/>
    <n v="20000"/>
    <n v="25000"/>
    <n v="125000"/>
    <n v="100000"/>
    <x v="15"/>
    <n v="0.2"/>
    <s v="Low Profit"/>
  </r>
  <r>
    <s v="O00206"/>
    <x v="92"/>
    <x v="0"/>
    <s v="C0204"/>
    <s v="P019"/>
    <n v="2"/>
    <x v="12"/>
    <x v="1"/>
    <x v="3"/>
    <x v="0"/>
    <n v="42000"/>
    <n v="50000"/>
    <n v="100000"/>
    <n v="84000"/>
    <x v="23"/>
    <n v="0.16"/>
    <s v="Low Profit"/>
  </r>
  <r>
    <s v="O00207"/>
    <x v="104"/>
    <x v="9"/>
    <s v="C0195"/>
    <s v="P018"/>
    <n v="3"/>
    <x v="12"/>
    <x v="6"/>
    <x v="3"/>
    <x v="0"/>
    <n v="42000"/>
    <n v="50000"/>
    <n v="150000"/>
    <n v="126000"/>
    <x v="14"/>
    <n v="0.16"/>
    <s v="Low Profit"/>
  </r>
  <r>
    <s v="O00208"/>
    <x v="139"/>
    <x v="8"/>
    <s v="C0056"/>
    <s v="P094"/>
    <n v="5"/>
    <x v="4"/>
    <x v="7"/>
    <x v="6"/>
    <x v="1"/>
    <n v="2000"/>
    <n v="3000"/>
    <n v="15000"/>
    <n v="10000"/>
    <x v="10"/>
    <n v="0.33333333333333331"/>
    <s v="High Profit"/>
  </r>
  <r>
    <s v="O00209"/>
    <x v="19"/>
    <x v="8"/>
    <s v="C0126"/>
    <s v="P005"/>
    <n v="4"/>
    <x v="0"/>
    <x v="4"/>
    <x v="5"/>
    <x v="1"/>
    <n v="500"/>
    <n v="800"/>
    <n v="3200"/>
    <n v="2000"/>
    <x v="4"/>
    <n v="0.375"/>
    <s v="High Profit"/>
  </r>
  <r>
    <s v="O00210"/>
    <x v="141"/>
    <x v="11"/>
    <s v="C0256"/>
    <s v="P050"/>
    <n v="2"/>
    <x v="11"/>
    <x v="5"/>
    <x v="5"/>
    <x v="1"/>
    <n v="500"/>
    <n v="800"/>
    <n v="1600"/>
    <n v="1000"/>
    <x v="5"/>
    <n v="0.375"/>
    <s v="High Profit"/>
  </r>
  <r>
    <s v="O00211"/>
    <x v="156"/>
    <x v="1"/>
    <s v="C0262"/>
    <s v="P081"/>
    <n v="4"/>
    <x v="4"/>
    <x v="4"/>
    <x v="7"/>
    <x v="0"/>
    <n v="15000"/>
    <n v="18000"/>
    <n v="72000"/>
    <n v="60000"/>
    <x v="1"/>
    <n v="0.16666666666666666"/>
    <s v="Low Profit"/>
  </r>
  <r>
    <s v="O00212"/>
    <x v="145"/>
    <x v="3"/>
    <s v="C0004"/>
    <s v="P024"/>
    <n v="4"/>
    <x v="3"/>
    <x v="5"/>
    <x v="5"/>
    <x v="1"/>
    <n v="500"/>
    <n v="800"/>
    <n v="3200"/>
    <n v="2000"/>
    <x v="4"/>
    <n v="0.375"/>
    <s v="High Profit"/>
  </r>
  <r>
    <s v="O00213"/>
    <x v="157"/>
    <x v="2"/>
    <s v="C0055"/>
    <s v="P034"/>
    <n v="2"/>
    <x v="11"/>
    <x v="6"/>
    <x v="4"/>
    <x v="1"/>
    <n v="900"/>
    <n v="1500"/>
    <n v="3000"/>
    <n v="1800"/>
    <x v="4"/>
    <n v="0.4"/>
    <s v="High Profit"/>
  </r>
  <r>
    <s v="O00214"/>
    <x v="158"/>
    <x v="11"/>
    <s v="C0047"/>
    <s v="P025"/>
    <n v="1"/>
    <x v="1"/>
    <x v="5"/>
    <x v="1"/>
    <x v="1"/>
    <n v="9000"/>
    <n v="12000"/>
    <n v="12000"/>
    <n v="9000"/>
    <x v="12"/>
    <n v="0.25"/>
    <s v="High Profit"/>
  </r>
  <r>
    <s v="O00215"/>
    <x v="159"/>
    <x v="0"/>
    <s v="C0079"/>
    <s v="P086"/>
    <n v="1"/>
    <x v="10"/>
    <x v="5"/>
    <x v="3"/>
    <x v="0"/>
    <n v="42000"/>
    <n v="50000"/>
    <n v="50000"/>
    <n v="42000"/>
    <x v="18"/>
    <n v="0.16"/>
    <s v="Low Profit"/>
  </r>
  <r>
    <s v="O00216"/>
    <x v="37"/>
    <x v="8"/>
    <s v="C0050"/>
    <s v="P038"/>
    <n v="1"/>
    <x v="11"/>
    <x v="7"/>
    <x v="7"/>
    <x v="0"/>
    <n v="15000"/>
    <n v="18000"/>
    <n v="18000"/>
    <n v="15000"/>
    <x v="12"/>
    <n v="0.16666666666666666"/>
    <s v="Low Profit"/>
  </r>
  <r>
    <s v="O00217"/>
    <x v="160"/>
    <x v="2"/>
    <s v="C0181"/>
    <s v="P030"/>
    <n v="1"/>
    <x v="12"/>
    <x v="0"/>
    <x v="2"/>
    <x v="0"/>
    <n v="20000"/>
    <n v="25000"/>
    <n v="25000"/>
    <n v="20000"/>
    <x v="10"/>
    <n v="0.2"/>
    <s v="Low Profit"/>
  </r>
  <r>
    <s v="O00218"/>
    <x v="82"/>
    <x v="4"/>
    <s v="C0181"/>
    <s v="P079"/>
    <n v="1"/>
    <x v="12"/>
    <x v="0"/>
    <x v="5"/>
    <x v="1"/>
    <n v="500"/>
    <n v="800"/>
    <n v="800"/>
    <n v="500"/>
    <x v="7"/>
    <n v="0.375"/>
    <s v="High Profit"/>
  </r>
  <r>
    <s v="O00219"/>
    <x v="92"/>
    <x v="0"/>
    <s v="C0163"/>
    <s v="P012"/>
    <n v="4"/>
    <x v="11"/>
    <x v="0"/>
    <x v="4"/>
    <x v="1"/>
    <n v="900"/>
    <n v="1500"/>
    <n v="6000"/>
    <n v="3600"/>
    <x v="17"/>
    <n v="0.4"/>
    <s v="High Profit"/>
  </r>
  <r>
    <s v="O00220"/>
    <x v="161"/>
    <x v="4"/>
    <s v="C0093"/>
    <s v="P081"/>
    <n v="2"/>
    <x v="0"/>
    <x v="4"/>
    <x v="7"/>
    <x v="0"/>
    <n v="15000"/>
    <n v="18000"/>
    <n v="36000"/>
    <n v="30000"/>
    <x v="0"/>
    <n v="0.16666666666666666"/>
    <s v="Low Profit"/>
  </r>
  <r>
    <s v="O00221"/>
    <x v="43"/>
    <x v="8"/>
    <s v="C0290"/>
    <s v="P061"/>
    <n v="5"/>
    <x v="0"/>
    <x v="4"/>
    <x v="0"/>
    <x v="0"/>
    <n v="12000"/>
    <n v="15000"/>
    <n v="75000"/>
    <n v="60000"/>
    <x v="6"/>
    <n v="0.2"/>
    <s v="Low Profit"/>
  </r>
  <r>
    <s v="O00222"/>
    <x v="162"/>
    <x v="0"/>
    <s v="C0175"/>
    <s v="P044"/>
    <n v="5"/>
    <x v="2"/>
    <x v="3"/>
    <x v="3"/>
    <x v="0"/>
    <n v="42000"/>
    <n v="50000"/>
    <n v="250000"/>
    <n v="210000"/>
    <x v="3"/>
    <n v="0.16"/>
    <s v="Low Profit"/>
  </r>
  <r>
    <s v="O00223"/>
    <x v="163"/>
    <x v="9"/>
    <s v="C0097"/>
    <s v="P060"/>
    <n v="3"/>
    <x v="6"/>
    <x v="1"/>
    <x v="5"/>
    <x v="1"/>
    <n v="500"/>
    <n v="800"/>
    <n v="2400"/>
    <n v="1500"/>
    <x v="19"/>
    <n v="0.375"/>
    <s v="High Profit"/>
  </r>
  <r>
    <s v="O00224"/>
    <x v="164"/>
    <x v="8"/>
    <s v="C0031"/>
    <s v="P030"/>
    <n v="4"/>
    <x v="4"/>
    <x v="6"/>
    <x v="2"/>
    <x v="0"/>
    <n v="20000"/>
    <n v="25000"/>
    <n v="100000"/>
    <n v="80000"/>
    <x v="9"/>
    <n v="0.2"/>
    <s v="Low Profit"/>
  </r>
  <r>
    <s v="O00225"/>
    <x v="165"/>
    <x v="11"/>
    <s v="C9999"/>
    <s v="P041"/>
    <n v="1"/>
    <x v="7"/>
    <x v="8"/>
    <x v="2"/>
    <x v="0"/>
    <n v="20000"/>
    <n v="25000"/>
    <n v="25000"/>
    <n v="20000"/>
    <x v="10"/>
    <n v="0.2"/>
    <s v="Low Profit"/>
  </r>
  <r>
    <s v="O00226"/>
    <x v="166"/>
    <x v="11"/>
    <s v="C0091"/>
    <s v="P027"/>
    <n v="2"/>
    <x v="9"/>
    <x v="0"/>
    <x v="3"/>
    <x v="0"/>
    <n v="42000"/>
    <n v="50000"/>
    <n v="100000"/>
    <n v="84000"/>
    <x v="23"/>
    <n v="0.16"/>
    <s v="Low Profit"/>
  </r>
  <r>
    <s v="O00227"/>
    <x v="138"/>
    <x v="10"/>
    <s v="C0059"/>
    <s v="P059"/>
    <n v="1"/>
    <x v="0"/>
    <x v="3"/>
    <x v="4"/>
    <x v="1"/>
    <n v="900"/>
    <n v="1500"/>
    <n v="1500"/>
    <n v="900"/>
    <x v="5"/>
    <n v="0.4"/>
    <s v="High Profit"/>
  </r>
  <r>
    <s v="O00228"/>
    <x v="167"/>
    <x v="2"/>
    <s v="C0194"/>
    <s v="P070"/>
    <n v="5"/>
    <x v="3"/>
    <x v="8"/>
    <x v="3"/>
    <x v="0"/>
    <n v="42000"/>
    <n v="50000"/>
    <n v="250000"/>
    <n v="210000"/>
    <x v="3"/>
    <n v="0.16"/>
    <s v="Low Profit"/>
  </r>
  <r>
    <s v="O00229"/>
    <x v="130"/>
    <x v="1"/>
    <s v="C0120"/>
    <s v="P072"/>
    <n v="5"/>
    <x v="11"/>
    <x v="1"/>
    <x v="2"/>
    <x v="0"/>
    <n v="20000"/>
    <n v="25000"/>
    <n v="125000"/>
    <n v="100000"/>
    <x v="15"/>
    <n v="0.2"/>
    <s v="Low Profit"/>
  </r>
  <r>
    <s v="O00230"/>
    <x v="110"/>
    <x v="9"/>
    <s v="C0066"/>
    <s v="P039"/>
    <n v="5"/>
    <x v="1"/>
    <x v="1"/>
    <x v="1"/>
    <x v="1"/>
    <n v="9000"/>
    <n v="12000"/>
    <n v="60000"/>
    <n v="45000"/>
    <x v="6"/>
    <n v="0.25"/>
    <s v="High Profit"/>
  </r>
  <r>
    <s v="O00231"/>
    <x v="37"/>
    <x v="8"/>
    <s v="C0020"/>
    <s v="P083"/>
    <n v="4"/>
    <x v="0"/>
    <x v="0"/>
    <x v="7"/>
    <x v="0"/>
    <n v="15000"/>
    <n v="18000"/>
    <n v="72000"/>
    <n v="60000"/>
    <x v="1"/>
    <n v="0.16666666666666666"/>
    <s v="Low Profit"/>
  </r>
  <r>
    <s v="O00232"/>
    <x v="168"/>
    <x v="0"/>
    <s v="C0047"/>
    <s v="P074"/>
    <n v="5"/>
    <x v="1"/>
    <x v="5"/>
    <x v="4"/>
    <x v="1"/>
    <n v="900"/>
    <n v="1500"/>
    <n v="7500"/>
    <n v="4500"/>
    <x v="12"/>
    <n v="0.4"/>
    <s v="High Profit"/>
  </r>
  <r>
    <s v="O00233"/>
    <x v="36"/>
    <x v="0"/>
    <s v="C0014"/>
    <s v="P010"/>
    <n v="2"/>
    <x v="0"/>
    <x v="1"/>
    <x v="1"/>
    <x v="1"/>
    <n v="9000"/>
    <n v="12000"/>
    <n v="24000"/>
    <n v="18000"/>
    <x v="0"/>
    <n v="0.25"/>
    <s v="High Profit"/>
  </r>
  <r>
    <s v="O00234"/>
    <x v="102"/>
    <x v="5"/>
    <s v="C0169"/>
    <s v="P088"/>
    <n v="1"/>
    <x v="10"/>
    <x v="6"/>
    <x v="5"/>
    <x v="1"/>
    <n v="500"/>
    <n v="800"/>
    <n v="800"/>
    <n v="500"/>
    <x v="7"/>
    <n v="0.375"/>
    <s v="High Profit"/>
  </r>
  <r>
    <s v="O00235"/>
    <x v="160"/>
    <x v="2"/>
    <s v="C0166"/>
    <s v="P040"/>
    <n v="4"/>
    <x v="1"/>
    <x v="3"/>
    <x v="3"/>
    <x v="0"/>
    <n v="42000"/>
    <n v="50000"/>
    <n v="200000"/>
    <n v="168000"/>
    <x v="8"/>
    <n v="0.16"/>
    <s v="Low Profit"/>
  </r>
  <r>
    <s v="O00236"/>
    <x v="169"/>
    <x v="8"/>
    <s v="C0209"/>
    <s v="P070"/>
    <n v="2"/>
    <x v="10"/>
    <x v="6"/>
    <x v="3"/>
    <x v="0"/>
    <n v="42000"/>
    <n v="50000"/>
    <n v="100000"/>
    <n v="84000"/>
    <x v="23"/>
    <n v="0.16"/>
    <s v="Low Profit"/>
  </r>
  <r>
    <s v="O00237"/>
    <x v="170"/>
    <x v="4"/>
    <s v="C0149"/>
    <s v="P077"/>
    <n v="4"/>
    <x v="8"/>
    <x v="1"/>
    <x v="2"/>
    <x v="0"/>
    <n v="20000"/>
    <n v="25000"/>
    <n v="100000"/>
    <n v="80000"/>
    <x v="9"/>
    <n v="0.2"/>
    <s v="Low Profit"/>
  </r>
  <r>
    <s v="O00238"/>
    <x v="171"/>
    <x v="1"/>
    <s v="C0233"/>
    <s v="P051"/>
    <n v="3"/>
    <x v="2"/>
    <x v="0"/>
    <x v="6"/>
    <x v="1"/>
    <n v="2000"/>
    <n v="3000"/>
    <n v="9000"/>
    <n v="6000"/>
    <x v="12"/>
    <n v="0.33333333333333331"/>
    <s v="High Profit"/>
  </r>
  <r>
    <s v="O00239"/>
    <x v="172"/>
    <x v="6"/>
    <s v="C0005"/>
    <s v="P021"/>
    <n v="4"/>
    <x v="0"/>
    <x v="1"/>
    <x v="2"/>
    <x v="0"/>
    <n v="20000"/>
    <n v="25000"/>
    <n v="100000"/>
    <n v="80000"/>
    <x v="9"/>
    <n v="0.2"/>
    <s v="Low Profit"/>
  </r>
  <r>
    <s v="O00240"/>
    <x v="14"/>
    <x v="8"/>
    <s v="C0070"/>
    <s v="P048"/>
    <n v="4"/>
    <x v="6"/>
    <x v="2"/>
    <x v="7"/>
    <x v="0"/>
    <n v="15000"/>
    <n v="18000"/>
    <n v="72000"/>
    <n v="60000"/>
    <x v="1"/>
    <n v="0.16666666666666666"/>
    <s v="Low Profit"/>
  </r>
  <r>
    <s v="O00241"/>
    <x v="173"/>
    <x v="5"/>
    <s v="C0286"/>
    <s v="P091"/>
    <n v="3"/>
    <x v="12"/>
    <x v="2"/>
    <x v="1"/>
    <x v="1"/>
    <n v="9000"/>
    <n v="12000"/>
    <n v="36000"/>
    <n v="27000"/>
    <x v="11"/>
    <n v="0.25"/>
    <s v="High Profit"/>
  </r>
  <r>
    <s v="O00242"/>
    <x v="174"/>
    <x v="7"/>
    <s v="C0003"/>
    <s v="P021"/>
    <n v="3"/>
    <x v="12"/>
    <x v="5"/>
    <x v="2"/>
    <x v="0"/>
    <n v="20000"/>
    <n v="25000"/>
    <n v="75000"/>
    <n v="60000"/>
    <x v="6"/>
    <n v="0.2"/>
    <s v="Low Profit"/>
  </r>
  <r>
    <s v="O00243"/>
    <x v="72"/>
    <x v="1"/>
    <s v="C0237"/>
    <s v="P081"/>
    <n v="3"/>
    <x v="4"/>
    <x v="1"/>
    <x v="7"/>
    <x v="0"/>
    <n v="15000"/>
    <n v="18000"/>
    <n v="54000"/>
    <n v="45000"/>
    <x v="11"/>
    <n v="0.16666666666666666"/>
    <s v="Low Profit"/>
  </r>
  <r>
    <s v="O00244"/>
    <x v="175"/>
    <x v="4"/>
    <s v="C0054"/>
    <s v="P068"/>
    <n v="5"/>
    <x v="4"/>
    <x v="3"/>
    <x v="1"/>
    <x v="1"/>
    <n v="9000"/>
    <n v="12000"/>
    <n v="60000"/>
    <n v="45000"/>
    <x v="6"/>
    <n v="0.25"/>
    <s v="High Profit"/>
  </r>
  <r>
    <s v="O00245"/>
    <x v="57"/>
    <x v="5"/>
    <s v="C0114"/>
    <s v="P041"/>
    <n v="4"/>
    <x v="0"/>
    <x v="1"/>
    <x v="2"/>
    <x v="0"/>
    <n v="20000"/>
    <n v="25000"/>
    <n v="100000"/>
    <n v="80000"/>
    <x v="9"/>
    <n v="0.2"/>
    <s v="Low Profit"/>
  </r>
  <r>
    <s v="O00246"/>
    <x v="176"/>
    <x v="11"/>
    <s v="C0285"/>
    <s v="P046"/>
    <n v="3"/>
    <x v="9"/>
    <x v="4"/>
    <x v="5"/>
    <x v="1"/>
    <n v="500"/>
    <n v="800"/>
    <n v="2400"/>
    <n v="1500"/>
    <x v="19"/>
    <n v="0.375"/>
    <s v="High Profit"/>
  </r>
  <r>
    <s v="O00247"/>
    <x v="177"/>
    <x v="0"/>
    <s v="C0193"/>
    <s v="P044"/>
    <n v="3"/>
    <x v="1"/>
    <x v="5"/>
    <x v="3"/>
    <x v="0"/>
    <n v="42000"/>
    <n v="50000"/>
    <n v="150000"/>
    <n v="126000"/>
    <x v="14"/>
    <n v="0.16"/>
    <s v="Low Profit"/>
  </r>
  <r>
    <s v="O00248"/>
    <x v="113"/>
    <x v="2"/>
    <s v="C0297"/>
    <s v="P011"/>
    <n v="2"/>
    <x v="3"/>
    <x v="0"/>
    <x v="4"/>
    <x v="1"/>
    <n v="900"/>
    <n v="1500"/>
    <n v="3000"/>
    <n v="1800"/>
    <x v="4"/>
    <n v="0.4"/>
    <s v="High Profit"/>
  </r>
  <r>
    <s v="O00249"/>
    <x v="120"/>
    <x v="6"/>
    <s v="C0041"/>
    <s v="P008"/>
    <n v="1"/>
    <x v="3"/>
    <x v="0"/>
    <x v="7"/>
    <x v="0"/>
    <n v="15000"/>
    <n v="18000"/>
    <n v="18000"/>
    <n v="15000"/>
    <x v="12"/>
    <n v="0.16666666666666666"/>
    <s v="Low Profit"/>
  </r>
  <r>
    <s v="O00250"/>
    <x v="120"/>
    <x v="6"/>
    <s v="C0242"/>
    <s v="P011"/>
    <n v="5"/>
    <x v="3"/>
    <x v="5"/>
    <x v="4"/>
    <x v="1"/>
    <n v="900"/>
    <n v="1500"/>
    <n v="7500"/>
    <n v="4500"/>
    <x v="12"/>
    <n v="0.4"/>
    <s v="High Profit"/>
  </r>
  <r>
    <s v="O00251"/>
    <x v="178"/>
    <x v="6"/>
    <s v="C0256"/>
    <s v="P070"/>
    <n v="5"/>
    <x v="11"/>
    <x v="5"/>
    <x v="3"/>
    <x v="0"/>
    <n v="42000"/>
    <n v="50000"/>
    <n v="250000"/>
    <n v="210000"/>
    <x v="3"/>
    <n v="0.16"/>
    <s v="Low Profit"/>
  </r>
  <r>
    <s v="O00252"/>
    <x v="142"/>
    <x v="10"/>
    <s v="C0139"/>
    <s v="P079"/>
    <n v="1"/>
    <x v="1"/>
    <x v="6"/>
    <x v="5"/>
    <x v="1"/>
    <n v="500"/>
    <n v="800"/>
    <n v="800"/>
    <n v="500"/>
    <x v="7"/>
    <n v="0.375"/>
    <s v="High Profit"/>
  </r>
  <r>
    <s v="O00253"/>
    <x v="27"/>
    <x v="10"/>
    <s v="C0104"/>
    <s v="P059"/>
    <n v="3"/>
    <x v="8"/>
    <x v="2"/>
    <x v="4"/>
    <x v="1"/>
    <n v="900"/>
    <n v="1500"/>
    <n v="4500"/>
    <n v="2700"/>
    <x v="13"/>
    <n v="0.4"/>
    <s v="High Profit"/>
  </r>
  <r>
    <s v="O00254"/>
    <x v="19"/>
    <x v="8"/>
    <s v="C8888"/>
    <s v="P081"/>
    <n v="2"/>
    <x v="7"/>
    <x v="8"/>
    <x v="7"/>
    <x v="0"/>
    <n v="15000"/>
    <n v="18000"/>
    <n v="36000"/>
    <n v="30000"/>
    <x v="0"/>
    <n v="0.16666666666666666"/>
    <s v="Low Profit"/>
  </r>
  <r>
    <s v="O00255"/>
    <x v="163"/>
    <x v="9"/>
    <s v="C0023"/>
    <s v="P050"/>
    <n v="5"/>
    <x v="6"/>
    <x v="6"/>
    <x v="5"/>
    <x v="1"/>
    <n v="500"/>
    <n v="800"/>
    <n v="4000"/>
    <n v="2500"/>
    <x v="16"/>
    <n v="0.375"/>
    <s v="High Profit"/>
  </r>
  <r>
    <s v="O00256"/>
    <x v="179"/>
    <x v="9"/>
    <s v="C0189"/>
    <s v="P045"/>
    <n v="3"/>
    <x v="2"/>
    <x v="0"/>
    <x v="4"/>
    <x v="1"/>
    <n v="900"/>
    <n v="1500"/>
    <n v="4500"/>
    <n v="2700"/>
    <x v="13"/>
    <n v="0.4"/>
    <s v="High Profit"/>
  </r>
  <r>
    <s v="O00257"/>
    <x v="180"/>
    <x v="10"/>
    <s v="C0141"/>
    <s v="P072"/>
    <n v="3"/>
    <x v="6"/>
    <x v="6"/>
    <x v="2"/>
    <x v="0"/>
    <n v="20000"/>
    <n v="25000"/>
    <n v="75000"/>
    <n v="60000"/>
    <x v="6"/>
    <n v="0.2"/>
    <s v="Low Profit"/>
  </r>
  <r>
    <s v="O00258"/>
    <x v="181"/>
    <x v="0"/>
    <s v="C0113"/>
    <s v="P054"/>
    <n v="4"/>
    <x v="12"/>
    <x v="2"/>
    <x v="4"/>
    <x v="1"/>
    <n v="900"/>
    <n v="1500"/>
    <n v="6000"/>
    <n v="3600"/>
    <x v="17"/>
    <n v="0.4"/>
    <s v="High Profit"/>
  </r>
  <r>
    <s v="O00259"/>
    <x v="182"/>
    <x v="9"/>
    <s v="C0225"/>
    <s v="P015"/>
    <n v="5"/>
    <x v="4"/>
    <x v="8"/>
    <x v="0"/>
    <x v="0"/>
    <n v="12000"/>
    <n v="15000"/>
    <n v="75000"/>
    <n v="60000"/>
    <x v="6"/>
    <n v="0.2"/>
    <s v="Low Profit"/>
  </r>
  <r>
    <s v="O00260"/>
    <x v="126"/>
    <x v="11"/>
    <s v="C0164"/>
    <s v="P003"/>
    <n v="1"/>
    <x v="4"/>
    <x v="2"/>
    <x v="4"/>
    <x v="1"/>
    <n v="900"/>
    <n v="1500"/>
    <n v="1500"/>
    <n v="900"/>
    <x v="5"/>
    <n v="0.4"/>
    <s v="High Profit"/>
  </r>
  <r>
    <s v="O00261"/>
    <x v="183"/>
    <x v="1"/>
    <s v="C0126"/>
    <s v="P098"/>
    <n v="3"/>
    <x v="0"/>
    <x v="4"/>
    <x v="1"/>
    <x v="1"/>
    <n v="9000"/>
    <n v="12000"/>
    <n v="36000"/>
    <n v="27000"/>
    <x v="11"/>
    <n v="0.25"/>
    <s v="High Profit"/>
  </r>
  <r>
    <s v="O00262"/>
    <x v="84"/>
    <x v="10"/>
    <s v="C0279"/>
    <s v="P074"/>
    <n v="5"/>
    <x v="9"/>
    <x v="4"/>
    <x v="4"/>
    <x v="1"/>
    <n v="900"/>
    <n v="1500"/>
    <n v="7500"/>
    <n v="4500"/>
    <x v="12"/>
    <n v="0.4"/>
    <s v="High Profit"/>
  </r>
  <r>
    <s v="O00263"/>
    <x v="68"/>
    <x v="0"/>
    <s v="C0095"/>
    <s v="P039"/>
    <n v="2"/>
    <x v="5"/>
    <x v="5"/>
    <x v="1"/>
    <x v="1"/>
    <n v="9000"/>
    <n v="12000"/>
    <n v="24000"/>
    <n v="18000"/>
    <x v="0"/>
    <n v="0.25"/>
    <s v="High Profit"/>
  </r>
  <r>
    <s v="O00264"/>
    <x v="184"/>
    <x v="11"/>
    <s v="C0078"/>
    <s v="P029"/>
    <n v="4"/>
    <x v="5"/>
    <x v="1"/>
    <x v="6"/>
    <x v="1"/>
    <n v="2000"/>
    <n v="3000"/>
    <n v="12000"/>
    <n v="8000"/>
    <x v="20"/>
    <n v="0.33333333333333331"/>
    <s v="High Profit"/>
  </r>
  <r>
    <s v="O00265"/>
    <x v="185"/>
    <x v="3"/>
    <s v="C0081"/>
    <s v="P098"/>
    <n v="4"/>
    <x v="3"/>
    <x v="7"/>
    <x v="1"/>
    <x v="1"/>
    <n v="9000"/>
    <n v="12000"/>
    <n v="48000"/>
    <n v="36000"/>
    <x v="1"/>
    <n v="0.25"/>
    <s v="High Profit"/>
  </r>
  <r>
    <s v="O00266"/>
    <x v="186"/>
    <x v="10"/>
    <s v="C0021"/>
    <s v="P045"/>
    <n v="5"/>
    <x v="11"/>
    <x v="6"/>
    <x v="4"/>
    <x v="1"/>
    <n v="900"/>
    <n v="1500"/>
    <n v="7500"/>
    <n v="4500"/>
    <x v="12"/>
    <n v="0.4"/>
    <s v="High Profit"/>
  </r>
  <r>
    <s v="O00267"/>
    <x v="146"/>
    <x v="3"/>
    <s v="C0037"/>
    <s v="P084"/>
    <n v="3"/>
    <x v="0"/>
    <x v="7"/>
    <x v="2"/>
    <x v="0"/>
    <n v="20000"/>
    <n v="25000"/>
    <n v="75000"/>
    <n v="60000"/>
    <x v="6"/>
    <n v="0.2"/>
    <s v="Low Profit"/>
  </r>
  <r>
    <s v="O00268"/>
    <x v="187"/>
    <x v="11"/>
    <s v="C0278"/>
    <s v="P030"/>
    <n v="3"/>
    <x v="10"/>
    <x v="0"/>
    <x v="2"/>
    <x v="0"/>
    <n v="20000"/>
    <n v="25000"/>
    <n v="75000"/>
    <n v="60000"/>
    <x v="6"/>
    <n v="0.2"/>
    <s v="Low Profit"/>
  </r>
  <r>
    <s v="O00269"/>
    <x v="188"/>
    <x v="1"/>
    <s v="C0203"/>
    <s v="P013"/>
    <n v="1"/>
    <x v="12"/>
    <x v="0"/>
    <x v="1"/>
    <x v="1"/>
    <n v="9000"/>
    <n v="12000"/>
    <n v="12000"/>
    <n v="9000"/>
    <x v="12"/>
    <n v="0.25"/>
    <s v="High Profit"/>
  </r>
  <r>
    <s v="O00270"/>
    <x v="183"/>
    <x v="1"/>
    <s v="C0067"/>
    <s v="P030"/>
    <n v="3"/>
    <x v="8"/>
    <x v="8"/>
    <x v="2"/>
    <x v="0"/>
    <n v="20000"/>
    <n v="25000"/>
    <n v="75000"/>
    <n v="60000"/>
    <x v="6"/>
    <n v="0.2"/>
    <s v="Low Profit"/>
  </r>
  <r>
    <s v="O00271"/>
    <x v="189"/>
    <x v="5"/>
    <s v="C0070"/>
    <s v="P018"/>
    <n v="4"/>
    <x v="6"/>
    <x v="2"/>
    <x v="3"/>
    <x v="0"/>
    <n v="42000"/>
    <n v="50000"/>
    <n v="200000"/>
    <n v="168000"/>
    <x v="8"/>
    <n v="0.16"/>
    <s v="Low Profit"/>
  </r>
  <r>
    <s v="O00272"/>
    <x v="129"/>
    <x v="4"/>
    <s v="C0177"/>
    <s v="P053"/>
    <n v="5"/>
    <x v="4"/>
    <x v="1"/>
    <x v="3"/>
    <x v="0"/>
    <n v="42000"/>
    <n v="50000"/>
    <n v="250000"/>
    <n v="210000"/>
    <x v="3"/>
    <n v="0.16"/>
    <s v="Low Profit"/>
  </r>
  <r>
    <s v="O00273"/>
    <x v="190"/>
    <x v="2"/>
    <s v="C0201"/>
    <s v="P032"/>
    <n v="2"/>
    <x v="11"/>
    <x v="5"/>
    <x v="2"/>
    <x v="0"/>
    <n v="20000"/>
    <n v="25000"/>
    <n v="50000"/>
    <n v="40000"/>
    <x v="2"/>
    <n v="0.2"/>
    <s v="Low Profit"/>
  </r>
  <r>
    <s v="O00274"/>
    <x v="184"/>
    <x v="11"/>
    <s v="C0027"/>
    <s v="P033"/>
    <n v="3"/>
    <x v="8"/>
    <x v="6"/>
    <x v="3"/>
    <x v="0"/>
    <n v="42000"/>
    <n v="50000"/>
    <n v="150000"/>
    <n v="126000"/>
    <x v="14"/>
    <n v="0.16"/>
    <s v="Low Profit"/>
  </r>
  <r>
    <s v="O00275"/>
    <x v="191"/>
    <x v="7"/>
    <s v="C0207"/>
    <s v="P087"/>
    <n v="4"/>
    <x v="11"/>
    <x v="1"/>
    <x v="1"/>
    <x v="1"/>
    <n v="9000"/>
    <n v="12000"/>
    <n v="48000"/>
    <n v="36000"/>
    <x v="1"/>
    <n v="0.25"/>
    <s v="High Profit"/>
  </r>
  <r>
    <s v="O00276"/>
    <x v="74"/>
    <x v="0"/>
    <s v="C0057"/>
    <s v="P012"/>
    <n v="1"/>
    <x v="5"/>
    <x v="0"/>
    <x v="4"/>
    <x v="1"/>
    <n v="900"/>
    <n v="1500"/>
    <n v="1500"/>
    <n v="900"/>
    <x v="5"/>
    <n v="0.4"/>
    <s v="High Profit"/>
  </r>
  <r>
    <s v="O00277"/>
    <x v="141"/>
    <x v="11"/>
    <s v="C0135"/>
    <s v="P026"/>
    <n v="2"/>
    <x v="8"/>
    <x v="1"/>
    <x v="1"/>
    <x v="1"/>
    <n v="9000"/>
    <n v="12000"/>
    <n v="24000"/>
    <n v="18000"/>
    <x v="0"/>
    <n v="0.25"/>
    <s v="High Profit"/>
  </r>
  <r>
    <s v="O00278"/>
    <x v="187"/>
    <x v="11"/>
    <s v="C0018"/>
    <s v="P062"/>
    <n v="3"/>
    <x v="11"/>
    <x v="5"/>
    <x v="5"/>
    <x v="1"/>
    <n v="500"/>
    <n v="800"/>
    <n v="2400"/>
    <n v="1500"/>
    <x v="19"/>
    <n v="0.375"/>
    <s v="High Profit"/>
  </r>
  <r>
    <s v="O00279"/>
    <x v="186"/>
    <x v="10"/>
    <s v="C0090"/>
    <s v="P098"/>
    <n v="5"/>
    <x v="2"/>
    <x v="1"/>
    <x v="1"/>
    <x v="1"/>
    <n v="9000"/>
    <n v="12000"/>
    <n v="60000"/>
    <n v="45000"/>
    <x v="6"/>
    <n v="0.25"/>
    <s v="High Profit"/>
  </r>
  <r>
    <s v="O00280"/>
    <x v="192"/>
    <x v="10"/>
    <s v="C0059"/>
    <s v="P061"/>
    <n v="4"/>
    <x v="0"/>
    <x v="3"/>
    <x v="0"/>
    <x v="0"/>
    <n v="12000"/>
    <n v="15000"/>
    <n v="60000"/>
    <n v="48000"/>
    <x v="1"/>
    <n v="0.2"/>
    <s v="Low Profit"/>
  </r>
  <r>
    <s v="O00281"/>
    <x v="60"/>
    <x v="4"/>
    <s v="C0241"/>
    <s v="P004"/>
    <n v="1"/>
    <x v="0"/>
    <x v="0"/>
    <x v="7"/>
    <x v="0"/>
    <n v="15000"/>
    <n v="18000"/>
    <n v="18000"/>
    <n v="15000"/>
    <x v="12"/>
    <n v="0.16666666666666666"/>
    <s v="Low Profit"/>
  </r>
  <r>
    <s v="O00282"/>
    <x v="55"/>
    <x v="1"/>
    <s v="C0163"/>
    <s v="P015"/>
    <n v="3"/>
    <x v="11"/>
    <x v="0"/>
    <x v="0"/>
    <x v="0"/>
    <n v="12000"/>
    <n v="15000"/>
    <n v="45000"/>
    <n v="36000"/>
    <x v="11"/>
    <n v="0.2"/>
    <s v="Low Profit"/>
  </r>
  <r>
    <s v="O00283"/>
    <x v="193"/>
    <x v="11"/>
    <s v="C8888"/>
    <s v="P018"/>
    <n v="2"/>
    <x v="7"/>
    <x v="8"/>
    <x v="3"/>
    <x v="0"/>
    <n v="42000"/>
    <n v="50000"/>
    <n v="100000"/>
    <n v="84000"/>
    <x v="23"/>
    <n v="0.16"/>
    <s v="Low Profit"/>
  </r>
  <r>
    <s v="O00284"/>
    <x v="194"/>
    <x v="2"/>
    <s v="C0148"/>
    <s v="P095"/>
    <n v="4"/>
    <x v="10"/>
    <x v="1"/>
    <x v="2"/>
    <x v="0"/>
    <n v="20000"/>
    <n v="25000"/>
    <n v="100000"/>
    <n v="80000"/>
    <x v="9"/>
    <n v="0.2"/>
    <s v="Low Profit"/>
  </r>
  <r>
    <s v="O00285"/>
    <x v="172"/>
    <x v="6"/>
    <s v="C0002"/>
    <s v="P081"/>
    <n v="2"/>
    <x v="4"/>
    <x v="5"/>
    <x v="7"/>
    <x v="0"/>
    <n v="15000"/>
    <n v="18000"/>
    <n v="36000"/>
    <n v="30000"/>
    <x v="0"/>
    <n v="0.16666666666666666"/>
    <s v="Low Profit"/>
  </r>
  <r>
    <s v="O00286"/>
    <x v="195"/>
    <x v="9"/>
    <s v="C0215"/>
    <s v="P057"/>
    <n v="4"/>
    <x v="5"/>
    <x v="5"/>
    <x v="3"/>
    <x v="0"/>
    <n v="42000"/>
    <n v="50000"/>
    <n v="200000"/>
    <n v="168000"/>
    <x v="8"/>
    <n v="0.16"/>
    <s v="Low Profit"/>
  </r>
  <r>
    <s v="O00287"/>
    <x v="44"/>
    <x v="9"/>
    <s v="C0120"/>
    <s v="P037"/>
    <n v="5"/>
    <x v="11"/>
    <x v="1"/>
    <x v="0"/>
    <x v="0"/>
    <n v="12000"/>
    <n v="15000"/>
    <n v="75000"/>
    <n v="60000"/>
    <x v="6"/>
    <n v="0.2"/>
    <s v="Low Profit"/>
  </r>
  <r>
    <s v="O00288"/>
    <x v="196"/>
    <x v="6"/>
    <s v="C0080"/>
    <s v="P029"/>
    <n v="4"/>
    <x v="8"/>
    <x v="0"/>
    <x v="6"/>
    <x v="1"/>
    <n v="2000"/>
    <n v="3000"/>
    <n v="12000"/>
    <n v="8000"/>
    <x v="20"/>
    <n v="0.33333333333333331"/>
    <s v="High Profit"/>
  </r>
  <r>
    <s v="O00289"/>
    <x v="83"/>
    <x v="11"/>
    <s v="C0161"/>
    <s v="P056"/>
    <n v="1"/>
    <x v="11"/>
    <x v="1"/>
    <x v="6"/>
    <x v="1"/>
    <n v="2000"/>
    <n v="3000"/>
    <n v="3000"/>
    <n v="2000"/>
    <x v="21"/>
    <n v="0.33333333333333331"/>
    <s v="High Profit"/>
  </r>
  <r>
    <s v="O00290"/>
    <x v="197"/>
    <x v="4"/>
    <s v="C0129"/>
    <s v="P011"/>
    <n v="5"/>
    <x v="9"/>
    <x v="7"/>
    <x v="4"/>
    <x v="1"/>
    <n v="900"/>
    <n v="1500"/>
    <n v="7500"/>
    <n v="4500"/>
    <x v="12"/>
    <n v="0.4"/>
    <s v="High Profit"/>
  </r>
  <r>
    <s v="O00291"/>
    <x v="14"/>
    <x v="8"/>
    <s v="C0133"/>
    <s v="P035"/>
    <n v="4"/>
    <x v="0"/>
    <x v="0"/>
    <x v="1"/>
    <x v="1"/>
    <n v="9000"/>
    <n v="12000"/>
    <n v="48000"/>
    <n v="36000"/>
    <x v="1"/>
    <n v="0.25"/>
    <s v="High Profit"/>
  </r>
  <r>
    <s v="O00292"/>
    <x v="12"/>
    <x v="4"/>
    <s v="C0226"/>
    <s v="P036"/>
    <n v="1"/>
    <x v="8"/>
    <x v="3"/>
    <x v="2"/>
    <x v="0"/>
    <n v="20000"/>
    <n v="25000"/>
    <n v="25000"/>
    <n v="20000"/>
    <x v="10"/>
    <n v="0.2"/>
    <s v="Low Profit"/>
  </r>
  <r>
    <s v="O00293"/>
    <x v="183"/>
    <x v="1"/>
    <s v="C0241"/>
    <s v="P099"/>
    <n v="3"/>
    <x v="0"/>
    <x v="0"/>
    <x v="4"/>
    <x v="1"/>
    <n v="900"/>
    <n v="1500"/>
    <n v="4500"/>
    <n v="2700"/>
    <x v="13"/>
    <n v="0.4"/>
    <s v="High Profit"/>
  </r>
  <r>
    <s v="O00294"/>
    <x v="198"/>
    <x v="0"/>
    <s v="C0095"/>
    <s v="P045"/>
    <n v="5"/>
    <x v="5"/>
    <x v="5"/>
    <x v="4"/>
    <x v="1"/>
    <n v="900"/>
    <n v="1500"/>
    <n v="7500"/>
    <n v="4500"/>
    <x v="12"/>
    <n v="0.4"/>
    <s v="High Profit"/>
  </r>
  <r>
    <s v="O00295"/>
    <x v="76"/>
    <x v="11"/>
    <s v="C0104"/>
    <s v="P017"/>
    <n v="4"/>
    <x v="8"/>
    <x v="2"/>
    <x v="4"/>
    <x v="1"/>
    <n v="900"/>
    <n v="1500"/>
    <n v="6000"/>
    <n v="3600"/>
    <x v="17"/>
    <n v="0.4"/>
    <s v="High Profit"/>
  </r>
  <r>
    <s v="O00296"/>
    <x v="199"/>
    <x v="6"/>
    <s v="C0088"/>
    <s v="P024"/>
    <n v="3"/>
    <x v="12"/>
    <x v="3"/>
    <x v="5"/>
    <x v="1"/>
    <n v="500"/>
    <n v="800"/>
    <n v="2400"/>
    <n v="1500"/>
    <x v="19"/>
    <n v="0.375"/>
    <s v="High Profit"/>
  </r>
  <r>
    <s v="O00297"/>
    <x v="24"/>
    <x v="11"/>
    <s v="C0059"/>
    <s v="P091"/>
    <n v="3"/>
    <x v="0"/>
    <x v="3"/>
    <x v="1"/>
    <x v="1"/>
    <n v="9000"/>
    <n v="12000"/>
    <n v="36000"/>
    <n v="27000"/>
    <x v="11"/>
    <n v="0.25"/>
    <s v="High Profit"/>
  </r>
  <r>
    <s v="O00298"/>
    <x v="200"/>
    <x v="1"/>
    <s v="C0233"/>
    <s v="P056"/>
    <n v="3"/>
    <x v="2"/>
    <x v="0"/>
    <x v="6"/>
    <x v="1"/>
    <n v="2000"/>
    <n v="3000"/>
    <n v="9000"/>
    <n v="6000"/>
    <x v="12"/>
    <n v="0.33333333333333331"/>
    <s v="High Profit"/>
  </r>
  <r>
    <s v="O00299"/>
    <x v="16"/>
    <x v="8"/>
    <s v="C0162"/>
    <s v="P096"/>
    <n v="2"/>
    <x v="0"/>
    <x v="7"/>
    <x v="0"/>
    <x v="0"/>
    <n v="12000"/>
    <n v="15000"/>
    <n v="30000"/>
    <n v="24000"/>
    <x v="0"/>
    <n v="0.2"/>
    <s v="Low Profit"/>
  </r>
  <r>
    <s v="O00300"/>
    <x v="3"/>
    <x v="3"/>
    <s v="C0011"/>
    <s v="P062"/>
    <n v="1"/>
    <x v="10"/>
    <x v="3"/>
    <x v="5"/>
    <x v="1"/>
    <n v="500"/>
    <n v="800"/>
    <n v="800"/>
    <n v="500"/>
    <x v="7"/>
    <n v="0.375"/>
    <s v="High Profit"/>
  </r>
  <r>
    <s v="O00301"/>
    <x v="193"/>
    <x v="11"/>
    <s v="C0261"/>
    <s v="P081"/>
    <n v="5"/>
    <x v="2"/>
    <x v="5"/>
    <x v="7"/>
    <x v="0"/>
    <n v="15000"/>
    <n v="18000"/>
    <n v="90000"/>
    <n v="75000"/>
    <x v="6"/>
    <n v="0.16666666666666666"/>
    <s v="Low Profit"/>
  </r>
  <r>
    <s v="O00302"/>
    <x v="80"/>
    <x v="1"/>
    <s v="C0113"/>
    <s v="P021"/>
    <n v="2"/>
    <x v="12"/>
    <x v="2"/>
    <x v="2"/>
    <x v="0"/>
    <n v="20000"/>
    <n v="25000"/>
    <n v="50000"/>
    <n v="40000"/>
    <x v="2"/>
    <n v="0.2"/>
    <s v="Low Profit"/>
  </r>
  <r>
    <s v="O00303"/>
    <x v="128"/>
    <x v="4"/>
    <s v="C0026"/>
    <s v="P013"/>
    <n v="5"/>
    <x v="12"/>
    <x v="5"/>
    <x v="1"/>
    <x v="1"/>
    <n v="9000"/>
    <n v="12000"/>
    <n v="60000"/>
    <n v="45000"/>
    <x v="6"/>
    <n v="0.25"/>
    <s v="High Profit"/>
  </r>
  <r>
    <s v="O00304"/>
    <x v="90"/>
    <x v="10"/>
    <s v="C0084"/>
    <s v="P010"/>
    <n v="5"/>
    <x v="1"/>
    <x v="6"/>
    <x v="1"/>
    <x v="1"/>
    <n v="9000"/>
    <n v="12000"/>
    <n v="60000"/>
    <n v="45000"/>
    <x v="6"/>
    <n v="0.25"/>
    <s v="High Profit"/>
  </r>
  <r>
    <s v="O00305"/>
    <x v="201"/>
    <x v="4"/>
    <s v="C0280"/>
    <s v="P019"/>
    <n v="2"/>
    <x v="10"/>
    <x v="2"/>
    <x v="3"/>
    <x v="0"/>
    <n v="42000"/>
    <n v="50000"/>
    <n v="100000"/>
    <n v="84000"/>
    <x v="23"/>
    <n v="0.16"/>
    <s v="Low Profit"/>
  </r>
  <r>
    <s v="O00306"/>
    <x v="202"/>
    <x v="3"/>
    <s v="C0292"/>
    <s v="P011"/>
    <n v="5"/>
    <x v="9"/>
    <x v="5"/>
    <x v="4"/>
    <x v="1"/>
    <n v="900"/>
    <n v="1500"/>
    <n v="7500"/>
    <n v="4500"/>
    <x v="12"/>
    <n v="0.4"/>
    <s v="High Profit"/>
  </r>
  <r>
    <s v="O00307"/>
    <x v="45"/>
    <x v="0"/>
    <s v="C8888"/>
    <s v="P099"/>
    <n v="3"/>
    <x v="7"/>
    <x v="8"/>
    <x v="4"/>
    <x v="1"/>
    <n v="900"/>
    <n v="1500"/>
    <n v="4500"/>
    <n v="2700"/>
    <x v="13"/>
    <n v="0.4"/>
    <s v="High Profit"/>
  </r>
  <r>
    <s v="O00308"/>
    <x v="195"/>
    <x v="9"/>
    <s v="C0162"/>
    <s v="P064"/>
    <n v="3"/>
    <x v="0"/>
    <x v="7"/>
    <x v="2"/>
    <x v="0"/>
    <n v="20000"/>
    <n v="25000"/>
    <n v="75000"/>
    <n v="60000"/>
    <x v="6"/>
    <n v="0.2"/>
    <s v="Low Profit"/>
  </r>
  <r>
    <s v="O00309"/>
    <x v="3"/>
    <x v="3"/>
    <s v="C0300"/>
    <s v="P021"/>
    <n v="2"/>
    <x v="2"/>
    <x v="2"/>
    <x v="2"/>
    <x v="0"/>
    <n v="20000"/>
    <n v="25000"/>
    <n v="50000"/>
    <n v="40000"/>
    <x v="2"/>
    <n v="0.2"/>
    <s v="Low Profit"/>
  </r>
  <r>
    <s v="O00310"/>
    <x v="2"/>
    <x v="2"/>
    <s v="C0030"/>
    <s v="P034"/>
    <n v="2"/>
    <x v="5"/>
    <x v="7"/>
    <x v="4"/>
    <x v="1"/>
    <n v="900"/>
    <n v="1500"/>
    <n v="3000"/>
    <n v="1800"/>
    <x v="4"/>
    <n v="0.4"/>
    <s v="High Profit"/>
  </r>
  <r>
    <s v="O00311"/>
    <x v="177"/>
    <x v="0"/>
    <s v="C0221"/>
    <s v="P061"/>
    <n v="5"/>
    <x v="8"/>
    <x v="7"/>
    <x v="0"/>
    <x v="0"/>
    <n v="12000"/>
    <n v="15000"/>
    <n v="75000"/>
    <n v="60000"/>
    <x v="6"/>
    <n v="0.2"/>
    <s v="Low Profit"/>
  </r>
  <r>
    <s v="O00312"/>
    <x v="3"/>
    <x v="3"/>
    <s v="C0272"/>
    <s v="P009"/>
    <n v="4"/>
    <x v="0"/>
    <x v="3"/>
    <x v="6"/>
    <x v="1"/>
    <n v="2000"/>
    <n v="3000"/>
    <n v="12000"/>
    <n v="8000"/>
    <x v="20"/>
    <n v="0.33333333333333331"/>
    <s v="High Profit"/>
  </r>
  <r>
    <s v="O00313"/>
    <x v="203"/>
    <x v="10"/>
    <s v="C8888"/>
    <s v="P049"/>
    <n v="2"/>
    <x v="7"/>
    <x v="8"/>
    <x v="6"/>
    <x v="1"/>
    <n v="2000"/>
    <n v="3000"/>
    <n v="6000"/>
    <n v="4000"/>
    <x v="22"/>
    <n v="0.33333333333333331"/>
    <s v="High Profit"/>
  </r>
  <r>
    <s v="O00314"/>
    <x v="179"/>
    <x v="9"/>
    <s v="C0282"/>
    <s v="P092"/>
    <n v="3"/>
    <x v="1"/>
    <x v="5"/>
    <x v="1"/>
    <x v="1"/>
    <n v="9000"/>
    <n v="12000"/>
    <n v="36000"/>
    <n v="27000"/>
    <x v="11"/>
    <n v="0.25"/>
    <s v="High Profit"/>
  </r>
  <r>
    <s v="O00315"/>
    <x v="73"/>
    <x v="5"/>
    <s v="C0022"/>
    <s v="P065"/>
    <n v="2"/>
    <x v="12"/>
    <x v="3"/>
    <x v="5"/>
    <x v="1"/>
    <n v="500"/>
    <n v="800"/>
    <n v="1600"/>
    <n v="1000"/>
    <x v="5"/>
    <n v="0.375"/>
    <s v="High Profit"/>
  </r>
  <r>
    <s v="O00316"/>
    <x v="58"/>
    <x v="2"/>
    <s v="C0143"/>
    <s v="P004"/>
    <n v="5"/>
    <x v="9"/>
    <x v="2"/>
    <x v="7"/>
    <x v="0"/>
    <n v="15000"/>
    <n v="18000"/>
    <n v="90000"/>
    <n v="75000"/>
    <x v="6"/>
    <n v="0.16666666666666666"/>
    <s v="Low Profit"/>
  </r>
  <r>
    <s v="O00317"/>
    <x v="159"/>
    <x v="0"/>
    <s v="C0230"/>
    <s v="P017"/>
    <n v="3"/>
    <x v="8"/>
    <x v="3"/>
    <x v="4"/>
    <x v="1"/>
    <n v="900"/>
    <n v="1500"/>
    <n v="4500"/>
    <n v="2700"/>
    <x v="13"/>
    <n v="0.4"/>
    <s v="High Profit"/>
  </r>
  <r>
    <s v="O00318"/>
    <x v="82"/>
    <x v="4"/>
    <s v="C0291"/>
    <s v="P099"/>
    <n v="4"/>
    <x v="0"/>
    <x v="5"/>
    <x v="4"/>
    <x v="1"/>
    <n v="900"/>
    <n v="1500"/>
    <n v="6000"/>
    <n v="3600"/>
    <x v="17"/>
    <n v="0.4"/>
    <s v="High Profit"/>
  </r>
  <r>
    <s v="O00319"/>
    <x v="204"/>
    <x v="4"/>
    <s v="C0057"/>
    <s v="P062"/>
    <n v="2"/>
    <x v="5"/>
    <x v="0"/>
    <x v="5"/>
    <x v="1"/>
    <n v="500"/>
    <n v="800"/>
    <n v="1600"/>
    <n v="1000"/>
    <x v="5"/>
    <n v="0.375"/>
    <s v="High Profit"/>
  </r>
  <r>
    <s v="O00320"/>
    <x v="19"/>
    <x v="8"/>
    <s v="C0024"/>
    <s v="P008"/>
    <n v="3"/>
    <x v="1"/>
    <x v="3"/>
    <x v="7"/>
    <x v="0"/>
    <n v="15000"/>
    <n v="18000"/>
    <n v="54000"/>
    <n v="45000"/>
    <x v="11"/>
    <n v="0.16666666666666666"/>
    <s v="Low Profit"/>
  </r>
  <r>
    <s v="O00321"/>
    <x v="141"/>
    <x v="11"/>
    <s v="C0004"/>
    <s v="P061"/>
    <n v="1"/>
    <x v="3"/>
    <x v="5"/>
    <x v="0"/>
    <x v="0"/>
    <n v="12000"/>
    <n v="15000"/>
    <n v="15000"/>
    <n v="12000"/>
    <x v="12"/>
    <n v="0.2"/>
    <s v="Low Profit"/>
  </r>
  <r>
    <s v="O00322"/>
    <x v="138"/>
    <x v="10"/>
    <s v="C0002"/>
    <s v="P022"/>
    <n v="1"/>
    <x v="4"/>
    <x v="5"/>
    <x v="3"/>
    <x v="0"/>
    <n v="42000"/>
    <n v="50000"/>
    <n v="50000"/>
    <n v="42000"/>
    <x v="18"/>
    <n v="0.16"/>
    <s v="Low Profit"/>
  </r>
  <r>
    <s v="O00323"/>
    <x v="205"/>
    <x v="5"/>
    <s v="C0038"/>
    <s v="P077"/>
    <n v="3"/>
    <x v="2"/>
    <x v="0"/>
    <x v="2"/>
    <x v="0"/>
    <n v="20000"/>
    <n v="25000"/>
    <n v="75000"/>
    <n v="60000"/>
    <x v="6"/>
    <n v="0.2"/>
    <s v="Low Profit"/>
  </r>
  <r>
    <s v="O00324"/>
    <x v="55"/>
    <x v="1"/>
    <s v="C0109"/>
    <s v="P043"/>
    <n v="5"/>
    <x v="8"/>
    <x v="3"/>
    <x v="0"/>
    <x v="0"/>
    <n v="12000"/>
    <n v="15000"/>
    <n v="75000"/>
    <n v="60000"/>
    <x v="6"/>
    <n v="0.2"/>
    <s v="Low Profit"/>
  </r>
  <r>
    <s v="O00325"/>
    <x v="90"/>
    <x v="10"/>
    <s v="C0251"/>
    <s v="P019"/>
    <n v="5"/>
    <x v="6"/>
    <x v="8"/>
    <x v="3"/>
    <x v="0"/>
    <n v="42000"/>
    <n v="50000"/>
    <n v="250000"/>
    <n v="210000"/>
    <x v="3"/>
    <n v="0.16"/>
    <s v="Low Profit"/>
  </r>
  <r>
    <s v="O00326"/>
    <x v="206"/>
    <x v="6"/>
    <s v="C0297"/>
    <s v="P042"/>
    <n v="5"/>
    <x v="3"/>
    <x v="0"/>
    <x v="4"/>
    <x v="1"/>
    <n v="900"/>
    <n v="1500"/>
    <n v="7500"/>
    <n v="4500"/>
    <x v="12"/>
    <n v="0.4"/>
    <s v="High Profit"/>
  </r>
  <r>
    <s v="O00327"/>
    <x v="123"/>
    <x v="10"/>
    <s v="C0183"/>
    <s v="P034"/>
    <n v="3"/>
    <x v="10"/>
    <x v="2"/>
    <x v="4"/>
    <x v="1"/>
    <n v="900"/>
    <n v="1500"/>
    <n v="4500"/>
    <n v="2700"/>
    <x v="13"/>
    <n v="0.4"/>
    <s v="High Profit"/>
  </r>
  <r>
    <s v="O00328"/>
    <x v="190"/>
    <x v="2"/>
    <s v="C0176"/>
    <s v="P075"/>
    <n v="1"/>
    <x v="1"/>
    <x v="3"/>
    <x v="2"/>
    <x v="0"/>
    <n v="20000"/>
    <n v="25000"/>
    <n v="25000"/>
    <n v="20000"/>
    <x v="10"/>
    <n v="0.2"/>
    <s v="Low Profit"/>
  </r>
  <r>
    <s v="O00329"/>
    <x v="11"/>
    <x v="2"/>
    <s v="C0148"/>
    <s v="P091"/>
    <n v="4"/>
    <x v="10"/>
    <x v="1"/>
    <x v="1"/>
    <x v="1"/>
    <n v="9000"/>
    <n v="12000"/>
    <n v="48000"/>
    <n v="36000"/>
    <x v="1"/>
    <n v="0.25"/>
    <s v="High Profit"/>
  </r>
  <r>
    <s v="O00330"/>
    <x v="207"/>
    <x v="8"/>
    <s v="C0120"/>
    <s v="P020"/>
    <n v="2"/>
    <x v="11"/>
    <x v="1"/>
    <x v="5"/>
    <x v="1"/>
    <n v="500"/>
    <n v="800"/>
    <n v="1600"/>
    <n v="1000"/>
    <x v="5"/>
    <n v="0.375"/>
    <s v="High Profit"/>
  </r>
  <r>
    <s v="O00331"/>
    <x v="208"/>
    <x v="0"/>
    <s v="C0233"/>
    <s v="P062"/>
    <n v="4"/>
    <x v="2"/>
    <x v="0"/>
    <x v="5"/>
    <x v="1"/>
    <n v="500"/>
    <n v="800"/>
    <n v="3200"/>
    <n v="2000"/>
    <x v="4"/>
    <n v="0.375"/>
    <s v="High Profit"/>
  </r>
  <r>
    <s v="O00332"/>
    <x v="20"/>
    <x v="10"/>
    <s v="C0262"/>
    <s v="P046"/>
    <n v="2"/>
    <x v="4"/>
    <x v="4"/>
    <x v="5"/>
    <x v="1"/>
    <n v="500"/>
    <n v="800"/>
    <n v="1600"/>
    <n v="1000"/>
    <x v="5"/>
    <n v="0.375"/>
    <s v="High Profit"/>
  </r>
  <r>
    <s v="O00333"/>
    <x v="209"/>
    <x v="1"/>
    <s v="C0126"/>
    <s v="P039"/>
    <n v="2"/>
    <x v="0"/>
    <x v="4"/>
    <x v="1"/>
    <x v="1"/>
    <n v="9000"/>
    <n v="12000"/>
    <n v="24000"/>
    <n v="18000"/>
    <x v="0"/>
    <n v="0.25"/>
    <s v="High Profit"/>
  </r>
  <r>
    <s v="O00334"/>
    <x v="210"/>
    <x v="5"/>
    <s v="C0095"/>
    <s v="P013"/>
    <n v="2"/>
    <x v="5"/>
    <x v="5"/>
    <x v="1"/>
    <x v="1"/>
    <n v="9000"/>
    <n v="12000"/>
    <n v="24000"/>
    <n v="18000"/>
    <x v="0"/>
    <n v="0.25"/>
    <s v="High Profit"/>
  </r>
  <r>
    <s v="O00335"/>
    <x v="211"/>
    <x v="4"/>
    <s v="C0047"/>
    <s v="P061"/>
    <n v="2"/>
    <x v="1"/>
    <x v="5"/>
    <x v="0"/>
    <x v="0"/>
    <n v="12000"/>
    <n v="15000"/>
    <n v="30000"/>
    <n v="24000"/>
    <x v="0"/>
    <n v="0.2"/>
    <s v="Low Profit"/>
  </r>
  <r>
    <s v="O00336"/>
    <x v="180"/>
    <x v="10"/>
    <s v="C0078"/>
    <s v="P054"/>
    <n v="5"/>
    <x v="5"/>
    <x v="1"/>
    <x v="4"/>
    <x v="1"/>
    <n v="900"/>
    <n v="1500"/>
    <n v="7500"/>
    <n v="4500"/>
    <x v="12"/>
    <n v="0.4"/>
    <s v="High Profit"/>
  </r>
  <r>
    <s v="O00337"/>
    <x v="212"/>
    <x v="7"/>
    <s v="C0092"/>
    <s v="P062"/>
    <n v="1"/>
    <x v="3"/>
    <x v="1"/>
    <x v="5"/>
    <x v="1"/>
    <n v="500"/>
    <n v="800"/>
    <n v="800"/>
    <n v="500"/>
    <x v="7"/>
    <n v="0.375"/>
    <s v="High Profit"/>
  </r>
  <r>
    <s v="O00338"/>
    <x v="210"/>
    <x v="5"/>
    <s v="C0296"/>
    <s v="P047"/>
    <n v="5"/>
    <x v="10"/>
    <x v="6"/>
    <x v="6"/>
    <x v="1"/>
    <n v="2000"/>
    <n v="3000"/>
    <n v="15000"/>
    <n v="10000"/>
    <x v="10"/>
    <n v="0.33333333333333331"/>
    <s v="High Profit"/>
  </r>
  <r>
    <s v="O00339"/>
    <x v="108"/>
    <x v="5"/>
    <s v="C0254"/>
    <s v="P010"/>
    <n v="4"/>
    <x v="6"/>
    <x v="0"/>
    <x v="1"/>
    <x v="1"/>
    <n v="9000"/>
    <n v="12000"/>
    <n v="48000"/>
    <n v="36000"/>
    <x v="1"/>
    <n v="0.25"/>
    <s v="High Profit"/>
  </r>
  <r>
    <s v="O00340"/>
    <x v="121"/>
    <x v="11"/>
    <s v="C0072"/>
    <s v="P022"/>
    <n v="3"/>
    <x v="4"/>
    <x v="2"/>
    <x v="3"/>
    <x v="0"/>
    <n v="42000"/>
    <n v="50000"/>
    <n v="150000"/>
    <n v="126000"/>
    <x v="14"/>
    <n v="0.16"/>
    <s v="Low Profit"/>
  </r>
  <r>
    <s v="O00341"/>
    <x v="205"/>
    <x v="5"/>
    <s v="C0100"/>
    <s v="P029"/>
    <n v="4"/>
    <x v="1"/>
    <x v="4"/>
    <x v="6"/>
    <x v="1"/>
    <n v="2000"/>
    <n v="3000"/>
    <n v="12000"/>
    <n v="8000"/>
    <x v="20"/>
    <n v="0.33333333333333331"/>
    <s v="High Profit"/>
  </r>
  <r>
    <s v="O00342"/>
    <x v="170"/>
    <x v="4"/>
    <s v="C0073"/>
    <s v="P071"/>
    <n v="2"/>
    <x v="6"/>
    <x v="4"/>
    <x v="5"/>
    <x v="1"/>
    <n v="500"/>
    <n v="800"/>
    <n v="1600"/>
    <n v="1000"/>
    <x v="5"/>
    <n v="0.375"/>
    <s v="High Profit"/>
  </r>
  <r>
    <s v="O00343"/>
    <x v="213"/>
    <x v="1"/>
    <s v="C0251"/>
    <s v="P082"/>
    <n v="3"/>
    <x v="6"/>
    <x v="8"/>
    <x v="7"/>
    <x v="0"/>
    <n v="15000"/>
    <n v="18000"/>
    <n v="54000"/>
    <n v="45000"/>
    <x v="11"/>
    <n v="0.16666666666666666"/>
    <s v="Low Profit"/>
  </r>
  <r>
    <s v="O00344"/>
    <x v="81"/>
    <x v="1"/>
    <s v="C8888"/>
    <s v="P023"/>
    <n v="4"/>
    <x v="7"/>
    <x v="8"/>
    <x v="6"/>
    <x v="1"/>
    <n v="2000"/>
    <n v="3000"/>
    <n v="12000"/>
    <n v="8000"/>
    <x v="20"/>
    <n v="0.33333333333333331"/>
    <s v="High Profit"/>
  </r>
  <r>
    <s v="O00345"/>
    <x v="214"/>
    <x v="6"/>
    <s v="C0040"/>
    <s v="P098"/>
    <n v="1"/>
    <x v="11"/>
    <x v="5"/>
    <x v="1"/>
    <x v="1"/>
    <n v="9000"/>
    <n v="12000"/>
    <n v="12000"/>
    <n v="9000"/>
    <x v="12"/>
    <n v="0.25"/>
    <s v="High Profit"/>
  </r>
  <r>
    <s v="O00346"/>
    <x v="215"/>
    <x v="8"/>
    <s v="C0013"/>
    <s v="P072"/>
    <n v="2"/>
    <x v="6"/>
    <x v="6"/>
    <x v="2"/>
    <x v="0"/>
    <n v="20000"/>
    <n v="25000"/>
    <n v="50000"/>
    <n v="40000"/>
    <x v="2"/>
    <n v="0.2"/>
    <s v="Low Profit"/>
  </r>
  <r>
    <s v="O00347"/>
    <x v="216"/>
    <x v="6"/>
    <s v="C0266"/>
    <s v="P028"/>
    <n v="3"/>
    <x v="2"/>
    <x v="0"/>
    <x v="3"/>
    <x v="0"/>
    <n v="42000"/>
    <n v="50000"/>
    <n v="150000"/>
    <n v="126000"/>
    <x v="14"/>
    <n v="0.16"/>
    <s v="Low Profit"/>
  </r>
  <r>
    <s v="O00348"/>
    <x v="217"/>
    <x v="2"/>
    <s v="C0089"/>
    <s v="P060"/>
    <n v="4"/>
    <x v="12"/>
    <x v="6"/>
    <x v="5"/>
    <x v="1"/>
    <n v="500"/>
    <n v="800"/>
    <n v="3200"/>
    <n v="2000"/>
    <x v="4"/>
    <n v="0.375"/>
    <s v="High Profit"/>
  </r>
  <r>
    <s v="O00349"/>
    <x v="37"/>
    <x v="8"/>
    <s v="C0126"/>
    <s v="P022"/>
    <n v="4"/>
    <x v="0"/>
    <x v="4"/>
    <x v="3"/>
    <x v="0"/>
    <n v="42000"/>
    <n v="50000"/>
    <n v="200000"/>
    <n v="168000"/>
    <x v="8"/>
    <n v="0.16"/>
    <s v="Low Profit"/>
  </r>
  <r>
    <s v="O00350"/>
    <x v="17"/>
    <x v="3"/>
    <s v="C0097"/>
    <s v="P021"/>
    <n v="2"/>
    <x v="6"/>
    <x v="1"/>
    <x v="2"/>
    <x v="0"/>
    <n v="20000"/>
    <n v="25000"/>
    <n v="50000"/>
    <n v="40000"/>
    <x v="2"/>
    <n v="0.2"/>
    <s v="Low Profit"/>
  </r>
  <r>
    <s v="O00351"/>
    <x v="100"/>
    <x v="0"/>
    <s v="C0299"/>
    <s v="P042"/>
    <n v="1"/>
    <x v="3"/>
    <x v="8"/>
    <x v="4"/>
    <x v="1"/>
    <n v="900"/>
    <n v="1500"/>
    <n v="1500"/>
    <n v="900"/>
    <x v="5"/>
    <n v="0.4"/>
    <s v="High Profit"/>
  </r>
  <r>
    <s v="O00352"/>
    <x v="118"/>
    <x v="5"/>
    <s v="C0052"/>
    <s v="P060"/>
    <n v="5"/>
    <x v="8"/>
    <x v="1"/>
    <x v="5"/>
    <x v="1"/>
    <n v="500"/>
    <n v="800"/>
    <n v="4000"/>
    <n v="2500"/>
    <x v="16"/>
    <n v="0.375"/>
    <s v="High Profit"/>
  </r>
  <r>
    <s v="O00353"/>
    <x v="57"/>
    <x v="5"/>
    <s v="C0293"/>
    <s v="P090"/>
    <n v="4"/>
    <x v="2"/>
    <x v="1"/>
    <x v="0"/>
    <x v="0"/>
    <n v="12000"/>
    <n v="15000"/>
    <n v="60000"/>
    <n v="48000"/>
    <x v="1"/>
    <n v="0.2"/>
    <s v="Low Profit"/>
  </r>
  <r>
    <s v="O00354"/>
    <x v="173"/>
    <x v="5"/>
    <s v="C0181"/>
    <s v="P058"/>
    <n v="5"/>
    <x v="12"/>
    <x v="0"/>
    <x v="4"/>
    <x v="1"/>
    <n v="900"/>
    <n v="1500"/>
    <n v="7500"/>
    <n v="4500"/>
    <x v="12"/>
    <n v="0.4"/>
    <s v="High Profit"/>
  </r>
  <r>
    <s v="O00355"/>
    <x v="70"/>
    <x v="7"/>
    <s v="C0254"/>
    <s v="P070"/>
    <n v="4"/>
    <x v="6"/>
    <x v="0"/>
    <x v="3"/>
    <x v="0"/>
    <n v="42000"/>
    <n v="50000"/>
    <n v="200000"/>
    <n v="168000"/>
    <x v="8"/>
    <n v="0.16"/>
    <s v="Low Profit"/>
  </r>
  <r>
    <s v="O00356"/>
    <x v="152"/>
    <x v="10"/>
    <s v="C0252"/>
    <s v="P011"/>
    <n v="5"/>
    <x v="9"/>
    <x v="4"/>
    <x v="4"/>
    <x v="1"/>
    <n v="900"/>
    <n v="1500"/>
    <n v="7500"/>
    <n v="4500"/>
    <x v="12"/>
    <n v="0.4"/>
    <s v="High Profit"/>
  </r>
  <r>
    <s v="O00357"/>
    <x v="43"/>
    <x v="8"/>
    <s v="C0148"/>
    <s v="P051"/>
    <n v="2"/>
    <x v="10"/>
    <x v="1"/>
    <x v="6"/>
    <x v="1"/>
    <n v="2000"/>
    <n v="3000"/>
    <n v="6000"/>
    <n v="4000"/>
    <x v="22"/>
    <n v="0.33333333333333331"/>
    <s v="High Profit"/>
  </r>
  <r>
    <s v="O00358"/>
    <x v="103"/>
    <x v="7"/>
    <s v="C0147"/>
    <s v="P005"/>
    <n v="2"/>
    <x v="12"/>
    <x v="4"/>
    <x v="5"/>
    <x v="1"/>
    <n v="500"/>
    <n v="800"/>
    <n v="1600"/>
    <n v="1000"/>
    <x v="5"/>
    <n v="0.375"/>
    <s v="High Profit"/>
  </r>
  <r>
    <s v="O00359"/>
    <x v="66"/>
    <x v="5"/>
    <s v="C0115"/>
    <s v="P099"/>
    <n v="4"/>
    <x v="0"/>
    <x v="4"/>
    <x v="4"/>
    <x v="1"/>
    <n v="900"/>
    <n v="1500"/>
    <n v="6000"/>
    <n v="3600"/>
    <x v="17"/>
    <n v="0.4"/>
    <s v="High Profit"/>
  </r>
  <r>
    <s v="O00360"/>
    <x v="93"/>
    <x v="1"/>
    <s v="C0224"/>
    <s v="P082"/>
    <n v="2"/>
    <x v="0"/>
    <x v="2"/>
    <x v="7"/>
    <x v="0"/>
    <n v="15000"/>
    <n v="18000"/>
    <n v="36000"/>
    <n v="30000"/>
    <x v="0"/>
    <n v="0.16666666666666666"/>
    <s v="Low Profit"/>
  </r>
  <r>
    <s v="O00361"/>
    <x v="15"/>
    <x v="0"/>
    <s v="C0032"/>
    <s v="P014"/>
    <n v="4"/>
    <x v="1"/>
    <x v="4"/>
    <x v="5"/>
    <x v="1"/>
    <n v="500"/>
    <n v="800"/>
    <n v="3200"/>
    <n v="2000"/>
    <x v="4"/>
    <n v="0.375"/>
    <s v="High Profit"/>
  </r>
  <r>
    <s v="O00362"/>
    <x v="218"/>
    <x v="0"/>
    <s v="C0082"/>
    <s v="P031"/>
    <n v="3"/>
    <x v="12"/>
    <x v="1"/>
    <x v="4"/>
    <x v="1"/>
    <n v="900"/>
    <n v="1500"/>
    <n v="4500"/>
    <n v="2700"/>
    <x v="13"/>
    <n v="0.4"/>
    <s v="High Profit"/>
  </r>
  <r>
    <s v="O00363"/>
    <x v="169"/>
    <x v="8"/>
    <s v="C0114"/>
    <s v="P095"/>
    <n v="5"/>
    <x v="0"/>
    <x v="1"/>
    <x v="2"/>
    <x v="0"/>
    <n v="20000"/>
    <n v="25000"/>
    <n v="125000"/>
    <n v="100000"/>
    <x v="15"/>
    <n v="0.2"/>
    <s v="Low Profit"/>
  </r>
  <r>
    <s v="O00364"/>
    <x v="212"/>
    <x v="7"/>
    <s v="C0038"/>
    <s v="P006"/>
    <n v="4"/>
    <x v="2"/>
    <x v="0"/>
    <x v="3"/>
    <x v="0"/>
    <n v="42000"/>
    <n v="50000"/>
    <n v="200000"/>
    <n v="168000"/>
    <x v="8"/>
    <n v="0.16"/>
    <s v="Low Profit"/>
  </r>
  <r>
    <s v="O00365"/>
    <x v="51"/>
    <x v="1"/>
    <s v="C8888"/>
    <s v="P005"/>
    <n v="1"/>
    <x v="7"/>
    <x v="8"/>
    <x v="5"/>
    <x v="1"/>
    <n v="500"/>
    <n v="800"/>
    <n v="800"/>
    <n v="500"/>
    <x v="7"/>
    <n v="0.375"/>
    <s v="High Profit"/>
  </r>
  <r>
    <s v="O00366"/>
    <x v="219"/>
    <x v="6"/>
    <s v="C0004"/>
    <s v="P026"/>
    <n v="3"/>
    <x v="3"/>
    <x v="5"/>
    <x v="1"/>
    <x v="1"/>
    <n v="9000"/>
    <n v="12000"/>
    <n v="36000"/>
    <n v="27000"/>
    <x v="11"/>
    <n v="0.25"/>
    <s v="High Profit"/>
  </r>
  <r>
    <s v="O00367"/>
    <x v="220"/>
    <x v="9"/>
    <s v="C0083"/>
    <s v="P064"/>
    <n v="1"/>
    <x v="3"/>
    <x v="6"/>
    <x v="2"/>
    <x v="0"/>
    <n v="20000"/>
    <n v="25000"/>
    <n v="25000"/>
    <n v="20000"/>
    <x v="10"/>
    <n v="0.2"/>
    <s v="Low Profit"/>
  </r>
  <r>
    <s v="O00368"/>
    <x v="221"/>
    <x v="4"/>
    <s v="C0069"/>
    <s v="P012"/>
    <n v="2"/>
    <x v="3"/>
    <x v="3"/>
    <x v="4"/>
    <x v="1"/>
    <n v="900"/>
    <n v="1500"/>
    <n v="3000"/>
    <n v="1800"/>
    <x v="4"/>
    <n v="0.4"/>
    <s v="High Profit"/>
  </r>
  <r>
    <s v="O00369"/>
    <x v="179"/>
    <x v="9"/>
    <s v="C0164"/>
    <s v="P080"/>
    <n v="5"/>
    <x v="4"/>
    <x v="2"/>
    <x v="4"/>
    <x v="1"/>
    <n v="900"/>
    <n v="1500"/>
    <n v="7500"/>
    <n v="4500"/>
    <x v="12"/>
    <n v="0.4"/>
    <s v="High Profit"/>
  </r>
  <r>
    <s v="O00370"/>
    <x v="19"/>
    <x v="8"/>
    <s v="C0038"/>
    <s v="P098"/>
    <n v="1"/>
    <x v="2"/>
    <x v="0"/>
    <x v="1"/>
    <x v="1"/>
    <n v="9000"/>
    <n v="12000"/>
    <n v="12000"/>
    <n v="9000"/>
    <x v="12"/>
    <n v="0.25"/>
    <s v="High Profit"/>
  </r>
  <r>
    <s v="O00371"/>
    <x v="58"/>
    <x v="2"/>
    <s v="C0135"/>
    <s v="P092"/>
    <n v="3"/>
    <x v="8"/>
    <x v="1"/>
    <x v="1"/>
    <x v="1"/>
    <n v="9000"/>
    <n v="12000"/>
    <n v="36000"/>
    <n v="27000"/>
    <x v="11"/>
    <n v="0.25"/>
    <s v="High Profit"/>
  </r>
  <r>
    <s v="O00372"/>
    <x v="180"/>
    <x v="10"/>
    <s v="C0028"/>
    <s v="P031"/>
    <n v="1"/>
    <x v="10"/>
    <x v="5"/>
    <x v="4"/>
    <x v="1"/>
    <n v="900"/>
    <n v="1500"/>
    <n v="1500"/>
    <n v="900"/>
    <x v="5"/>
    <n v="0.4"/>
    <s v="High Profit"/>
  </r>
  <r>
    <s v="O00373"/>
    <x v="118"/>
    <x v="5"/>
    <s v="C0032"/>
    <s v="P076"/>
    <n v="4"/>
    <x v="1"/>
    <x v="4"/>
    <x v="6"/>
    <x v="1"/>
    <n v="2000"/>
    <n v="3000"/>
    <n v="12000"/>
    <n v="8000"/>
    <x v="20"/>
    <n v="0.33333333333333331"/>
    <s v="High Profit"/>
  </r>
  <r>
    <s v="O00374"/>
    <x v="30"/>
    <x v="11"/>
    <s v="C8888"/>
    <s v="P097"/>
    <n v="5"/>
    <x v="7"/>
    <x v="8"/>
    <x v="1"/>
    <x v="1"/>
    <n v="9000"/>
    <n v="12000"/>
    <n v="60000"/>
    <n v="45000"/>
    <x v="6"/>
    <n v="0.25"/>
    <s v="High Profit"/>
  </r>
  <r>
    <s v="O00375"/>
    <x v="81"/>
    <x v="1"/>
    <s v="C0071"/>
    <s v="P057"/>
    <n v="3"/>
    <x v="1"/>
    <x v="1"/>
    <x v="3"/>
    <x v="0"/>
    <n v="42000"/>
    <n v="50000"/>
    <n v="150000"/>
    <n v="126000"/>
    <x v="14"/>
    <n v="0.16"/>
    <s v="Low Profit"/>
  </r>
  <r>
    <s v="O00376"/>
    <x v="222"/>
    <x v="10"/>
    <s v="C0133"/>
    <s v="P077"/>
    <n v="4"/>
    <x v="0"/>
    <x v="0"/>
    <x v="2"/>
    <x v="0"/>
    <n v="20000"/>
    <n v="25000"/>
    <n v="100000"/>
    <n v="80000"/>
    <x v="9"/>
    <n v="0.2"/>
    <s v="Low Profit"/>
  </r>
  <r>
    <s v="O00377"/>
    <x v="121"/>
    <x v="11"/>
    <s v="C0090"/>
    <s v="P081"/>
    <n v="1"/>
    <x v="2"/>
    <x v="1"/>
    <x v="7"/>
    <x v="0"/>
    <n v="15000"/>
    <n v="18000"/>
    <n v="18000"/>
    <n v="15000"/>
    <x v="12"/>
    <n v="0.16666666666666666"/>
    <s v="Low Profit"/>
  </r>
  <r>
    <s v="O00378"/>
    <x v="223"/>
    <x v="0"/>
    <s v="C0225"/>
    <s v="P045"/>
    <n v="1"/>
    <x v="4"/>
    <x v="8"/>
    <x v="4"/>
    <x v="1"/>
    <n v="900"/>
    <n v="1500"/>
    <n v="1500"/>
    <n v="900"/>
    <x v="5"/>
    <n v="0.4"/>
    <s v="High Profit"/>
  </r>
  <r>
    <s v="O00379"/>
    <x v="224"/>
    <x v="4"/>
    <s v="C0066"/>
    <s v="P035"/>
    <n v="3"/>
    <x v="1"/>
    <x v="1"/>
    <x v="1"/>
    <x v="1"/>
    <n v="9000"/>
    <n v="12000"/>
    <n v="36000"/>
    <n v="27000"/>
    <x v="11"/>
    <n v="0.25"/>
    <s v="High Profit"/>
  </r>
  <r>
    <s v="O00380"/>
    <x v="225"/>
    <x v="2"/>
    <s v="C0017"/>
    <s v="P032"/>
    <n v="5"/>
    <x v="10"/>
    <x v="4"/>
    <x v="2"/>
    <x v="0"/>
    <n v="20000"/>
    <n v="25000"/>
    <n v="125000"/>
    <n v="100000"/>
    <x v="15"/>
    <n v="0.2"/>
    <s v="Low Profit"/>
  </r>
  <r>
    <s v="O00381"/>
    <x v="97"/>
    <x v="6"/>
    <s v="C0090"/>
    <s v="P046"/>
    <n v="3"/>
    <x v="2"/>
    <x v="1"/>
    <x v="5"/>
    <x v="1"/>
    <n v="500"/>
    <n v="800"/>
    <n v="2400"/>
    <n v="1500"/>
    <x v="19"/>
    <n v="0.375"/>
    <s v="High Profit"/>
  </r>
  <r>
    <s v="O00382"/>
    <x v="226"/>
    <x v="8"/>
    <s v="C0261"/>
    <s v="P091"/>
    <n v="4"/>
    <x v="2"/>
    <x v="5"/>
    <x v="1"/>
    <x v="1"/>
    <n v="9000"/>
    <n v="12000"/>
    <n v="48000"/>
    <n v="36000"/>
    <x v="1"/>
    <n v="0.25"/>
    <s v="High Profit"/>
  </r>
  <r>
    <s v="O00383"/>
    <x v="215"/>
    <x v="8"/>
    <s v="C0188"/>
    <s v="P095"/>
    <n v="5"/>
    <x v="1"/>
    <x v="3"/>
    <x v="2"/>
    <x v="0"/>
    <n v="20000"/>
    <n v="25000"/>
    <n v="125000"/>
    <n v="100000"/>
    <x v="15"/>
    <n v="0.2"/>
    <s v="Low Profit"/>
  </r>
  <r>
    <s v="O00384"/>
    <x v="227"/>
    <x v="8"/>
    <s v="C0097"/>
    <s v="P040"/>
    <n v="4"/>
    <x v="6"/>
    <x v="1"/>
    <x v="3"/>
    <x v="0"/>
    <n v="42000"/>
    <n v="50000"/>
    <n v="200000"/>
    <n v="168000"/>
    <x v="8"/>
    <n v="0.16"/>
    <s v="Low Profit"/>
  </r>
  <r>
    <s v="O00385"/>
    <x v="110"/>
    <x v="9"/>
    <s v="C0022"/>
    <s v="P003"/>
    <n v="2"/>
    <x v="12"/>
    <x v="3"/>
    <x v="4"/>
    <x v="1"/>
    <n v="900"/>
    <n v="1500"/>
    <n v="3000"/>
    <n v="1800"/>
    <x v="4"/>
    <n v="0.4"/>
    <s v="High Profit"/>
  </r>
  <r>
    <s v="O00386"/>
    <x v="60"/>
    <x v="4"/>
    <s v="C0180"/>
    <s v="P061"/>
    <n v="1"/>
    <x v="0"/>
    <x v="0"/>
    <x v="0"/>
    <x v="0"/>
    <n v="12000"/>
    <n v="15000"/>
    <n v="15000"/>
    <n v="12000"/>
    <x v="12"/>
    <n v="0.2"/>
    <s v="Low Profit"/>
  </r>
  <r>
    <s v="O00387"/>
    <x v="228"/>
    <x v="10"/>
    <s v="C8888"/>
    <s v="P003"/>
    <n v="2"/>
    <x v="7"/>
    <x v="8"/>
    <x v="4"/>
    <x v="1"/>
    <n v="900"/>
    <n v="1500"/>
    <n v="3000"/>
    <n v="1800"/>
    <x v="4"/>
    <n v="0.4"/>
    <s v="High Profit"/>
  </r>
  <r>
    <s v="O00388"/>
    <x v="82"/>
    <x v="4"/>
    <s v="C0085"/>
    <s v="P066"/>
    <n v="3"/>
    <x v="11"/>
    <x v="6"/>
    <x v="3"/>
    <x v="0"/>
    <n v="42000"/>
    <n v="50000"/>
    <n v="150000"/>
    <n v="126000"/>
    <x v="14"/>
    <n v="0.16"/>
    <s v="Low Profit"/>
  </r>
  <r>
    <s v="O00389"/>
    <x v="229"/>
    <x v="2"/>
    <s v="C0047"/>
    <s v="P073"/>
    <n v="5"/>
    <x v="1"/>
    <x v="5"/>
    <x v="3"/>
    <x v="0"/>
    <n v="42000"/>
    <n v="50000"/>
    <n v="250000"/>
    <n v="210000"/>
    <x v="3"/>
    <n v="0.16"/>
    <s v="Low Profit"/>
  </r>
  <r>
    <s v="O00390"/>
    <x v="71"/>
    <x v="3"/>
    <s v="C0250"/>
    <s v="P009"/>
    <n v="2"/>
    <x v="4"/>
    <x v="2"/>
    <x v="6"/>
    <x v="1"/>
    <n v="2000"/>
    <n v="3000"/>
    <n v="6000"/>
    <n v="4000"/>
    <x v="22"/>
    <n v="0.33333333333333331"/>
    <s v="High Profit"/>
  </r>
  <r>
    <s v="O00391"/>
    <x v="6"/>
    <x v="6"/>
    <s v="C0002"/>
    <s v="P036"/>
    <n v="2"/>
    <x v="4"/>
    <x v="5"/>
    <x v="2"/>
    <x v="0"/>
    <n v="20000"/>
    <n v="25000"/>
    <n v="50000"/>
    <n v="40000"/>
    <x v="2"/>
    <n v="0.2"/>
    <s v="Low Profit"/>
  </r>
  <r>
    <s v="O00392"/>
    <x v="214"/>
    <x v="6"/>
    <s v="C0182"/>
    <s v="P027"/>
    <n v="5"/>
    <x v="10"/>
    <x v="3"/>
    <x v="3"/>
    <x v="0"/>
    <n v="42000"/>
    <n v="50000"/>
    <n v="250000"/>
    <n v="210000"/>
    <x v="3"/>
    <n v="0.16"/>
    <s v="Low Profit"/>
  </r>
  <r>
    <s v="O00393"/>
    <x v="230"/>
    <x v="5"/>
    <s v="C0074"/>
    <s v="P074"/>
    <n v="5"/>
    <x v="0"/>
    <x v="6"/>
    <x v="4"/>
    <x v="1"/>
    <n v="900"/>
    <n v="1500"/>
    <n v="7500"/>
    <n v="4500"/>
    <x v="12"/>
    <n v="0.4"/>
    <s v="High Profit"/>
  </r>
  <r>
    <s v="O00394"/>
    <x v="98"/>
    <x v="1"/>
    <s v="C0296"/>
    <s v="P001"/>
    <n v="4"/>
    <x v="10"/>
    <x v="6"/>
    <x v="2"/>
    <x v="0"/>
    <n v="20000"/>
    <n v="25000"/>
    <n v="100000"/>
    <n v="80000"/>
    <x v="9"/>
    <n v="0.2"/>
    <s v="Low Profit"/>
  </r>
  <r>
    <s v="O00395"/>
    <x v="231"/>
    <x v="7"/>
    <s v="C0192"/>
    <s v="P061"/>
    <n v="2"/>
    <x v="11"/>
    <x v="7"/>
    <x v="0"/>
    <x v="0"/>
    <n v="12000"/>
    <n v="15000"/>
    <n v="30000"/>
    <n v="24000"/>
    <x v="0"/>
    <n v="0.2"/>
    <s v="Low Profit"/>
  </r>
  <r>
    <s v="O00396"/>
    <x v="13"/>
    <x v="1"/>
    <s v="C0261"/>
    <s v="P060"/>
    <n v="1"/>
    <x v="2"/>
    <x v="5"/>
    <x v="5"/>
    <x v="1"/>
    <n v="500"/>
    <n v="800"/>
    <n v="800"/>
    <n v="500"/>
    <x v="7"/>
    <n v="0.375"/>
    <s v="High Profit"/>
  </r>
  <r>
    <s v="O00397"/>
    <x v="184"/>
    <x v="11"/>
    <s v="C0005"/>
    <s v="P065"/>
    <n v="5"/>
    <x v="0"/>
    <x v="1"/>
    <x v="5"/>
    <x v="1"/>
    <n v="500"/>
    <n v="800"/>
    <n v="4000"/>
    <n v="2500"/>
    <x v="16"/>
    <n v="0.375"/>
    <s v="High Profit"/>
  </r>
  <r>
    <s v="O00398"/>
    <x v="100"/>
    <x v="0"/>
    <s v="C0117"/>
    <s v="P003"/>
    <n v="2"/>
    <x v="11"/>
    <x v="1"/>
    <x v="4"/>
    <x v="1"/>
    <n v="900"/>
    <n v="1500"/>
    <n v="3000"/>
    <n v="1800"/>
    <x v="4"/>
    <n v="0.4"/>
    <s v="High Profit"/>
  </r>
  <r>
    <s v="O00399"/>
    <x v="232"/>
    <x v="10"/>
    <s v="C0147"/>
    <s v="P079"/>
    <n v="1"/>
    <x v="12"/>
    <x v="4"/>
    <x v="5"/>
    <x v="1"/>
    <n v="500"/>
    <n v="800"/>
    <n v="800"/>
    <n v="500"/>
    <x v="7"/>
    <n v="0.375"/>
    <s v="High Profit"/>
  </r>
  <r>
    <s v="O00400"/>
    <x v="92"/>
    <x v="0"/>
    <s v="C0112"/>
    <s v="P084"/>
    <n v="5"/>
    <x v="12"/>
    <x v="2"/>
    <x v="2"/>
    <x v="0"/>
    <n v="20000"/>
    <n v="25000"/>
    <n v="125000"/>
    <n v="100000"/>
    <x v="15"/>
    <n v="0.2"/>
    <s v="Low Profit"/>
  </r>
  <r>
    <s v="O00401"/>
    <x v="74"/>
    <x v="0"/>
    <s v="C0168"/>
    <s v="P024"/>
    <n v="2"/>
    <x v="6"/>
    <x v="0"/>
    <x v="5"/>
    <x v="1"/>
    <n v="500"/>
    <n v="800"/>
    <n v="1600"/>
    <n v="1000"/>
    <x v="5"/>
    <n v="0.375"/>
    <s v="High Profit"/>
  </r>
  <r>
    <s v="O00402"/>
    <x v="170"/>
    <x v="4"/>
    <s v="C0065"/>
    <s v="P063"/>
    <n v="2"/>
    <x v="5"/>
    <x v="0"/>
    <x v="6"/>
    <x v="1"/>
    <n v="2000"/>
    <n v="3000"/>
    <n v="6000"/>
    <n v="4000"/>
    <x v="22"/>
    <n v="0.33333333333333331"/>
    <s v="High Profit"/>
  </r>
  <r>
    <s v="O00403"/>
    <x v="0"/>
    <x v="0"/>
    <s v="C0044"/>
    <s v="P060"/>
    <n v="2"/>
    <x v="6"/>
    <x v="3"/>
    <x v="5"/>
    <x v="1"/>
    <n v="500"/>
    <n v="800"/>
    <n v="1600"/>
    <n v="1000"/>
    <x v="5"/>
    <n v="0.375"/>
    <s v="High Profit"/>
  </r>
  <r>
    <s v="O00404"/>
    <x v="16"/>
    <x v="8"/>
    <s v="C0101"/>
    <s v="P096"/>
    <n v="4"/>
    <x v="9"/>
    <x v="3"/>
    <x v="0"/>
    <x v="0"/>
    <n v="12000"/>
    <n v="15000"/>
    <n v="60000"/>
    <n v="48000"/>
    <x v="1"/>
    <n v="0.2"/>
    <s v="Low Profit"/>
  </r>
  <r>
    <s v="O00405"/>
    <x v="233"/>
    <x v="4"/>
    <s v="C0023"/>
    <s v="P088"/>
    <n v="3"/>
    <x v="6"/>
    <x v="6"/>
    <x v="5"/>
    <x v="1"/>
    <n v="500"/>
    <n v="800"/>
    <n v="2400"/>
    <n v="1500"/>
    <x v="19"/>
    <n v="0.375"/>
    <s v="High Profit"/>
  </r>
  <r>
    <s v="O00406"/>
    <x v="234"/>
    <x v="10"/>
    <s v="C0172"/>
    <s v="P091"/>
    <n v="3"/>
    <x v="5"/>
    <x v="4"/>
    <x v="1"/>
    <x v="1"/>
    <n v="9000"/>
    <n v="12000"/>
    <n v="36000"/>
    <n v="27000"/>
    <x v="11"/>
    <n v="0.25"/>
    <s v="High Profit"/>
  </r>
  <r>
    <s v="O00407"/>
    <x v="235"/>
    <x v="3"/>
    <s v="C0044"/>
    <s v="P047"/>
    <n v="4"/>
    <x v="6"/>
    <x v="3"/>
    <x v="6"/>
    <x v="1"/>
    <n v="2000"/>
    <n v="3000"/>
    <n v="12000"/>
    <n v="8000"/>
    <x v="20"/>
    <n v="0.33333333333333331"/>
    <s v="High Profit"/>
  </r>
  <r>
    <s v="O00408"/>
    <x v="236"/>
    <x v="7"/>
    <s v="C0122"/>
    <s v="P095"/>
    <n v="2"/>
    <x v="5"/>
    <x v="6"/>
    <x v="2"/>
    <x v="0"/>
    <n v="20000"/>
    <n v="25000"/>
    <n v="50000"/>
    <n v="40000"/>
    <x v="2"/>
    <n v="0.2"/>
    <s v="Low Profit"/>
  </r>
  <r>
    <s v="O00409"/>
    <x v="137"/>
    <x v="9"/>
    <s v="C0251"/>
    <s v="P060"/>
    <n v="4"/>
    <x v="6"/>
    <x v="8"/>
    <x v="5"/>
    <x v="1"/>
    <n v="500"/>
    <n v="800"/>
    <n v="3200"/>
    <n v="2000"/>
    <x v="4"/>
    <n v="0.375"/>
    <s v="High Profit"/>
  </r>
  <r>
    <s v="O00410"/>
    <x v="111"/>
    <x v="4"/>
    <s v="C0297"/>
    <s v="P063"/>
    <n v="4"/>
    <x v="3"/>
    <x v="0"/>
    <x v="6"/>
    <x v="1"/>
    <n v="2000"/>
    <n v="3000"/>
    <n v="12000"/>
    <n v="8000"/>
    <x v="20"/>
    <n v="0.33333333333333331"/>
    <s v="High Profit"/>
  </r>
  <r>
    <s v="O00411"/>
    <x v="6"/>
    <x v="6"/>
    <s v="C0008"/>
    <s v="P009"/>
    <n v="2"/>
    <x v="9"/>
    <x v="0"/>
    <x v="6"/>
    <x v="1"/>
    <n v="2000"/>
    <n v="3000"/>
    <n v="6000"/>
    <n v="4000"/>
    <x v="22"/>
    <n v="0.33333333333333331"/>
    <s v="High Profit"/>
  </r>
  <r>
    <s v="O00412"/>
    <x v="67"/>
    <x v="3"/>
    <s v="C0193"/>
    <s v="P035"/>
    <n v="4"/>
    <x v="1"/>
    <x v="5"/>
    <x v="1"/>
    <x v="1"/>
    <n v="9000"/>
    <n v="12000"/>
    <n v="48000"/>
    <n v="36000"/>
    <x v="1"/>
    <n v="0.25"/>
    <s v="High Profit"/>
  </r>
  <r>
    <s v="O00413"/>
    <x v="237"/>
    <x v="3"/>
    <s v="C0174"/>
    <s v="P083"/>
    <n v="5"/>
    <x v="11"/>
    <x v="4"/>
    <x v="7"/>
    <x v="0"/>
    <n v="15000"/>
    <n v="18000"/>
    <n v="90000"/>
    <n v="75000"/>
    <x v="6"/>
    <n v="0.16666666666666666"/>
    <s v="Low Profit"/>
  </r>
  <r>
    <s v="O00414"/>
    <x v="190"/>
    <x v="2"/>
    <s v="C8888"/>
    <s v="P055"/>
    <n v="4"/>
    <x v="7"/>
    <x v="8"/>
    <x v="6"/>
    <x v="1"/>
    <n v="2000"/>
    <n v="3000"/>
    <n v="12000"/>
    <n v="8000"/>
    <x v="20"/>
    <n v="0.33333333333333331"/>
    <s v="High Profit"/>
  </r>
  <r>
    <s v="O00415"/>
    <x v="238"/>
    <x v="6"/>
    <s v="C0052"/>
    <s v="P092"/>
    <n v="4"/>
    <x v="8"/>
    <x v="1"/>
    <x v="1"/>
    <x v="1"/>
    <n v="9000"/>
    <n v="12000"/>
    <n v="48000"/>
    <n v="36000"/>
    <x v="1"/>
    <n v="0.25"/>
    <s v="High Profit"/>
  </r>
  <r>
    <s v="O00416"/>
    <x v="239"/>
    <x v="2"/>
    <s v="C0154"/>
    <s v="P044"/>
    <n v="3"/>
    <x v="1"/>
    <x v="0"/>
    <x v="3"/>
    <x v="0"/>
    <n v="42000"/>
    <n v="50000"/>
    <n v="150000"/>
    <n v="126000"/>
    <x v="14"/>
    <n v="0.16"/>
    <s v="Low Profit"/>
  </r>
  <r>
    <s v="O00417"/>
    <x v="240"/>
    <x v="3"/>
    <s v="C0124"/>
    <s v="P098"/>
    <n v="3"/>
    <x v="4"/>
    <x v="1"/>
    <x v="1"/>
    <x v="1"/>
    <n v="9000"/>
    <n v="12000"/>
    <n v="36000"/>
    <n v="27000"/>
    <x v="11"/>
    <n v="0.25"/>
    <s v="High Profit"/>
  </r>
  <r>
    <s v="O00418"/>
    <x v="233"/>
    <x v="4"/>
    <s v="C0107"/>
    <s v="P020"/>
    <n v="2"/>
    <x v="10"/>
    <x v="0"/>
    <x v="5"/>
    <x v="1"/>
    <n v="500"/>
    <n v="800"/>
    <n v="1600"/>
    <n v="1000"/>
    <x v="5"/>
    <n v="0.375"/>
    <s v="High Profit"/>
  </r>
  <r>
    <s v="O00419"/>
    <x v="186"/>
    <x v="10"/>
    <s v="C0149"/>
    <s v="P059"/>
    <n v="5"/>
    <x v="8"/>
    <x v="1"/>
    <x v="4"/>
    <x v="1"/>
    <n v="900"/>
    <n v="1500"/>
    <n v="7500"/>
    <n v="4500"/>
    <x v="12"/>
    <n v="0.4"/>
    <s v="High Profit"/>
  </r>
  <r>
    <s v="O00420"/>
    <x v="9"/>
    <x v="3"/>
    <s v="C0073"/>
    <s v="P037"/>
    <n v="1"/>
    <x v="6"/>
    <x v="4"/>
    <x v="0"/>
    <x v="0"/>
    <n v="12000"/>
    <n v="15000"/>
    <n v="15000"/>
    <n v="12000"/>
    <x v="12"/>
    <n v="0.2"/>
    <s v="Low Profit"/>
  </r>
  <r>
    <s v="O00421"/>
    <x v="67"/>
    <x v="3"/>
    <s v="C0176"/>
    <s v="P097"/>
    <n v="2"/>
    <x v="1"/>
    <x v="3"/>
    <x v="1"/>
    <x v="1"/>
    <n v="9000"/>
    <n v="12000"/>
    <n v="24000"/>
    <n v="18000"/>
    <x v="0"/>
    <n v="0.25"/>
    <s v="High Profit"/>
  </r>
  <r>
    <s v="O00422"/>
    <x v="241"/>
    <x v="1"/>
    <s v="C0131"/>
    <s v="P091"/>
    <n v="4"/>
    <x v="0"/>
    <x v="3"/>
    <x v="1"/>
    <x v="1"/>
    <n v="9000"/>
    <n v="12000"/>
    <n v="48000"/>
    <n v="36000"/>
    <x v="1"/>
    <n v="0.25"/>
    <s v="High Profit"/>
  </r>
  <r>
    <s v="O00423"/>
    <x v="94"/>
    <x v="4"/>
    <s v="C0294"/>
    <s v="P046"/>
    <n v="5"/>
    <x v="3"/>
    <x v="6"/>
    <x v="5"/>
    <x v="1"/>
    <n v="500"/>
    <n v="800"/>
    <n v="4000"/>
    <n v="2500"/>
    <x v="16"/>
    <n v="0.375"/>
    <s v="High Profit"/>
  </r>
  <r>
    <s v="O00424"/>
    <x v="242"/>
    <x v="0"/>
    <s v="C0016"/>
    <s v="P023"/>
    <n v="1"/>
    <x v="2"/>
    <x v="1"/>
    <x v="6"/>
    <x v="1"/>
    <n v="2000"/>
    <n v="3000"/>
    <n v="3000"/>
    <n v="2000"/>
    <x v="21"/>
    <n v="0.33333333333333331"/>
    <s v="High Profit"/>
  </r>
  <r>
    <s v="O00425"/>
    <x v="243"/>
    <x v="6"/>
    <s v="C0248"/>
    <s v="P056"/>
    <n v="3"/>
    <x v="10"/>
    <x v="4"/>
    <x v="6"/>
    <x v="1"/>
    <n v="2000"/>
    <n v="3000"/>
    <n v="9000"/>
    <n v="6000"/>
    <x v="12"/>
    <n v="0.33333333333333331"/>
    <s v="High Profit"/>
  </r>
  <r>
    <s v="O00426"/>
    <x v="215"/>
    <x v="8"/>
    <s v="C0227"/>
    <s v="P016"/>
    <n v="1"/>
    <x v="0"/>
    <x v="5"/>
    <x v="2"/>
    <x v="0"/>
    <n v="20000"/>
    <n v="25000"/>
    <n v="25000"/>
    <n v="20000"/>
    <x v="10"/>
    <n v="0.2"/>
    <s v="Low Profit"/>
  </r>
  <r>
    <s v="O00427"/>
    <x v="239"/>
    <x v="2"/>
    <s v="C0135"/>
    <s v="P010"/>
    <n v="2"/>
    <x v="8"/>
    <x v="1"/>
    <x v="1"/>
    <x v="1"/>
    <n v="9000"/>
    <n v="12000"/>
    <n v="24000"/>
    <n v="18000"/>
    <x v="0"/>
    <n v="0.25"/>
    <s v="High Profit"/>
  </r>
  <r>
    <s v="O00428"/>
    <x v="244"/>
    <x v="5"/>
    <s v="C0091"/>
    <s v="P027"/>
    <n v="1"/>
    <x v="9"/>
    <x v="0"/>
    <x v="3"/>
    <x v="0"/>
    <n v="42000"/>
    <n v="50000"/>
    <n v="50000"/>
    <n v="42000"/>
    <x v="18"/>
    <n v="0.16"/>
    <s v="Low Profit"/>
  </r>
  <r>
    <s v="O00429"/>
    <x v="245"/>
    <x v="9"/>
    <s v="C0106"/>
    <s v="P019"/>
    <n v="2"/>
    <x v="6"/>
    <x v="3"/>
    <x v="3"/>
    <x v="0"/>
    <n v="42000"/>
    <n v="50000"/>
    <n v="100000"/>
    <n v="84000"/>
    <x v="23"/>
    <n v="0.16"/>
    <s v="Low Profit"/>
  </r>
  <r>
    <s v="O00430"/>
    <x v="226"/>
    <x v="8"/>
    <s v="C0287"/>
    <s v="P053"/>
    <n v="1"/>
    <x v="0"/>
    <x v="7"/>
    <x v="3"/>
    <x v="0"/>
    <n v="42000"/>
    <n v="50000"/>
    <n v="50000"/>
    <n v="42000"/>
    <x v="18"/>
    <n v="0.16"/>
    <s v="Low Profit"/>
  </r>
  <r>
    <s v="O00431"/>
    <x v="126"/>
    <x v="11"/>
    <s v="C0081"/>
    <s v="P044"/>
    <n v="2"/>
    <x v="3"/>
    <x v="7"/>
    <x v="3"/>
    <x v="0"/>
    <n v="42000"/>
    <n v="50000"/>
    <n v="100000"/>
    <n v="84000"/>
    <x v="23"/>
    <n v="0.16"/>
    <s v="Low Profit"/>
  </r>
  <r>
    <s v="O00432"/>
    <x v="246"/>
    <x v="6"/>
    <s v="C0231"/>
    <s v="P040"/>
    <n v="2"/>
    <x v="2"/>
    <x v="0"/>
    <x v="3"/>
    <x v="0"/>
    <n v="42000"/>
    <n v="50000"/>
    <n v="100000"/>
    <n v="84000"/>
    <x v="23"/>
    <n v="0.16"/>
    <s v="Low Profit"/>
  </r>
  <r>
    <s v="O00433"/>
    <x v="247"/>
    <x v="4"/>
    <s v="C0143"/>
    <s v="P071"/>
    <n v="4"/>
    <x v="9"/>
    <x v="2"/>
    <x v="5"/>
    <x v="1"/>
    <n v="500"/>
    <n v="800"/>
    <n v="3200"/>
    <n v="2000"/>
    <x v="4"/>
    <n v="0.375"/>
    <s v="High Profit"/>
  </r>
  <r>
    <s v="O00434"/>
    <x v="23"/>
    <x v="2"/>
    <s v="C0228"/>
    <s v="P087"/>
    <n v="4"/>
    <x v="5"/>
    <x v="4"/>
    <x v="1"/>
    <x v="1"/>
    <n v="9000"/>
    <n v="12000"/>
    <n v="48000"/>
    <n v="36000"/>
    <x v="1"/>
    <n v="0.25"/>
    <s v="High Profit"/>
  </r>
  <r>
    <s v="O00435"/>
    <x v="118"/>
    <x v="5"/>
    <s v="C0008"/>
    <s v="P046"/>
    <n v="5"/>
    <x v="9"/>
    <x v="0"/>
    <x v="5"/>
    <x v="1"/>
    <n v="500"/>
    <n v="800"/>
    <n v="4000"/>
    <n v="2500"/>
    <x v="16"/>
    <n v="0.375"/>
    <s v="High Profit"/>
  </r>
  <r>
    <s v="O00436"/>
    <x v="32"/>
    <x v="0"/>
    <s v="C0261"/>
    <s v="P092"/>
    <n v="5"/>
    <x v="2"/>
    <x v="5"/>
    <x v="1"/>
    <x v="1"/>
    <n v="9000"/>
    <n v="12000"/>
    <n v="60000"/>
    <n v="45000"/>
    <x v="6"/>
    <n v="0.25"/>
    <s v="High Profit"/>
  </r>
  <r>
    <s v="O00437"/>
    <x v="101"/>
    <x v="4"/>
    <s v="C0173"/>
    <s v="P015"/>
    <n v="4"/>
    <x v="3"/>
    <x v="2"/>
    <x v="0"/>
    <x v="0"/>
    <n v="12000"/>
    <n v="15000"/>
    <n v="60000"/>
    <n v="48000"/>
    <x v="1"/>
    <n v="0.2"/>
    <s v="Low Profit"/>
  </r>
  <r>
    <s v="O00438"/>
    <x v="248"/>
    <x v="1"/>
    <s v="C0297"/>
    <s v="P022"/>
    <n v="5"/>
    <x v="3"/>
    <x v="0"/>
    <x v="3"/>
    <x v="0"/>
    <n v="42000"/>
    <n v="50000"/>
    <n v="250000"/>
    <n v="210000"/>
    <x v="3"/>
    <n v="0.16"/>
    <s v="Low Profit"/>
  </r>
  <r>
    <s v="O00439"/>
    <x v="37"/>
    <x v="8"/>
    <s v="C0144"/>
    <s v="P039"/>
    <n v="5"/>
    <x v="2"/>
    <x v="3"/>
    <x v="1"/>
    <x v="1"/>
    <n v="9000"/>
    <n v="12000"/>
    <n v="60000"/>
    <n v="45000"/>
    <x v="6"/>
    <n v="0.25"/>
    <s v="High Profit"/>
  </r>
  <r>
    <s v="O00440"/>
    <x v="137"/>
    <x v="9"/>
    <s v="C0216"/>
    <s v="P045"/>
    <n v="4"/>
    <x v="1"/>
    <x v="3"/>
    <x v="4"/>
    <x v="1"/>
    <n v="900"/>
    <n v="1500"/>
    <n v="6000"/>
    <n v="3600"/>
    <x v="17"/>
    <n v="0.4"/>
    <s v="High Profit"/>
  </r>
  <r>
    <s v="O00441"/>
    <x v="143"/>
    <x v="0"/>
    <s v="C0174"/>
    <s v="P069"/>
    <n v="2"/>
    <x v="11"/>
    <x v="4"/>
    <x v="1"/>
    <x v="1"/>
    <n v="9000"/>
    <n v="12000"/>
    <n v="24000"/>
    <n v="18000"/>
    <x v="0"/>
    <n v="0.25"/>
    <s v="High Profit"/>
  </r>
  <r>
    <s v="O00442"/>
    <x v="39"/>
    <x v="7"/>
    <s v="C0178"/>
    <s v="P030"/>
    <n v="1"/>
    <x v="6"/>
    <x v="2"/>
    <x v="2"/>
    <x v="0"/>
    <n v="20000"/>
    <n v="25000"/>
    <n v="25000"/>
    <n v="20000"/>
    <x v="10"/>
    <n v="0.2"/>
    <s v="Low Profit"/>
  </r>
  <r>
    <s v="O00443"/>
    <x v="219"/>
    <x v="6"/>
    <s v="C0247"/>
    <s v="P014"/>
    <n v="4"/>
    <x v="6"/>
    <x v="7"/>
    <x v="5"/>
    <x v="1"/>
    <n v="500"/>
    <n v="800"/>
    <n v="3200"/>
    <n v="2000"/>
    <x v="4"/>
    <n v="0.375"/>
    <s v="High Profit"/>
  </r>
  <r>
    <s v="O00444"/>
    <x v="249"/>
    <x v="8"/>
    <s v="C0016"/>
    <s v="P088"/>
    <n v="3"/>
    <x v="2"/>
    <x v="1"/>
    <x v="5"/>
    <x v="1"/>
    <n v="500"/>
    <n v="800"/>
    <n v="2400"/>
    <n v="1500"/>
    <x v="19"/>
    <n v="0.375"/>
    <s v="High Profit"/>
  </r>
  <r>
    <s v="O00445"/>
    <x v="52"/>
    <x v="10"/>
    <s v="C0254"/>
    <s v="P047"/>
    <n v="4"/>
    <x v="6"/>
    <x v="0"/>
    <x v="6"/>
    <x v="1"/>
    <n v="2000"/>
    <n v="3000"/>
    <n v="12000"/>
    <n v="8000"/>
    <x v="20"/>
    <n v="0.33333333333333331"/>
    <s v="High Profit"/>
  </r>
  <r>
    <s v="O00446"/>
    <x v="250"/>
    <x v="6"/>
    <s v="C0051"/>
    <s v="P038"/>
    <n v="2"/>
    <x v="4"/>
    <x v="0"/>
    <x v="7"/>
    <x v="0"/>
    <n v="15000"/>
    <n v="18000"/>
    <n v="36000"/>
    <n v="30000"/>
    <x v="0"/>
    <n v="0.16666666666666666"/>
    <s v="Low Profit"/>
  </r>
  <r>
    <s v="O00447"/>
    <x v="203"/>
    <x v="10"/>
    <s v="C0293"/>
    <s v="P089"/>
    <n v="2"/>
    <x v="2"/>
    <x v="1"/>
    <x v="6"/>
    <x v="1"/>
    <n v="2000"/>
    <n v="3000"/>
    <n v="6000"/>
    <n v="4000"/>
    <x v="22"/>
    <n v="0.33333333333333331"/>
    <s v="High Profit"/>
  </r>
  <r>
    <s v="O00448"/>
    <x v="25"/>
    <x v="2"/>
    <s v="C0206"/>
    <s v="P088"/>
    <n v="4"/>
    <x v="5"/>
    <x v="0"/>
    <x v="5"/>
    <x v="1"/>
    <n v="500"/>
    <n v="800"/>
    <n v="3200"/>
    <n v="2000"/>
    <x v="4"/>
    <n v="0.375"/>
    <s v="High Profit"/>
  </r>
  <r>
    <s v="O00449"/>
    <x v="15"/>
    <x v="0"/>
    <s v="C0033"/>
    <s v="P053"/>
    <n v="2"/>
    <x v="11"/>
    <x v="5"/>
    <x v="3"/>
    <x v="0"/>
    <n v="42000"/>
    <n v="50000"/>
    <n v="100000"/>
    <n v="84000"/>
    <x v="23"/>
    <n v="0.16"/>
    <s v="Low Profit"/>
  </r>
  <r>
    <s v="O00450"/>
    <x v="125"/>
    <x v="6"/>
    <s v="C0120"/>
    <s v="P081"/>
    <n v="2"/>
    <x v="11"/>
    <x v="1"/>
    <x v="7"/>
    <x v="0"/>
    <n v="15000"/>
    <n v="18000"/>
    <n v="36000"/>
    <n v="30000"/>
    <x v="0"/>
    <n v="0.16666666666666666"/>
    <s v="Low Profit"/>
  </r>
  <r>
    <s v="O00451"/>
    <x v="214"/>
    <x v="6"/>
    <s v="C0033"/>
    <s v="P021"/>
    <n v="3"/>
    <x v="11"/>
    <x v="5"/>
    <x v="2"/>
    <x v="0"/>
    <n v="20000"/>
    <n v="25000"/>
    <n v="75000"/>
    <n v="60000"/>
    <x v="6"/>
    <n v="0.2"/>
    <s v="Low Profit"/>
  </r>
  <r>
    <s v="O00452"/>
    <x v="55"/>
    <x v="1"/>
    <s v="C0131"/>
    <s v="P058"/>
    <n v="3"/>
    <x v="0"/>
    <x v="3"/>
    <x v="4"/>
    <x v="1"/>
    <n v="900"/>
    <n v="1500"/>
    <n v="4500"/>
    <n v="2700"/>
    <x v="13"/>
    <n v="0.4"/>
    <s v="High Profit"/>
  </r>
  <r>
    <s v="O00453"/>
    <x v="69"/>
    <x v="7"/>
    <s v="C0250"/>
    <s v="P062"/>
    <n v="3"/>
    <x v="4"/>
    <x v="2"/>
    <x v="5"/>
    <x v="1"/>
    <n v="500"/>
    <n v="800"/>
    <n v="2400"/>
    <n v="1500"/>
    <x v="19"/>
    <n v="0.375"/>
    <s v="High Profit"/>
  </r>
  <r>
    <s v="O00454"/>
    <x v="83"/>
    <x v="11"/>
    <s v="C0132"/>
    <s v="P030"/>
    <n v="2"/>
    <x v="5"/>
    <x v="0"/>
    <x v="2"/>
    <x v="0"/>
    <n v="20000"/>
    <n v="25000"/>
    <n v="50000"/>
    <n v="40000"/>
    <x v="2"/>
    <n v="0.2"/>
    <s v="Low Profit"/>
  </r>
  <r>
    <s v="O00455"/>
    <x v="251"/>
    <x v="8"/>
    <s v="C0159"/>
    <s v="P041"/>
    <n v="4"/>
    <x v="12"/>
    <x v="0"/>
    <x v="2"/>
    <x v="0"/>
    <n v="20000"/>
    <n v="25000"/>
    <n v="100000"/>
    <n v="80000"/>
    <x v="9"/>
    <n v="0.2"/>
    <s v="Low Profit"/>
  </r>
  <r>
    <s v="O00456"/>
    <x v="188"/>
    <x v="1"/>
    <s v="C0016"/>
    <s v="P069"/>
    <n v="5"/>
    <x v="2"/>
    <x v="1"/>
    <x v="1"/>
    <x v="1"/>
    <n v="9000"/>
    <n v="12000"/>
    <n v="60000"/>
    <n v="45000"/>
    <x v="6"/>
    <n v="0.25"/>
    <s v="High Profit"/>
  </r>
  <r>
    <s v="O00457"/>
    <x v="71"/>
    <x v="3"/>
    <s v="C0184"/>
    <s v="P097"/>
    <n v="2"/>
    <x v="2"/>
    <x v="6"/>
    <x v="1"/>
    <x v="1"/>
    <n v="9000"/>
    <n v="12000"/>
    <n v="24000"/>
    <n v="18000"/>
    <x v="0"/>
    <n v="0.25"/>
    <s v="High Profit"/>
  </r>
  <r>
    <s v="O00458"/>
    <x v="252"/>
    <x v="8"/>
    <s v="C0138"/>
    <s v="P041"/>
    <n v="3"/>
    <x v="4"/>
    <x v="6"/>
    <x v="2"/>
    <x v="0"/>
    <n v="20000"/>
    <n v="25000"/>
    <n v="75000"/>
    <n v="60000"/>
    <x v="6"/>
    <n v="0.2"/>
    <s v="Low Profit"/>
  </r>
  <r>
    <s v="O00459"/>
    <x v="253"/>
    <x v="0"/>
    <s v="C0020"/>
    <s v="P099"/>
    <n v="2"/>
    <x v="0"/>
    <x v="0"/>
    <x v="4"/>
    <x v="1"/>
    <n v="900"/>
    <n v="1500"/>
    <n v="3000"/>
    <n v="1800"/>
    <x v="4"/>
    <n v="0.4"/>
    <s v="High Profit"/>
  </r>
  <r>
    <s v="O00460"/>
    <x v="49"/>
    <x v="4"/>
    <s v="C0180"/>
    <s v="P047"/>
    <n v="4"/>
    <x v="0"/>
    <x v="0"/>
    <x v="6"/>
    <x v="1"/>
    <n v="2000"/>
    <n v="3000"/>
    <n v="12000"/>
    <n v="8000"/>
    <x v="20"/>
    <n v="0.33333333333333331"/>
    <s v="High Profit"/>
  </r>
  <r>
    <s v="O00461"/>
    <x v="55"/>
    <x v="1"/>
    <s v="C0271"/>
    <s v="P031"/>
    <n v="2"/>
    <x v="0"/>
    <x v="8"/>
    <x v="4"/>
    <x v="1"/>
    <n v="900"/>
    <n v="1500"/>
    <n v="3000"/>
    <n v="1800"/>
    <x v="4"/>
    <n v="0.4"/>
    <s v="High Profit"/>
  </r>
  <r>
    <s v="O00462"/>
    <x v="52"/>
    <x v="10"/>
    <s v="C0115"/>
    <s v="P021"/>
    <n v="1"/>
    <x v="0"/>
    <x v="4"/>
    <x v="2"/>
    <x v="0"/>
    <n v="20000"/>
    <n v="25000"/>
    <n v="25000"/>
    <n v="20000"/>
    <x v="10"/>
    <n v="0.2"/>
    <s v="Low Profit"/>
  </r>
  <r>
    <s v="O00463"/>
    <x v="254"/>
    <x v="3"/>
    <s v="C0056"/>
    <s v="P068"/>
    <n v="4"/>
    <x v="4"/>
    <x v="7"/>
    <x v="1"/>
    <x v="1"/>
    <n v="9000"/>
    <n v="12000"/>
    <n v="48000"/>
    <n v="36000"/>
    <x v="1"/>
    <n v="0.25"/>
    <s v="High Profit"/>
  </r>
  <r>
    <s v="O00464"/>
    <x v="255"/>
    <x v="6"/>
    <s v="C0209"/>
    <s v="P052"/>
    <n v="5"/>
    <x v="10"/>
    <x v="6"/>
    <x v="5"/>
    <x v="1"/>
    <n v="500"/>
    <n v="800"/>
    <n v="4000"/>
    <n v="2500"/>
    <x v="16"/>
    <n v="0.375"/>
    <s v="High Profit"/>
  </r>
  <r>
    <s v="O00465"/>
    <x v="67"/>
    <x v="3"/>
    <s v="C0151"/>
    <s v="P017"/>
    <n v="4"/>
    <x v="6"/>
    <x v="6"/>
    <x v="4"/>
    <x v="1"/>
    <n v="900"/>
    <n v="1500"/>
    <n v="6000"/>
    <n v="3600"/>
    <x v="17"/>
    <n v="0.4"/>
    <s v="High Profit"/>
  </r>
  <r>
    <s v="O00466"/>
    <x v="256"/>
    <x v="7"/>
    <s v="C0018"/>
    <s v="P091"/>
    <n v="4"/>
    <x v="11"/>
    <x v="5"/>
    <x v="1"/>
    <x v="1"/>
    <n v="9000"/>
    <n v="12000"/>
    <n v="48000"/>
    <n v="36000"/>
    <x v="1"/>
    <n v="0.25"/>
    <s v="High Profit"/>
  </r>
  <r>
    <s v="O00467"/>
    <x v="197"/>
    <x v="4"/>
    <s v="C0198"/>
    <s v="P037"/>
    <n v="3"/>
    <x v="12"/>
    <x v="3"/>
    <x v="0"/>
    <x v="0"/>
    <n v="12000"/>
    <n v="15000"/>
    <n v="45000"/>
    <n v="36000"/>
    <x v="11"/>
    <n v="0.2"/>
    <s v="Low Profit"/>
  </r>
  <r>
    <s v="O00468"/>
    <x v="238"/>
    <x v="6"/>
    <s v="C0291"/>
    <s v="P074"/>
    <n v="5"/>
    <x v="0"/>
    <x v="5"/>
    <x v="4"/>
    <x v="1"/>
    <n v="900"/>
    <n v="1500"/>
    <n v="7500"/>
    <n v="4500"/>
    <x v="12"/>
    <n v="0.4"/>
    <s v="High Profit"/>
  </r>
  <r>
    <s v="O00469"/>
    <x v="134"/>
    <x v="10"/>
    <s v="C0217"/>
    <s v="P094"/>
    <n v="4"/>
    <x v="9"/>
    <x v="7"/>
    <x v="6"/>
    <x v="1"/>
    <n v="2000"/>
    <n v="3000"/>
    <n v="12000"/>
    <n v="8000"/>
    <x v="20"/>
    <n v="0.33333333333333331"/>
    <s v="High Profit"/>
  </r>
  <r>
    <s v="O00470"/>
    <x v="165"/>
    <x v="11"/>
    <s v="C0193"/>
    <s v="P045"/>
    <n v="1"/>
    <x v="1"/>
    <x v="5"/>
    <x v="4"/>
    <x v="1"/>
    <n v="900"/>
    <n v="1500"/>
    <n v="1500"/>
    <n v="900"/>
    <x v="5"/>
    <n v="0.4"/>
    <s v="High Profit"/>
  </r>
  <r>
    <s v="O00471"/>
    <x v="142"/>
    <x v="10"/>
    <s v="C0102"/>
    <s v="P096"/>
    <n v="2"/>
    <x v="12"/>
    <x v="1"/>
    <x v="0"/>
    <x v="0"/>
    <n v="12000"/>
    <n v="15000"/>
    <n v="30000"/>
    <n v="24000"/>
    <x v="0"/>
    <n v="0.2"/>
    <s v="Low Profit"/>
  </r>
  <r>
    <s v="O00472"/>
    <x v="257"/>
    <x v="9"/>
    <s v="C0137"/>
    <s v="P044"/>
    <n v="3"/>
    <x v="1"/>
    <x v="0"/>
    <x v="3"/>
    <x v="0"/>
    <n v="42000"/>
    <n v="50000"/>
    <n v="150000"/>
    <n v="126000"/>
    <x v="14"/>
    <n v="0.16"/>
    <s v="Low Profit"/>
  </r>
  <r>
    <s v="O00473"/>
    <x v="106"/>
    <x v="6"/>
    <s v="C0032"/>
    <s v="P035"/>
    <n v="3"/>
    <x v="1"/>
    <x v="4"/>
    <x v="1"/>
    <x v="1"/>
    <n v="9000"/>
    <n v="12000"/>
    <n v="36000"/>
    <n v="27000"/>
    <x v="11"/>
    <n v="0.25"/>
    <s v="High Profit"/>
  </r>
  <r>
    <s v="O00474"/>
    <x v="68"/>
    <x v="0"/>
    <s v="C0171"/>
    <s v="P034"/>
    <n v="2"/>
    <x v="0"/>
    <x v="5"/>
    <x v="4"/>
    <x v="1"/>
    <n v="900"/>
    <n v="1500"/>
    <n v="3000"/>
    <n v="1800"/>
    <x v="4"/>
    <n v="0.4"/>
    <s v="High Profit"/>
  </r>
  <r>
    <s v="O00475"/>
    <x v="98"/>
    <x v="1"/>
    <s v="C0287"/>
    <s v="P064"/>
    <n v="5"/>
    <x v="0"/>
    <x v="7"/>
    <x v="2"/>
    <x v="0"/>
    <n v="20000"/>
    <n v="25000"/>
    <n v="125000"/>
    <n v="100000"/>
    <x v="15"/>
    <n v="0.2"/>
    <s v="Low Profit"/>
  </r>
  <r>
    <s v="O00476"/>
    <x v="136"/>
    <x v="4"/>
    <s v="C0107"/>
    <s v="P095"/>
    <n v="1"/>
    <x v="10"/>
    <x v="0"/>
    <x v="2"/>
    <x v="0"/>
    <n v="20000"/>
    <n v="25000"/>
    <n v="25000"/>
    <n v="20000"/>
    <x v="10"/>
    <n v="0.2"/>
    <s v="Low Profit"/>
  </r>
  <r>
    <s v="O00477"/>
    <x v="258"/>
    <x v="2"/>
    <s v="C0091"/>
    <s v="P042"/>
    <n v="2"/>
    <x v="9"/>
    <x v="0"/>
    <x v="4"/>
    <x v="1"/>
    <n v="900"/>
    <n v="1500"/>
    <n v="3000"/>
    <n v="1800"/>
    <x v="4"/>
    <n v="0.4"/>
    <s v="High Profit"/>
  </r>
  <r>
    <s v="O00478"/>
    <x v="259"/>
    <x v="9"/>
    <s v="C0246"/>
    <s v="P043"/>
    <n v="1"/>
    <x v="12"/>
    <x v="2"/>
    <x v="0"/>
    <x v="0"/>
    <n v="12000"/>
    <n v="15000"/>
    <n v="15000"/>
    <n v="12000"/>
    <x v="12"/>
    <n v="0.2"/>
    <s v="Low Profit"/>
  </r>
  <r>
    <s v="O00479"/>
    <x v="223"/>
    <x v="0"/>
    <s v="C0157"/>
    <s v="P047"/>
    <n v="3"/>
    <x v="0"/>
    <x v="3"/>
    <x v="6"/>
    <x v="1"/>
    <n v="2000"/>
    <n v="3000"/>
    <n v="9000"/>
    <n v="6000"/>
    <x v="12"/>
    <n v="0.33333333333333331"/>
    <s v="High Profit"/>
  </r>
  <r>
    <s v="O00480"/>
    <x v="114"/>
    <x v="11"/>
    <s v="C0056"/>
    <s v="P053"/>
    <n v="2"/>
    <x v="4"/>
    <x v="7"/>
    <x v="3"/>
    <x v="0"/>
    <n v="42000"/>
    <n v="50000"/>
    <n v="100000"/>
    <n v="84000"/>
    <x v="23"/>
    <n v="0.16"/>
    <s v="Low Profit"/>
  </r>
  <r>
    <s v="O00481"/>
    <x v="237"/>
    <x v="3"/>
    <s v="C0247"/>
    <s v="P034"/>
    <n v="3"/>
    <x v="6"/>
    <x v="7"/>
    <x v="4"/>
    <x v="1"/>
    <n v="900"/>
    <n v="1500"/>
    <n v="4500"/>
    <n v="2700"/>
    <x v="13"/>
    <n v="0.4"/>
    <s v="High Profit"/>
  </r>
  <r>
    <s v="O00482"/>
    <x v="254"/>
    <x v="3"/>
    <s v="C0264"/>
    <s v="P019"/>
    <n v="4"/>
    <x v="1"/>
    <x v="3"/>
    <x v="3"/>
    <x v="0"/>
    <n v="42000"/>
    <n v="50000"/>
    <n v="200000"/>
    <n v="168000"/>
    <x v="8"/>
    <n v="0.16"/>
    <s v="Low Profit"/>
  </r>
  <r>
    <s v="O00483"/>
    <x v="153"/>
    <x v="6"/>
    <s v="C0188"/>
    <s v="P065"/>
    <n v="2"/>
    <x v="1"/>
    <x v="3"/>
    <x v="5"/>
    <x v="1"/>
    <n v="500"/>
    <n v="800"/>
    <n v="1600"/>
    <n v="1000"/>
    <x v="5"/>
    <n v="0.375"/>
    <s v="High Profit"/>
  </r>
  <r>
    <s v="O00484"/>
    <x v="16"/>
    <x v="8"/>
    <s v="C0018"/>
    <s v="P079"/>
    <n v="4"/>
    <x v="11"/>
    <x v="5"/>
    <x v="5"/>
    <x v="1"/>
    <n v="500"/>
    <n v="800"/>
    <n v="3200"/>
    <n v="2000"/>
    <x v="4"/>
    <n v="0.375"/>
    <s v="High Profit"/>
  </r>
  <r>
    <s v="O00485"/>
    <x v="260"/>
    <x v="9"/>
    <s v="C0279"/>
    <s v="P050"/>
    <n v="2"/>
    <x v="9"/>
    <x v="4"/>
    <x v="5"/>
    <x v="1"/>
    <n v="500"/>
    <n v="800"/>
    <n v="1600"/>
    <n v="1000"/>
    <x v="5"/>
    <n v="0.375"/>
    <s v="High Profit"/>
  </r>
  <r>
    <s v="O00486"/>
    <x v="58"/>
    <x v="2"/>
    <s v="C0073"/>
    <s v="P063"/>
    <n v="2"/>
    <x v="6"/>
    <x v="4"/>
    <x v="6"/>
    <x v="1"/>
    <n v="2000"/>
    <n v="3000"/>
    <n v="6000"/>
    <n v="4000"/>
    <x v="22"/>
    <n v="0.33333333333333331"/>
    <s v="High Profit"/>
  </r>
  <r>
    <s v="O00487"/>
    <x v="201"/>
    <x v="4"/>
    <s v="C0239"/>
    <s v="P011"/>
    <n v="4"/>
    <x v="3"/>
    <x v="6"/>
    <x v="4"/>
    <x v="1"/>
    <n v="900"/>
    <n v="1500"/>
    <n v="6000"/>
    <n v="3600"/>
    <x v="17"/>
    <n v="0.4"/>
    <s v="High Profit"/>
  </r>
  <r>
    <s v="O00488"/>
    <x v="261"/>
    <x v="9"/>
    <s v="C0023"/>
    <s v="P061"/>
    <n v="1"/>
    <x v="6"/>
    <x v="6"/>
    <x v="0"/>
    <x v="0"/>
    <n v="12000"/>
    <n v="15000"/>
    <n v="15000"/>
    <n v="12000"/>
    <x v="12"/>
    <n v="0.2"/>
    <s v="Low Profit"/>
  </r>
  <r>
    <s v="O00489"/>
    <x v="75"/>
    <x v="1"/>
    <s v="C9999"/>
    <s v="P039"/>
    <n v="2"/>
    <x v="7"/>
    <x v="8"/>
    <x v="1"/>
    <x v="1"/>
    <n v="9000"/>
    <n v="12000"/>
    <n v="24000"/>
    <n v="18000"/>
    <x v="0"/>
    <n v="0.25"/>
    <s v="High Profit"/>
  </r>
  <r>
    <s v="O00490"/>
    <x v="43"/>
    <x v="8"/>
    <s v="C0080"/>
    <s v="P092"/>
    <n v="2"/>
    <x v="8"/>
    <x v="0"/>
    <x v="1"/>
    <x v="1"/>
    <n v="9000"/>
    <n v="12000"/>
    <n v="24000"/>
    <n v="18000"/>
    <x v="0"/>
    <n v="0.25"/>
    <s v="High Profit"/>
  </r>
  <r>
    <s v="O00491"/>
    <x v="262"/>
    <x v="0"/>
    <s v="C0154"/>
    <s v="P024"/>
    <n v="4"/>
    <x v="1"/>
    <x v="0"/>
    <x v="5"/>
    <x v="1"/>
    <n v="500"/>
    <n v="800"/>
    <n v="3200"/>
    <n v="2000"/>
    <x v="4"/>
    <n v="0.375"/>
    <s v="High Profit"/>
  </r>
  <r>
    <s v="O00492"/>
    <x v="99"/>
    <x v="11"/>
    <s v="C0080"/>
    <s v="P098"/>
    <n v="3"/>
    <x v="8"/>
    <x v="0"/>
    <x v="1"/>
    <x v="1"/>
    <n v="9000"/>
    <n v="12000"/>
    <n v="36000"/>
    <n v="27000"/>
    <x v="11"/>
    <n v="0.25"/>
    <s v="High Profit"/>
  </r>
  <r>
    <s v="O00493"/>
    <x v="220"/>
    <x v="9"/>
    <s v="C9999"/>
    <s v="P058"/>
    <n v="1"/>
    <x v="7"/>
    <x v="8"/>
    <x v="4"/>
    <x v="1"/>
    <n v="900"/>
    <n v="1500"/>
    <n v="1500"/>
    <n v="900"/>
    <x v="5"/>
    <n v="0.4"/>
    <s v="High Profit"/>
  </r>
  <r>
    <s v="O00494"/>
    <x v="233"/>
    <x v="4"/>
    <s v="C0085"/>
    <s v="P079"/>
    <n v="5"/>
    <x v="11"/>
    <x v="6"/>
    <x v="5"/>
    <x v="1"/>
    <n v="500"/>
    <n v="800"/>
    <n v="4000"/>
    <n v="2500"/>
    <x v="16"/>
    <n v="0.375"/>
    <s v="High Profit"/>
  </r>
  <r>
    <s v="O00495"/>
    <x v="263"/>
    <x v="7"/>
    <s v="C0066"/>
    <s v="P069"/>
    <n v="5"/>
    <x v="1"/>
    <x v="1"/>
    <x v="1"/>
    <x v="1"/>
    <n v="9000"/>
    <n v="12000"/>
    <n v="60000"/>
    <n v="45000"/>
    <x v="6"/>
    <n v="0.25"/>
    <s v="High Profit"/>
  </r>
  <r>
    <s v="O00496"/>
    <x v="264"/>
    <x v="3"/>
    <s v="C0035"/>
    <s v="P060"/>
    <n v="1"/>
    <x v="8"/>
    <x v="1"/>
    <x v="5"/>
    <x v="1"/>
    <n v="500"/>
    <n v="800"/>
    <n v="800"/>
    <n v="500"/>
    <x v="7"/>
    <n v="0.375"/>
    <s v="High Profit"/>
  </r>
  <r>
    <s v="O00497"/>
    <x v="17"/>
    <x v="3"/>
    <s v="C0044"/>
    <s v="P089"/>
    <n v="4"/>
    <x v="6"/>
    <x v="3"/>
    <x v="6"/>
    <x v="1"/>
    <n v="2000"/>
    <n v="3000"/>
    <n v="12000"/>
    <n v="8000"/>
    <x v="20"/>
    <n v="0.33333333333333331"/>
    <s v="High Profit"/>
  </r>
  <r>
    <s v="O00498"/>
    <x v="29"/>
    <x v="0"/>
    <s v="C0013"/>
    <s v="P079"/>
    <n v="5"/>
    <x v="6"/>
    <x v="6"/>
    <x v="5"/>
    <x v="1"/>
    <n v="500"/>
    <n v="800"/>
    <n v="4000"/>
    <n v="2500"/>
    <x v="16"/>
    <n v="0.375"/>
    <s v="High Profit"/>
  </r>
  <r>
    <s v="O00499"/>
    <x v="79"/>
    <x v="5"/>
    <s v="C0213"/>
    <s v="P023"/>
    <n v="2"/>
    <x v="8"/>
    <x v="1"/>
    <x v="6"/>
    <x v="1"/>
    <n v="2000"/>
    <n v="3000"/>
    <n v="6000"/>
    <n v="4000"/>
    <x v="22"/>
    <n v="0.33333333333333331"/>
    <s v="High Profit"/>
  </r>
  <r>
    <s v="O00500"/>
    <x v="27"/>
    <x v="10"/>
    <s v="C0289"/>
    <s v="P074"/>
    <n v="4"/>
    <x v="5"/>
    <x v="5"/>
    <x v="4"/>
    <x v="1"/>
    <n v="900"/>
    <n v="1500"/>
    <n v="6000"/>
    <n v="3600"/>
    <x v="17"/>
    <n v="0.4"/>
    <s v="High Profit"/>
  </r>
  <r>
    <s v="O00501"/>
    <x v="105"/>
    <x v="9"/>
    <s v="C0157"/>
    <s v="P023"/>
    <n v="4"/>
    <x v="0"/>
    <x v="3"/>
    <x v="6"/>
    <x v="1"/>
    <n v="2000"/>
    <n v="3000"/>
    <n v="12000"/>
    <n v="8000"/>
    <x v="20"/>
    <n v="0.33333333333333331"/>
    <s v="High Profit"/>
  </r>
  <r>
    <s v="O00502"/>
    <x v="167"/>
    <x v="2"/>
    <s v="C0285"/>
    <s v="P056"/>
    <n v="3"/>
    <x v="9"/>
    <x v="4"/>
    <x v="6"/>
    <x v="1"/>
    <n v="2000"/>
    <n v="3000"/>
    <n v="9000"/>
    <n v="6000"/>
    <x v="12"/>
    <n v="0.33333333333333331"/>
    <s v="High Profit"/>
  </r>
  <r>
    <s v="O00503"/>
    <x v="265"/>
    <x v="7"/>
    <s v="C0097"/>
    <s v="P022"/>
    <n v="3"/>
    <x v="6"/>
    <x v="1"/>
    <x v="3"/>
    <x v="0"/>
    <n v="42000"/>
    <n v="50000"/>
    <n v="150000"/>
    <n v="126000"/>
    <x v="14"/>
    <n v="0.16"/>
    <s v="Low Profit"/>
  </r>
  <r>
    <s v="O00504"/>
    <x v="228"/>
    <x v="10"/>
    <s v="C0007"/>
    <s v="P046"/>
    <n v="2"/>
    <x v="8"/>
    <x v="0"/>
    <x v="5"/>
    <x v="1"/>
    <n v="500"/>
    <n v="800"/>
    <n v="1600"/>
    <n v="1000"/>
    <x v="5"/>
    <n v="0.375"/>
    <s v="High Profit"/>
  </r>
  <r>
    <s v="O00505"/>
    <x v="129"/>
    <x v="4"/>
    <s v="C0197"/>
    <s v="P083"/>
    <n v="5"/>
    <x v="4"/>
    <x v="1"/>
    <x v="7"/>
    <x v="0"/>
    <n v="15000"/>
    <n v="18000"/>
    <n v="90000"/>
    <n v="75000"/>
    <x v="6"/>
    <n v="0.16666666666666666"/>
    <s v="Low Profit"/>
  </r>
  <r>
    <s v="O00506"/>
    <x v="266"/>
    <x v="0"/>
    <s v="C0300"/>
    <s v="P016"/>
    <n v="3"/>
    <x v="2"/>
    <x v="2"/>
    <x v="2"/>
    <x v="0"/>
    <n v="20000"/>
    <n v="25000"/>
    <n v="75000"/>
    <n v="60000"/>
    <x v="6"/>
    <n v="0.2"/>
    <s v="Low Profit"/>
  </r>
  <r>
    <s v="O00507"/>
    <x v="199"/>
    <x v="6"/>
    <s v="C0115"/>
    <s v="P039"/>
    <n v="2"/>
    <x v="0"/>
    <x v="4"/>
    <x v="1"/>
    <x v="1"/>
    <n v="9000"/>
    <n v="12000"/>
    <n v="24000"/>
    <n v="18000"/>
    <x v="0"/>
    <n v="0.25"/>
    <s v="High Profit"/>
  </r>
  <r>
    <s v="O00508"/>
    <x v="215"/>
    <x v="8"/>
    <s v="C0072"/>
    <s v="P092"/>
    <n v="2"/>
    <x v="4"/>
    <x v="2"/>
    <x v="1"/>
    <x v="1"/>
    <n v="9000"/>
    <n v="12000"/>
    <n v="24000"/>
    <n v="18000"/>
    <x v="0"/>
    <n v="0.25"/>
    <s v="High Profit"/>
  </r>
  <r>
    <s v="O00509"/>
    <x v="267"/>
    <x v="10"/>
    <s v="C0047"/>
    <s v="P036"/>
    <n v="2"/>
    <x v="1"/>
    <x v="5"/>
    <x v="2"/>
    <x v="0"/>
    <n v="20000"/>
    <n v="25000"/>
    <n v="50000"/>
    <n v="40000"/>
    <x v="2"/>
    <n v="0.2"/>
    <s v="Low Profit"/>
  </r>
  <r>
    <s v="O00510"/>
    <x v="52"/>
    <x v="10"/>
    <s v="C0130"/>
    <s v="P073"/>
    <n v="2"/>
    <x v="2"/>
    <x v="4"/>
    <x v="3"/>
    <x v="0"/>
    <n v="42000"/>
    <n v="50000"/>
    <n v="100000"/>
    <n v="84000"/>
    <x v="23"/>
    <n v="0.16"/>
    <s v="Low Profit"/>
  </r>
  <r>
    <s v="O00511"/>
    <x v="268"/>
    <x v="10"/>
    <s v="C0004"/>
    <s v="P046"/>
    <n v="1"/>
    <x v="3"/>
    <x v="5"/>
    <x v="5"/>
    <x v="1"/>
    <n v="500"/>
    <n v="800"/>
    <n v="800"/>
    <n v="500"/>
    <x v="7"/>
    <n v="0.375"/>
    <s v="High Profit"/>
  </r>
  <r>
    <s v="O00512"/>
    <x v="158"/>
    <x v="11"/>
    <s v="C0064"/>
    <s v="P064"/>
    <n v="1"/>
    <x v="8"/>
    <x v="7"/>
    <x v="2"/>
    <x v="0"/>
    <n v="20000"/>
    <n v="25000"/>
    <n v="25000"/>
    <n v="20000"/>
    <x v="10"/>
    <n v="0.2"/>
    <s v="Low Profit"/>
  </r>
  <r>
    <s v="O00513"/>
    <x v="238"/>
    <x v="6"/>
    <s v="C0264"/>
    <s v="P052"/>
    <n v="4"/>
    <x v="1"/>
    <x v="3"/>
    <x v="5"/>
    <x v="1"/>
    <n v="500"/>
    <n v="800"/>
    <n v="3200"/>
    <n v="2000"/>
    <x v="4"/>
    <n v="0.375"/>
    <s v="High Profit"/>
  </r>
  <r>
    <s v="O00514"/>
    <x v="195"/>
    <x v="9"/>
    <s v="C0089"/>
    <s v="P028"/>
    <n v="3"/>
    <x v="12"/>
    <x v="6"/>
    <x v="3"/>
    <x v="0"/>
    <n v="42000"/>
    <n v="50000"/>
    <n v="150000"/>
    <n v="126000"/>
    <x v="14"/>
    <n v="0.16"/>
    <s v="Low Profit"/>
  </r>
  <r>
    <s v="O00515"/>
    <x v="100"/>
    <x v="0"/>
    <s v="C0090"/>
    <s v="P085"/>
    <n v="3"/>
    <x v="2"/>
    <x v="1"/>
    <x v="4"/>
    <x v="1"/>
    <n v="900"/>
    <n v="1500"/>
    <n v="4500"/>
    <n v="2700"/>
    <x v="13"/>
    <n v="0.4"/>
    <s v="High Profit"/>
  </r>
  <r>
    <s v="O00516"/>
    <x v="63"/>
    <x v="8"/>
    <s v="C0097"/>
    <s v="P005"/>
    <n v="1"/>
    <x v="6"/>
    <x v="1"/>
    <x v="5"/>
    <x v="1"/>
    <n v="500"/>
    <n v="800"/>
    <n v="800"/>
    <n v="500"/>
    <x v="7"/>
    <n v="0.375"/>
    <s v="High Profit"/>
  </r>
  <r>
    <s v="O00517"/>
    <x v="269"/>
    <x v="3"/>
    <s v="C0153"/>
    <s v="P047"/>
    <n v="2"/>
    <x v="1"/>
    <x v="8"/>
    <x v="6"/>
    <x v="1"/>
    <n v="2000"/>
    <n v="3000"/>
    <n v="6000"/>
    <n v="4000"/>
    <x v="22"/>
    <n v="0.33333333333333331"/>
    <s v="High Profit"/>
  </r>
  <r>
    <s v="O00518"/>
    <x v="234"/>
    <x v="10"/>
    <s v="C0250"/>
    <s v="P055"/>
    <n v="3"/>
    <x v="4"/>
    <x v="2"/>
    <x v="6"/>
    <x v="1"/>
    <n v="2000"/>
    <n v="3000"/>
    <n v="9000"/>
    <n v="6000"/>
    <x v="12"/>
    <n v="0.33333333333333331"/>
    <s v="High Profit"/>
  </r>
  <r>
    <s v="O00519"/>
    <x v="79"/>
    <x v="5"/>
    <s v="C0214"/>
    <s v="P062"/>
    <n v="4"/>
    <x v="5"/>
    <x v="8"/>
    <x v="5"/>
    <x v="1"/>
    <n v="500"/>
    <n v="800"/>
    <n v="3200"/>
    <n v="2000"/>
    <x v="4"/>
    <n v="0.375"/>
    <s v="High Profit"/>
  </r>
  <r>
    <s v="O00520"/>
    <x v="38"/>
    <x v="4"/>
    <s v="C0077"/>
    <s v="P039"/>
    <n v="3"/>
    <x v="1"/>
    <x v="7"/>
    <x v="1"/>
    <x v="1"/>
    <n v="9000"/>
    <n v="12000"/>
    <n v="36000"/>
    <n v="27000"/>
    <x v="11"/>
    <n v="0.25"/>
    <s v="High Profit"/>
  </r>
  <r>
    <s v="O00521"/>
    <x v="61"/>
    <x v="9"/>
    <s v="C0189"/>
    <s v="P024"/>
    <n v="2"/>
    <x v="2"/>
    <x v="0"/>
    <x v="5"/>
    <x v="1"/>
    <n v="500"/>
    <n v="800"/>
    <n v="1600"/>
    <n v="1000"/>
    <x v="5"/>
    <n v="0.375"/>
    <s v="High Profit"/>
  </r>
  <r>
    <s v="O00522"/>
    <x v="17"/>
    <x v="3"/>
    <s v="C0033"/>
    <s v="P025"/>
    <n v="5"/>
    <x v="11"/>
    <x v="5"/>
    <x v="1"/>
    <x v="1"/>
    <n v="9000"/>
    <n v="12000"/>
    <n v="60000"/>
    <n v="45000"/>
    <x v="6"/>
    <n v="0.25"/>
    <s v="High Profit"/>
  </r>
  <r>
    <s v="O00523"/>
    <x v="270"/>
    <x v="10"/>
    <s v="C0010"/>
    <s v="P063"/>
    <n v="4"/>
    <x v="12"/>
    <x v="5"/>
    <x v="6"/>
    <x v="1"/>
    <n v="2000"/>
    <n v="3000"/>
    <n v="12000"/>
    <n v="8000"/>
    <x v="20"/>
    <n v="0.33333333333333331"/>
    <s v="High Profit"/>
  </r>
  <r>
    <s v="O00524"/>
    <x v="271"/>
    <x v="11"/>
    <s v="C0053"/>
    <s v="P093"/>
    <n v="4"/>
    <x v="2"/>
    <x v="6"/>
    <x v="0"/>
    <x v="0"/>
    <n v="12000"/>
    <n v="15000"/>
    <n v="60000"/>
    <n v="48000"/>
    <x v="1"/>
    <n v="0.2"/>
    <s v="Low Profit"/>
  </r>
  <r>
    <s v="O00525"/>
    <x v="40"/>
    <x v="4"/>
    <s v="C0027"/>
    <s v="P087"/>
    <n v="5"/>
    <x v="8"/>
    <x v="6"/>
    <x v="1"/>
    <x v="1"/>
    <n v="9000"/>
    <n v="12000"/>
    <n v="60000"/>
    <n v="45000"/>
    <x v="6"/>
    <n v="0.25"/>
    <s v="High Profit"/>
  </r>
  <r>
    <s v="O00526"/>
    <x v="270"/>
    <x v="10"/>
    <s v="C0013"/>
    <s v="P015"/>
    <n v="1"/>
    <x v="6"/>
    <x v="6"/>
    <x v="0"/>
    <x v="0"/>
    <n v="12000"/>
    <n v="15000"/>
    <n v="15000"/>
    <n v="12000"/>
    <x v="12"/>
    <n v="0.2"/>
    <s v="Low Profit"/>
  </r>
  <r>
    <s v="O00527"/>
    <x v="258"/>
    <x v="2"/>
    <s v="C0130"/>
    <s v="P063"/>
    <n v="5"/>
    <x v="2"/>
    <x v="4"/>
    <x v="6"/>
    <x v="1"/>
    <n v="2000"/>
    <n v="3000"/>
    <n v="15000"/>
    <n v="10000"/>
    <x v="10"/>
    <n v="0.33333333333333331"/>
    <s v="High Profit"/>
  </r>
  <r>
    <s v="O00528"/>
    <x v="157"/>
    <x v="2"/>
    <s v="C0251"/>
    <s v="P097"/>
    <n v="2"/>
    <x v="6"/>
    <x v="8"/>
    <x v="1"/>
    <x v="1"/>
    <n v="9000"/>
    <n v="12000"/>
    <n v="24000"/>
    <n v="18000"/>
    <x v="0"/>
    <n v="0.25"/>
    <s v="High Profit"/>
  </r>
  <r>
    <s v="O00529"/>
    <x v="85"/>
    <x v="0"/>
    <s v="C0048"/>
    <s v="P066"/>
    <n v="4"/>
    <x v="9"/>
    <x v="1"/>
    <x v="3"/>
    <x v="0"/>
    <n v="42000"/>
    <n v="50000"/>
    <n v="200000"/>
    <n v="168000"/>
    <x v="8"/>
    <n v="0.16"/>
    <s v="Low Profit"/>
  </r>
  <r>
    <s v="O00530"/>
    <x v="272"/>
    <x v="4"/>
    <s v="C0295"/>
    <s v="P092"/>
    <n v="2"/>
    <x v="3"/>
    <x v="1"/>
    <x v="1"/>
    <x v="1"/>
    <n v="9000"/>
    <n v="12000"/>
    <n v="24000"/>
    <n v="18000"/>
    <x v="0"/>
    <n v="0.25"/>
    <s v="High Profit"/>
  </r>
  <r>
    <s v="O00531"/>
    <x v="77"/>
    <x v="11"/>
    <s v="C0229"/>
    <s v="P070"/>
    <n v="3"/>
    <x v="0"/>
    <x v="4"/>
    <x v="3"/>
    <x v="0"/>
    <n v="42000"/>
    <n v="50000"/>
    <n v="150000"/>
    <n v="126000"/>
    <x v="14"/>
    <n v="0.16"/>
    <s v="Low Profit"/>
  </r>
  <r>
    <s v="O00532"/>
    <x v="273"/>
    <x v="3"/>
    <s v="C0261"/>
    <s v="P030"/>
    <n v="2"/>
    <x v="2"/>
    <x v="5"/>
    <x v="2"/>
    <x v="0"/>
    <n v="20000"/>
    <n v="25000"/>
    <n v="50000"/>
    <n v="40000"/>
    <x v="2"/>
    <n v="0.2"/>
    <s v="Low Profit"/>
  </r>
  <r>
    <s v="O00533"/>
    <x v="64"/>
    <x v="5"/>
    <s v="C9999"/>
    <s v="P082"/>
    <n v="5"/>
    <x v="7"/>
    <x v="8"/>
    <x v="7"/>
    <x v="0"/>
    <n v="15000"/>
    <n v="18000"/>
    <n v="90000"/>
    <n v="75000"/>
    <x v="6"/>
    <n v="0.16666666666666666"/>
    <s v="Low Profit"/>
  </r>
  <r>
    <s v="O00534"/>
    <x v="52"/>
    <x v="10"/>
    <s v="C0139"/>
    <s v="P074"/>
    <n v="4"/>
    <x v="1"/>
    <x v="6"/>
    <x v="4"/>
    <x v="1"/>
    <n v="900"/>
    <n v="1500"/>
    <n v="6000"/>
    <n v="3600"/>
    <x v="17"/>
    <n v="0.4"/>
    <s v="High Profit"/>
  </r>
  <r>
    <s v="O00535"/>
    <x v="274"/>
    <x v="9"/>
    <s v="C0134"/>
    <s v="P096"/>
    <n v="4"/>
    <x v="0"/>
    <x v="0"/>
    <x v="0"/>
    <x v="0"/>
    <n v="12000"/>
    <n v="15000"/>
    <n v="60000"/>
    <n v="48000"/>
    <x v="1"/>
    <n v="0.2"/>
    <s v="Low Profit"/>
  </r>
  <r>
    <s v="O00536"/>
    <x v="258"/>
    <x v="2"/>
    <s v="C0007"/>
    <s v="P100"/>
    <n v="1"/>
    <x v="8"/>
    <x v="0"/>
    <x v="6"/>
    <x v="1"/>
    <n v="2000"/>
    <n v="3000"/>
    <n v="3000"/>
    <n v="2000"/>
    <x v="21"/>
    <n v="0.33333333333333331"/>
    <s v="High Profit"/>
  </r>
  <r>
    <s v="O00537"/>
    <x v="221"/>
    <x v="4"/>
    <s v="C0131"/>
    <s v="P086"/>
    <n v="3"/>
    <x v="0"/>
    <x v="3"/>
    <x v="3"/>
    <x v="0"/>
    <n v="42000"/>
    <n v="50000"/>
    <n v="150000"/>
    <n v="126000"/>
    <x v="14"/>
    <n v="0.16"/>
    <s v="Low Profit"/>
  </r>
  <r>
    <s v="O00538"/>
    <x v="275"/>
    <x v="8"/>
    <s v="C0219"/>
    <s v="P069"/>
    <n v="1"/>
    <x v="0"/>
    <x v="0"/>
    <x v="1"/>
    <x v="1"/>
    <n v="9000"/>
    <n v="12000"/>
    <n v="12000"/>
    <n v="9000"/>
    <x v="12"/>
    <n v="0.25"/>
    <s v="High Profit"/>
  </r>
  <r>
    <s v="O00539"/>
    <x v="89"/>
    <x v="10"/>
    <s v="C0151"/>
    <s v="P092"/>
    <n v="1"/>
    <x v="6"/>
    <x v="6"/>
    <x v="1"/>
    <x v="1"/>
    <n v="9000"/>
    <n v="12000"/>
    <n v="12000"/>
    <n v="9000"/>
    <x v="12"/>
    <n v="0.25"/>
    <s v="High Profit"/>
  </r>
  <r>
    <s v="O00540"/>
    <x v="219"/>
    <x v="6"/>
    <s v="C0268"/>
    <s v="P091"/>
    <n v="5"/>
    <x v="10"/>
    <x v="3"/>
    <x v="1"/>
    <x v="1"/>
    <n v="9000"/>
    <n v="12000"/>
    <n v="60000"/>
    <n v="45000"/>
    <x v="6"/>
    <n v="0.25"/>
    <s v="High Profit"/>
  </r>
  <r>
    <s v="O00541"/>
    <x v="260"/>
    <x v="9"/>
    <s v="C0020"/>
    <s v="P075"/>
    <n v="5"/>
    <x v="0"/>
    <x v="0"/>
    <x v="2"/>
    <x v="0"/>
    <n v="20000"/>
    <n v="25000"/>
    <n v="125000"/>
    <n v="100000"/>
    <x v="15"/>
    <n v="0.2"/>
    <s v="Low Profit"/>
  </r>
  <r>
    <s v="O00542"/>
    <x v="45"/>
    <x v="0"/>
    <s v="C0262"/>
    <s v="P073"/>
    <n v="3"/>
    <x v="4"/>
    <x v="4"/>
    <x v="3"/>
    <x v="0"/>
    <n v="42000"/>
    <n v="50000"/>
    <n v="150000"/>
    <n v="126000"/>
    <x v="14"/>
    <n v="0.16"/>
    <s v="Low Profit"/>
  </r>
  <r>
    <s v="O00543"/>
    <x v="138"/>
    <x v="10"/>
    <s v="C0160"/>
    <s v="P052"/>
    <n v="2"/>
    <x v="11"/>
    <x v="5"/>
    <x v="5"/>
    <x v="1"/>
    <n v="500"/>
    <n v="800"/>
    <n v="1600"/>
    <n v="1000"/>
    <x v="5"/>
    <n v="0.375"/>
    <s v="High Profit"/>
  </r>
  <r>
    <s v="O00544"/>
    <x v="276"/>
    <x v="3"/>
    <s v="C0058"/>
    <s v="P039"/>
    <n v="5"/>
    <x v="11"/>
    <x v="3"/>
    <x v="1"/>
    <x v="1"/>
    <n v="9000"/>
    <n v="12000"/>
    <n v="60000"/>
    <n v="45000"/>
    <x v="6"/>
    <n v="0.25"/>
    <s v="High Profit"/>
  </r>
  <r>
    <s v="O00545"/>
    <x v="277"/>
    <x v="4"/>
    <s v="C0225"/>
    <s v="P014"/>
    <n v="4"/>
    <x v="4"/>
    <x v="8"/>
    <x v="5"/>
    <x v="1"/>
    <n v="500"/>
    <n v="800"/>
    <n v="3200"/>
    <n v="2000"/>
    <x v="4"/>
    <n v="0.375"/>
    <s v="High Profit"/>
  </r>
  <r>
    <s v="O00546"/>
    <x v="32"/>
    <x v="0"/>
    <s v="C0036"/>
    <s v="P056"/>
    <n v="3"/>
    <x v="1"/>
    <x v="1"/>
    <x v="6"/>
    <x v="1"/>
    <n v="2000"/>
    <n v="3000"/>
    <n v="9000"/>
    <n v="6000"/>
    <x v="12"/>
    <n v="0.33333333333333331"/>
    <s v="High Profit"/>
  </r>
  <r>
    <s v="O00547"/>
    <x v="150"/>
    <x v="7"/>
    <s v="C0029"/>
    <s v="P045"/>
    <n v="4"/>
    <x v="4"/>
    <x v="3"/>
    <x v="4"/>
    <x v="1"/>
    <n v="900"/>
    <n v="1500"/>
    <n v="6000"/>
    <n v="3600"/>
    <x v="17"/>
    <n v="0.4"/>
    <s v="High Profit"/>
  </r>
  <r>
    <s v="O00548"/>
    <x v="117"/>
    <x v="7"/>
    <s v="C0123"/>
    <s v="P060"/>
    <n v="3"/>
    <x v="1"/>
    <x v="2"/>
    <x v="5"/>
    <x v="1"/>
    <n v="500"/>
    <n v="800"/>
    <n v="2400"/>
    <n v="1500"/>
    <x v="19"/>
    <n v="0.375"/>
    <s v="High Profit"/>
  </r>
  <r>
    <s v="O00549"/>
    <x v="51"/>
    <x v="1"/>
    <s v="C0155"/>
    <s v="P073"/>
    <n v="2"/>
    <x v="9"/>
    <x v="3"/>
    <x v="3"/>
    <x v="0"/>
    <n v="42000"/>
    <n v="50000"/>
    <n v="100000"/>
    <n v="84000"/>
    <x v="23"/>
    <n v="0.16"/>
    <s v="Low Profit"/>
  </r>
  <r>
    <s v="O00550"/>
    <x v="144"/>
    <x v="11"/>
    <s v="C0142"/>
    <s v="P026"/>
    <n v="3"/>
    <x v="1"/>
    <x v="1"/>
    <x v="1"/>
    <x v="1"/>
    <n v="9000"/>
    <n v="12000"/>
    <n v="36000"/>
    <n v="27000"/>
    <x v="11"/>
    <n v="0.25"/>
    <s v="High Profit"/>
  </r>
  <r>
    <s v="O00551"/>
    <x v="75"/>
    <x v="1"/>
    <s v="C0134"/>
    <s v="P025"/>
    <n v="4"/>
    <x v="0"/>
    <x v="0"/>
    <x v="1"/>
    <x v="1"/>
    <n v="9000"/>
    <n v="12000"/>
    <n v="48000"/>
    <n v="36000"/>
    <x v="1"/>
    <n v="0.25"/>
    <s v="High Profit"/>
  </r>
  <r>
    <s v="O00552"/>
    <x v="278"/>
    <x v="5"/>
    <s v="C0105"/>
    <s v="P060"/>
    <n v="2"/>
    <x v="11"/>
    <x v="2"/>
    <x v="5"/>
    <x v="1"/>
    <n v="500"/>
    <n v="800"/>
    <n v="1600"/>
    <n v="1000"/>
    <x v="5"/>
    <n v="0.375"/>
    <s v="High Profit"/>
  </r>
  <r>
    <s v="O00553"/>
    <x v="58"/>
    <x v="2"/>
    <s v="C0013"/>
    <s v="P079"/>
    <n v="2"/>
    <x v="6"/>
    <x v="6"/>
    <x v="5"/>
    <x v="1"/>
    <n v="500"/>
    <n v="800"/>
    <n v="1600"/>
    <n v="1000"/>
    <x v="5"/>
    <n v="0.375"/>
    <s v="High Profit"/>
  </r>
  <r>
    <s v="O00554"/>
    <x v="158"/>
    <x v="11"/>
    <s v="C0126"/>
    <s v="P036"/>
    <n v="2"/>
    <x v="0"/>
    <x v="4"/>
    <x v="2"/>
    <x v="0"/>
    <n v="20000"/>
    <n v="25000"/>
    <n v="50000"/>
    <n v="40000"/>
    <x v="2"/>
    <n v="0.2"/>
    <s v="Low Profit"/>
  </r>
  <r>
    <s v="O00555"/>
    <x v="120"/>
    <x v="6"/>
    <s v="C0141"/>
    <s v="P006"/>
    <n v="2"/>
    <x v="6"/>
    <x v="6"/>
    <x v="3"/>
    <x v="0"/>
    <n v="42000"/>
    <n v="50000"/>
    <n v="100000"/>
    <n v="84000"/>
    <x v="23"/>
    <n v="0.16"/>
    <s v="Low Profit"/>
  </r>
  <r>
    <s v="O00556"/>
    <x v="279"/>
    <x v="9"/>
    <s v="C0272"/>
    <s v="P043"/>
    <n v="5"/>
    <x v="0"/>
    <x v="3"/>
    <x v="0"/>
    <x v="0"/>
    <n v="12000"/>
    <n v="15000"/>
    <n v="75000"/>
    <n v="60000"/>
    <x v="6"/>
    <n v="0.2"/>
    <s v="Low Profit"/>
  </r>
  <r>
    <s v="O00557"/>
    <x v="280"/>
    <x v="3"/>
    <s v="C0070"/>
    <s v="P015"/>
    <n v="1"/>
    <x v="6"/>
    <x v="2"/>
    <x v="0"/>
    <x v="0"/>
    <n v="12000"/>
    <n v="15000"/>
    <n v="15000"/>
    <n v="12000"/>
    <x v="12"/>
    <n v="0.2"/>
    <s v="Low Profit"/>
  </r>
  <r>
    <s v="O00558"/>
    <x v="12"/>
    <x v="4"/>
    <s v="C0022"/>
    <s v="P082"/>
    <n v="1"/>
    <x v="12"/>
    <x v="3"/>
    <x v="7"/>
    <x v="0"/>
    <n v="15000"/>
    <n v="18000"/>
    <n v="18000"/>
    <n v="15000"/>
    <x v="12"/>
    <n v="0.16666666666666666"/>
    <s v="Low Profit"/>
  </r>
  <r>
    <s v="O00559"/>
    <x v="176"/>
    <x v="11"/>
    <s v="C0062"/>
    <s v="P002"/>
    <n v="4"/>
    <x v="9"/>
    <x v="2"/>
    <x v="5"/>
    <x v="1"/>
    <n v="500"/>
    <n v="800"/>
    <n v="3200"/>
    <n v="2000"/>
    <x v="4"/>
    <n v="0.375"/>
    <s v="High Profit"/>
  </r>
  <r>
    <s v="O00560"/>
    <x v="11"/>
    <x v="2"/>
    <s v="C0150"/>
    <s v="P063"/>
    <n v="5"/>
    <x v="12"/>
    <x v="7"/>
    <x v="6"/>
    <x v="1"/>
    <n v="2000"/>
    <n v="3000"/>
    <n v="15000"/>
    <n v="10000"/>
    <x v="10"/>
    <n v="0.33333333333333331"/>
    <s v="High Profit"/>
  </r>
  <r>
    <s v="O00561"/>
    <x v="132"/>
    <x v="5"/>
    <s v="C0269"/>
    <s v="P014"/>
    <n v="5"/>
    <x v="8"/>
    <x v="6"/>
    <x v="5"/>
    <x v="1"/>
    <n v="500"/>
    <n v="800"/>
    <n v="4000"/>
    <n v="2500"/>
    <x v="16"/>
    <n v="0.375"/>
    <s v="High Profit"/>
  </r>
  <r>
    <s v="O00562"/>
    <x v="90"/>
    <x v="10"/>
    <s v="C0055"/>
    <s v="P055"/>
    <n v="2"/>
    <x v="11"/>
    <x v="6"/>
    <x v="6"/>
    <x v="1"/>
    <n v="2000"/>
    <n v="3000"/>
    <n v="6000"/>
    <n v="4000"/>
    <x v="22"/>
    <n v="0.33333333333333331"/>
    <s v="High Profit"/>
  </r>
  <r>
    <s v="O00563"/>
    <x v="6"/>
    <x v="6"/>
    <s v="C0040"/>
    <s v="P100"/>
    <n v="5"/>
    <x v="11"/>
    <x v="5"/>
    <x v="6"/>
    <x v="1"/>
    <n v="2000"/>
    <n v="3000"/>
    <n v="15000"/>
    <n v="10000"/>
    <x v="10"/>
    <n v="0.33333333333333331"/>
    <s v="High Profit"/>
  </r>
  <r>
    <s v="O00564"/>
    <x v="281"/>
    <x v="8"/>
    <s v="C0155"/>
    <s v="P090"/>
    <n v="5"/>
    <x v="9"/>
    <x v="3"/>
    <x v="0"/>
    <x v="0"/>
    <n v="12000"/>
    <n v="15000"/>
    <n v="75000"/>
    <n v="60000"/>
    <x v="6"/>
    <n v="0.2"/>
    <s v="Low Profit"/>
  </r>
  <r>
    <s v="O00565"/>
    <x v="168"/>
    <x v="0"/>
    <s v="C0204"/>
    <s v="P029"/>
    <n v="1"/>
    <x v="12"/>
    <x v="1"/>
    <x v="6"/>
    <x v="1"/>
    <n v="2000"/>
    <n v="3000"/>
    <n v="3000"/>
    <n v="2000"/>
    <x v="21"/>
    <n v="0.33333333333333331"/>
    <s v="High Profit"/>
  </r>
  <r>
    <s v="O00566"/>
    <x v="282"/>
    <x v="9"/>
    <s v="C0095"/>
    <s v="P028"/>
    <n v="5"/>
    <x v="5"/>
    <x v="5"/>
    <x v="3"/>
    <x v="0"/>
    <n v="42000"/>
    <n v="50000"/>
    <n v="250000"/>
    <n v="210000"/>
    <x v="3"/>
    <n v="0.16"/>
    <s v="Low Profit"/>
  </r>
  <r>
    <s v="O00567"/>
    <x v="23"/>
    <x v="2"/>
    <s v="C0111"/>
    <s v="P011"/>
    <n v="4"/>
    <x v="2"/>
    <x v="7"/>
    <x v="4"/>
    <x v="1"/>
    <n v="900"/>
    <n v="1500"/>
    <n v="6000"/>
    <n v="3600"/>
    <x v="17"/>
    <n v="0.4"/>
    <s v="High Profit"/>
  </r>
  <r>
    <s v="O00568"/>
    <x v="81"/>
    <x v="1"/>
    <s v="C0248"/>
    <s v="P099"/>
    <n v="3"/>
    <x v="10"/>
    <x v="4"/>
    <x v="4"/>
    <x v="1"/>
    <n v="900"/>
    <n v="1500"/>
    <n v="4500"/>
    <n v="2700"/>
    <x v="13"/>
    <n v="0.4"/>
    <s v="High Profit"/>
  </r>
  <r>
    <s v="O00569"/>
    <x v="129"/>
    <x v="4"/>
    <s v="C0207"/>
    <s v="P041"/>
    <n v="4"/>
    <x v="11"/>
    <x v="1"/>
    <x v="2"/>
    <x v="0"/>
    <n v="20000"/>
    <n v="25000"/>
    <n v="100000"/>
    <n v="80000"/>
    <x v="9"/>
    <n v="0.2"/>
    <s v="Low Profit"/>
  </r>
  <r>
    <s v="O00570"/>
    <x v="150"/>
    <x v="7"/>
    <s v="C0292"/>
    <s v="P005"/>
    <n v="2"/>
    <x v="9"/>
    <x v="5"/>
    <x v="5"/>
    <x v="1"/>
    <n v="500"/>
    <n v="800"/>
    <n v="1600"/>
    <n v="1000"/>
    <x v="5"/>
    <n v="0.375"/>
    <s v="High Profit"/>
  </r>
  <r>
    <s v="O00571"/>
    <x v="283"/>
    <x v="3"/>
    <s v="C0262"/>
    <s v="P094"/>
    <n v="3"/>
    <x v="4"/>
    <x v="4"/>
    <x v="6"/>
    <x v="1"/>
    <n v="2000"/>
    <n v="3000"/>
    <n v="9000"/>
    <n v="6000"/>
    <x v="12"/>
    <n v="0.33333333333333331"/>
    <s v="High Profit"/>
  </r>
  <r>
    <s v="O00572"/>
    <x v="279"/>
    <x v="9"/>
    <s v="C0269"/>
    <s v="P011"/>
    <n v="5"/>
    <x v="8"/>
    <x v="6"/>
    <x v="4"/>
    <x v="1"/>
    <n v="900"/>
    <n v="1500"/>
    <n v="7500"/>
    <n v="4500"/>
    <x v="12"/>
    <n v="0.4"/>
    <s v="High Profit"/>
  </r>
  <r>
    <s v="O00573"/>
    <x v="189"/>
    <x v="5"/>
    <s v="C0101"/>
    <s v="P095"/>
    <n v="3"/>
    <x v="9"/>
    <x v="3"/>
    <x v="2"/>
    <x v="0"/>
    <n v="20000"/>
    <n v="25000"/>
    <n v="75000"/>
    <n v="60000"/>
    <x v="6"/>
    <n v="0.2"/>
    <s v="Low Profit"/>
  </r>
  <r>
    <s v="O00574"/>
    <x v="77"/>
    <x v="11"/>
    <s v="C0250"/>
    <s v="P044"/>
    <n v="1"/>
    <x v="4"/>
    <x v="2"/>
    <x v="3"/>
    <x v="0"/>
    <n v="42000"/>
    <n v="50000"/>
    <n v="50000"/>
    <n v="42000"/>
    <x v="18"/>
    <n v="0.16"/>
    <s v="Low Profit"/>
  </r>
  <r>
    <s v="O00575"/>
    <x v="284"/>
    <x v="11"/>
    <s v="C0174"/>
    <s v="P074"/>
    <n v="4"/>
    <x v="11"/>
    <x v="4"/>
    <x v="4"/>
    <x v="1"/>
    <n v="900"/>
    <n v="1500"/>
    <n v="6000"/>
    <n v="3600"/>
    <x v="17"/>
    <n v="0.4"/>
    <s v="High Profit"/>
  </r>
  <r>
    <s v="O00576"/>
    <x v="254"/>
    <x v="3"/>
    <s v="C0149"/>
    <s v="P027"/>
    <n v="3"/>
    <x v="8"/>
    <x v="1"/>
    <x v="3"/>
    <x v="0"/>
    <n v="42000"/>
    <n v="50000"/>
    <n v="150000"/>
    <n v="126000"/>
    <x v="14"/>
    <n v="0.16"/>
    <s v="Low Profit"/>
  </r>
  <r>
    <s v="O00577"/>
    <x v="108"/>
    <x v="5"/>
    <s v="C0235"/>
    <s v="P080"/>
    <n v="4"/>
    <x v="8"/>
    <x v="4"/>
    <x v="4"/>
    <x v="1"/>
    <n v="900"/>
    <n v="1500"/>
    <n v="6000"/>
    <n v="3600"/>
    <x v="17"/>
    <n v="0.4"/>
    <s v="High Profit"/>
  </r>
  <r>
    <s v="O00578"/>
    <x v="212"/>
    <x v="7"/>
    <s v="C0180"/>
    <s v="P052"/>
    <n v="5"/>
    <x v="0"/>
    <x v="0"/>
    <x v="5"/>
    <x v="1"/>
    <n v="500"/>
    <n v="800"/>
    <n v="4000"/>
    <n v="2500"/>
    <x v="16"/>
    <n v="0.375"/>
    <s v="High Profit"/>
  </r>
  <r>
    <s v="O00579"/>
    <x v="235"/>
    <x v="3"/>
    <s v="C0053"/>
    <s v="P100"/>
    <n v="2"/>
    <x v="2"/>
    <x v="6"/>
    <x v="6"/>
    <x v="1"/>
    <n v="2000"/>
    <n v="3000"/>
    <n v="6000"/>
    <n v="4000"/>
    <x v="22"/>
    <n v="0.33333333333333331"/>
    <s v="High Profit"/>
  </r>
  <r>
    <s v="O00580"/>
    <x v="224"/>
    <x v="4"/>
    <s v="C0071"/>
    <s v="P001"/>
    <n v="4"/>
    <x v="1"/>
    <x v="1"/>
    <x v="2"/>
    <x v="0"/>
    <n v="20000"/>
    <n v="25000"/>
    <n v="100000"/>
    <n v="80000"/>
    <x v="9"/>
    <n v="0.2"/>
    <s v="Low Profit"/>
  </r>
  <r>
    <s v="O00581"/>
    <x v="127"/>
    <x v="5"/>
    <s v="C0180"/>
    <s v="P044"/>
    <n v="3"/>
    <x v="0"/>
    <x v="0"/>
    <x v="3"/>
    <x v="0"/>
    <n v="42000"/>
    <n v="50000"/>
    <n v="150000"/>
    <n v="126000"/>
    <x v="14"/>
    <n v="0.16"/>
    <s v="Low Profit"/>
  </r>
  <r>
    <s v="O00582"/>
    <x v="174"/>
    <x v="7"/>
    <s v="C0076"/>
    <s v="P044"/>
    <n v="5"/>
    <x v="2"/>
    <x v="1"/>
    <x v="3"/>
    <x v="0"/>
    <n v="42000"/>
    <n v="50000"/>
    <n v="250000"/>
    <n v="210000"/>
    <x v="3"/>
    <n v="0.16"/>
    <s v="Low Profit"/>
  </r>
  <r>
    <s v="O00583"/>
    <x v="285"/>
    <x v="7"/>
    <s v="C0243"/>
    <s v="P092"/>
    <n v="5"/>
    <x v="12"/>
    <x v="7"/>
    <x v="1"/>
    <x v="1"/>
    <n v="9000"/>
    <n v="12000"/>
    <n v="60000"/>
    <n v="45000"/>
    <x v="6"/>
    <n v="0.25"/>
    <s v="High Profit"/>
  </r>
  <r>
    <s v="O00584"/>
    <x v="286"/>
    <x v="2"/>
    <s v="C0082"/>
    <s v="P036"/>
    <n v="5"/>
    <x v="12"/>
    <x v="1"/>
    <x v="2"/>
    <x v="0"/>
    <n v="20000"/>
    <n v="25000"/>
    <n v="125000"/>
    <n v="100000"/>
    <x v="15"/>
    <n v="0.2"/>
    <s v="Low Profit"/>
  </r>
  <r>
    <s v="O00585"/>
    <x v="287"/>
    <x v="3"/>
    <s v="C9999"/>
    <s v="P032"/>
    <n v="3"/>
    <x v="7"/>
    <x v="8"/>
    <x v="2"/>
    <x v="0"/>
    <n v="20000"/>
    <n v="25000"/>
    <n v="75000"/>
    <n v="60000"/>
    <x v="6"/>
    <n v="0.2"/>
    <s v="Low Profit"/>
  </r>
  <r>
    <s v="O00586"/>
    <x v="288"/>
    <x v="2"/>
    <s v="C0300"/>
    <s v="P010"/>
    <n v="1"/>
    <x v="2"/>
    <x v="2"/>
    <x v="1"/>
    <x v="1"/>
    <n v="9000"/>
    <n v="12000"/>
    <n v="12000"/>
    <n v="9000"/>
    <x v="12"/>
    <n v="0.25"/>
    <s v="High Profit"/>
  </r>
  <r>
    <s v="O00587"/>
    <x v="6"/>
    <x v="6"/>
    <s v="C0148"/>
    <s v="P038"/>
    <n v="4"/>
    <x v="10"/>
    <x v="1"/>
    <x v="7"/>
    <x v="0"/>
    <n v="15000"/>
    <n v="18000"/>
    <n v="72000"/>
    <n v="60000"/>
    <x v="1"/>
    <n v="0.16666666666666666"/>
    <s v="Low Profit"/>
  </r>
  <r>
    <s v="O00588"/>
    <x v="235"/>
    <x v="3"/>
    <s v="C0098"/>
    <s v="P047"/>
    <n v="1"/>
    <x v="8"/>
    <x v="8"/>
    <x v="6"/>
    <x v="1"/>
    <n v="2000"/>
    <n v="3000"/>
    <n v="3000"/>
    <n v="2000"/>
    <x v="21"/>
    <n v="0.33333333333333331"/>
    <s v="High Profit"/>
  </r>
  <r>
    <s v="O00589"/>
    <x v="176"/>
    <x v="11"/>
    <s v="C0122"/>
    <s v="P060"/>
    <n v="3"/>
    <x v="5"/>
    <x v="6"/>
    <x v="5"/>
    <x v="1"/>
    <n v="500"/>
    <n v="800"/>
    <n v="2400"/>
    <n v="1500"/>
    <x v="19"/>
    <n v="0.375"/>
    <s v="High Profit"/>
  </r>
  <r>
    <s v="O00590"/>
    <x v="289"/>
    <x v="10"/>
    <s v="C0232"/>
    <s v="P067"/>
    <n v="4"/>
    <x v="6"/>
    <x v="0"/>
    <x v="0"/>
    <x v="0"/>
    <n v="12000"/>
    <n v="15000"/>
    <n v="60000"/>
    <n v="48000"/>
    <x v="1"/>
    <n v="0.2"/>
    <s v="Low Profit"/>
  </r>
  <r>
    <s v="O00591"/>
    <x v="23"/>
    <x v="2"/>
    <s v="C0112"/>
    <s v="P093"/>
    <n v="5"/>
    <x v="12"/>
    <x v="2"/>
    <x v="0"/>
    <x v="0"/>
    <n v="12000"/>
    <n v="15000"/>
    <n v="75000"/>
    <n v="60000"/>
    <x v="6"/>
    <n v="0.2"/>
    <s v="Low Profit"/>
  </r>
  <r>
    <s v="O00592"/>
    <x v="290"/>
    <x v="8"/>
    <s v="C0054"/>
    <s v="P056"/>
    <n v="5"/>
    <x v="4"/>
    <x v="3"/>
    <x v="6"/>
    <x v="1"/>
    <n v="2000"/>
    <n v="3000"/>
    <n v="15000"/>
    <n v="10000"/>
    <x v="10"/>
    <n v="0.33333333333333331"/>
    <s v="High Profit"/>
  </r>
  <r>
    <s v="O00593"/>
    <x v="139"/>
    <x v="8"/>
    <s v="C0003"/>
    <s v="P011"/>
    <n v="5"/>
    <x v="12"/>
    <x v="5"/>
    <x v="4"/>
    <x v="1"/>
    <n v="900"/>
    <n v="1500"/>
    <n v="7500"/>
    <n v="4500"/>
    <x v="12"/>
    <n v="0.4"/>
    <s v="High Profit"/>
  </r>
  <r>
    <s v="O00594"/>
    <x v="214"/>
    <x v="6"/>
    <s v="C0251"/>
    <s v="P010"/>
    <n v="4"/>
    <x v="6"/>
    <x v="8"/>
    <x v="1"/>
    <x v="1"/>
    <n v="9000"/>
    <n v="12000"/>
    <n v="48000"/>
    <n v="36000"/>
    <x v="1"/>
    <n v="0.25"/>
    <s v="High Profit"/>
  </r>
  <r>
    <s v="O00595"/>
    <x v="275"/>
    <x v="8"/>
    <s v="C0091"/>
    <s v="P094"/>
    <n v="4"/>
    <x v="9"/>
    <x v="0"/>
    <x v="6"/>
    <x v="1"/>
    <n v="2000"/>
    <n v="3000"/>
    <n v="12000"/>
    <n v="8000"/>
    <x v="20"/>
    <n v="0.33333333333333331"/>
    <s v="High Profit"/>
  </r>
  <r>
    <s v="O00596"/>
    <x v="281"/>
    <x v="8"/>
    <s v="C0277"/>
    <s v="P001"/>
    <n v="5"/>
    <x v="4"/>
    <x v="7"/>
    <x v="2"/>
    <x v="0"/>
    <n v="20000"/>
    <n v="25000"/>
    <n v="125000"/>
    <n v="100000"/>
    <x v="15"/>
    <n v="0.2"/>
    <s v="Low Profit"/>
  </r>
  <r>
    <s v="O00597"/>
    <x v="53"/>
    <x v="2"/>
    <s v="C0192"/>
    <s v="P050"/>
    <n v="2"/>
    <x v="11"/>
    <x v="7"/>
    <x v="5"/>
    <x v="1"/>
    <n v="500"/>
    <n v="800"/>
    <n v="1600"/>
    <n v="1000"/>
    <x v="5"/>
    <n v="0.375"/>
    <s v="High Profit"/>
  </r>
  <r>
    <s v="O00598"/>
    <x v="126"/>
    <x v="11"/>
    <s v="C0069"/>
    <s v="P012"/>
    <n v="2"/>
    <x v="3"/>
    <x v="3"/>
    <x v="4"/>
    <x v="1"/>
    <n v="900"/>
    <n v="1500"/>
    <n v="3000"/>
    <n v="1800"/>
    <x v="4"/>
    <n v="0.4"/>
    <s v="High Profit"/>
  </r>
  <r>
    <s v="O00599"/>
    <x v="246"/>
    <x v="6"/>
    <s v="C0112"/>
    <s v="P094"/>
    <n v="4"/>
    <x v="12"/>
    <x v="2"/>
    <x v="6"/>
    <x v="1"/>
    <n v="2000"/>
    <n v="3000"/>
    <n v="12000"/>
    <n v="8000"/>
    <x v="20"/>
    <n v="0.33333333333333331"/>
    <s v="High Profit"/>
  </r>
  <r>
    <s v="O00600"/>
    <x v="192"/>
    <x v="10"/>
    <s v="C0226"/>
    <s v="P091"/>
    <n v="5"/>
    <x v="8"/>
    <x v="3"/>
    <x v="1"/>
    <x v="1"/>
    <n v="9000"/>
    <n v="12000"/>
    <n v="60000"/>
    <n v="45000"/>
    <x v="6"/>
    <n v="0.25"/>
    <s v="High Profit"/>
  </r>
  <r>
    <s v="O00601"/>
    <x v="75"/>
    <x v="1"/>
    <s v="C0154"/>
    <s v="P037"/>
    <n v="4"/>
    <x v="1"/>
    <x v="0"/>
    <x v="0"/>
    <x v="0"/>
    <n v="12000"/>
    <n v="15000"/>
    <n v="60000"/>
    <n v="48000"/>
    <x v="1"/>
    <n v="0.2"/>
    <s v="Low Profit"/>
  </r>
  <r>
    <s v="O00602"/>
    <x v="156"/>
    <x v="1"/>
    <s v="C0182"/>
    <s v="P097"/>
    <n v="2"/>
    <x v="10"/>
    <x v="3"/>
    <x v="1"/>
    <x v="1"/>
    <n v="9000"/>
    <n v="12000"/>
    <n v="24000"/>
    <n v="18000"/>
    <x v="0"/>
    <n v="0.25"/>
    <s v="High Profit"/>
  </r>
  <r>
    <s v="O00603"/>
    <x v="70"/>
    <x v="7"/>
    <s v="C0098"/>
    <s v="P096"/>
    <n v="2"/>
    <x v="8"/>
    <x v="8"/>
    <x v="0"/>
    <x v="0"/>
    <n v="12000"/>
    <n v="15000"/>
    <n v="30000"/>
    <n v="24000"/>
    <x v="0"/>
    <n v="0.2"/>
    <s v="Low Profit"/>
  </r>
  <r>
    <s v="O00604"/>
    <x v="291"/>
    <x v="2"/>
    <s v="C0202"/>
    <s v="P040"/>
    <n v="1"/>
    <x v="4"/>
    <x v="4"/>
    <x v="3"/>
    <x v="0"/>
    <n v="42000"/>
    <n v="50000"/>
    <n v="50000"/>
    <n v="42000"/>
    <x v="18"/>
    <n v="0.16"/>
    <s v="Low Profit"/>
  </r>
  <r>
    <s v="O00605"/>
    <x v="292"/>
    <x v="9"/>
    <s v="C0262"/>
    <s v="P094"/>
    <n v="4"/>
    <x v="4"/>
    <x v="4"/>
    <x v="6"/>
    <x v="1"/>
    <n v="2000"/>
    <n v="3000"/>
    <n v="12000"/>
    <n v="8000"/>
    <x v="20"/>
    <n v="0.33333333333333331"/>
    <s v="High Profit"/>
  </r>
  <r>
    <s v="O00606"/>
    <x v="293"/>
    <x v="6"/>
    <s v="C0021"/>
    <s v="P032"/>
    <n v="1"/>
    <x v="11"/>
    <x v="6"/>
    <x v="2"/>
    <x v="0"/>
    <n v="20000"/>
    <n v="25000"/>
    <n v="25000"/>
    <n v="20000"/>
    <x v="10"/>
    <n v="0.2"/>
    <s v="Low Profit"/>
  </r>
  <r>
    <s v="O00607"/>
    <x v="227"/>
    <x v="8"/>
    <s v="C0283"/>
    <s v="P057"/>
    <n v="4"/>
    <x v="0"/>
    <x v="3"/>
    <x v="3"/>
    <x v="0"/>
    <n v="42000"/>
    <n v="50000"/>
    <n v="200000"/>
    <n v="168000"/>
    <x v="8"/>
    <n v="0.16"/>
    <s v="Low Profit"/>
  </r>
  <r>
    <s v="O00608"/>
    <x v="33"/>
    <x v="6"/>
    <s v="C0167"/>
    <s v="P021"/>
    <n v="1"/>
    <x v="10"/>
    <x v="5"/>
    <x v="2"/>
    <x v="0"/>
    <n v="20000"/>
    <n v="25000"/>
    <n v="25000"/>
    <n v="20000"/>
    <x v="10"/>
    <n v="0.2"/>
    <s v="Low Profit"/>
  </r>
  <r>
    <s v="O00609"/>
    <x v="21"/>
    <x v="5"/>
    <s v="C0052"/>
    <s v="P084"/>
    <n v="5"/>
    <x v="8"/>
    <x v="1"/>
    <x v="2"/>
    <x v="0"/>
    <n v="20000"/>
    <n v="25000"/>
    <n v="125000"/>
    <n v="100000"/>
    <x v="15"/>
    <n v="0.2"/>
    <s v="Low Profit"/>
  </r>
  <r>
    <s v="O00610"/>
    <x v="244"/>
    <x v="5"/>
    <s v="C0166"/>
    <s v="P066"/>
    <n v="2"/>
    <x v="1"/>
    <x v="3"/>
    <x v="3"/>
    <x v="0"/>
    <n v="42000"/>
    <n v="50000"/>
    <n v="100000"/>
    <n v="84000"/>
    <x v="23"/>
    <n v="0.16"/>
    <s v="Low Profit"/>
  </r>
  <r>
    <s v="O00611"/>
    <x v="19"/>
    <x v="8"/>
    <s v="C0201"/>
    <s v="P094"/>
    <n v="1"/>
    <x v="11"/>
    <x v="5"/>
    <x v="6"/>
    <x v="1"/>
    <n v="2000"/>
    <n v="3000"/>
    <n v="3000"/>
    <n v="2000"/>
    <x v="21"/>
    <n v="0.33333333333333331"/>
    <s v="High Profit"/>
  </r>
  <r>
    <s v="O00612"/>
    <x v="230"/>
    <x v="5"/>
    <s v="C0009"/>
    <s v="P063"/>
    <n v="3"/>
    <x v="6"/>
    <x v="5"/>
    <x v="6"/>
    <x v="1"/>
    <n v="2000"/>
    <n v="3000"/>
    <n v="9000"/>
    <n v="6000"/>
    <x v="12"/>
    <n v="0.33333333333333331"/>
    <s v="High Profit"/>
  </r>
  <r>
    <s v="O00613"/>
    <x v="226"/>
    <x v="8"/>
    <s v="C0282"/>
    <s v="P075"/>
    <n v="5"/>
    <x v="1"/>
    <x v="5"/>
    <x v="2"/>
    <x v="0"/>
    <n v="20000"/>
    <n v="25000"/>
    <n v="125000"/>
    <n v="100000"/>
    <x v="15"/>
    <n v="0.2"/>
    <s v="Low Profit"/>
  </r>
  <r>
    <s v="O00614"/>
    <x v="48"/>
    <x v="1"/>
    <s v="C0215"/>
    <s v="P013"/>
    <n v="5"/>
    <x v="5"/>
    <x v="5"/>
    <x v="1"/>
    <x v="1"/>
    <n v="9000"/>
    <n v="12000"/>
    <n v="60000"/>
    <n v="45000"/>
    <x v="6"/>
    <n v="0.25"/>
    <s v="High Profit"/>
  </r>
  <r>
    <s v="O00615"/>
    <x v="101"/>
    <x v="4"/>
    <s v="C0059"/>
    <s v="P006"/>
    <n v="3"/>
    <x v="0"/>
    <x v="3"/>
    <x v="3"/>
    <x v="0"/>
    <n v="42000"/>
    <n v="50000"/>
    <n v="150000"/>
    <n v="126000"/>
    <x v="14"/>
    <n v="0.16"/>
    <s v="Low Profit"/>
  </r>
  <r>
    <s v="O00616"/>
    <x v="43"/>
    <x v="8"/>
    <s v="C0080"/>
    <s v="P078"/>
    <n v="1"/>
    <x v="8"/>
    <x v="0"/>
    <x v="7"/>
    <x v="0"/>
    <n v="15000"/>
    <n v="18000"/>
    <n v="18000"/>
    <n v="15000"/>
    <x v="12"/>
    <n v="0.16666666666666666"/>
    <s v="Low Profit"/>
  </r>
  <r>
    <s v="O00617"/>
    <x v="175"/>
    <x v="4"/>
    <s v="C0299"/>
    <s v="P083"/>
    <n v="3"/>
    <x v="3"/>
    <x v="8"/>
    <x v="7"/>
    <x v="0"/>
    <n v="15000"/>
    <n v="18000"/>
    <n v="54000"/>
    <n v="45000"/>
    <x v="11"/>
    <n v="0.16666666666666666"/>
    <s v="Low Profit"/>
  </r>
  <r>
    <s v="O00618"/>
    <x v="111"/>
    <x v="4"/>
    <s v="C9999"/>
    <s v="P097"/>
    <n v="5"/>
    <x v="7"/>
    <x v="8"/>
    <x v="1"/>
    <x v="1"/>
    <n v="9000"/>
    <n v="12000"/>
    <n v="60000"/>
    <n v="45000"/>
    <x v="6"/>
    <n v="0.25"/>
    <s v="High Profit"/>
  </r>
  <r>
    <s v="O00619"/>
    <x v="84"/>
    <x v="10"/>
    <s v="C0292"/>
    <s v="P082"/>
    <n v="2"/>
    <x v="9"/>
    <x v="5"/>
    <x v="7"/>
    <x v="0"/>
    <n v="15000"/>
    <n v="18000"/>
    <n v="36000"/>
    <n v="30000"/>
    <x v="0"/>
    <n v="0.16666666666666666"/>
    <s v="Low Profit"/>
  </r>
  <r>
    <s v="O00620"/>
    <x v="70"/>
    <x v="7"/>
    <s v="C0056"/>
    <s v="P065"/>
    <n v="4"/>
    <x v="4"/>
    <x v="7"/>
    <x v="5"/>
    <x v="1"/>
    <n v="500"/>
    <n v="800"/>
    <n v="3200"/>
    <n v="2000"/>
    <x v="4"/>
    <n v="0.375"/>
    <s v="High Profit"/>
  </r>
  <r>
    <s v="O00621"/>
    <x v="102"/>
    <x v="5"/>
    <s v="C0232"/>
    <s v="P075"/>
    <n v="4"/>
    <x v="6"/>
    <x v="0"/>
    <x v="2"/>
    <x v="0"/>
    <n v="20000"/>
    <n v="25000"/>
    <n v="100000"/>
    <n v="80000"/>
    <x v="9"/>
    <n v="0.2"/>
    <s v="Low Profit"/>
  </r>
  <r>
    <s v="O00622"/>
    <x v="58"/>
    <x v="2"/>
    <s v="C0209"/>
    <s v="P065"/>
    <n v="1"/>
    <x v="10"/>
    <x v="6"/>
    <x v="5"/>
    <x v="1"/>
    <n v="500"/>
    <n v="800"/>
    <n v="800"/>
    <n v="500"/>
    <x v="7"/>
    <n v="0.375"/>
    <s v="High Profit"/>
  </r>
  <r>
    <s v="O00623"/>
    <x v="177"/>
    <x v="0"/>
    <s v="C0123"/>
    <s v="P080"/>
    <n v="3"/>
    <x v="1"/>
    <x v="2"/>
    <x v="4"/>
    <x v="1"/>
    <n v="900"/>
    <n v="1500"/>
    <n v="4500"/>
    <n v="2700"/>
    <x v="13"/>
    <n v="0.4"/>
    <s v="High Profit"/>
  </r>
  <r>
    <s v="O00624"/>
    <x v="219"/>
    <x v="6"/>
    <s v="C0090"/>
    <s v="P051"/>
    <n v="1"/>
    <x v="2"/>
    <x v="1"/>
    <x v="6"/>
    <x v="1"/>
    <n v="2000"/>
    <n v="3000"/>
    <n v="3000"/>
    <n v="2000"/>
    <x v="21"/>
    <n v="0.33333333333333331"/>
    <s v="High Profit"/>
  </r>
  <r>
    <s v="O00625"/>
    <x v="90"/>
    <x v="10"/>
    <s v="C0116"/>
    <s v="P070"/>
    <n v="3"/>
    <x v="12"/>
    <x v="6"/>
    <x v="3"/>
    <x v="0"/>
    <n v="42000"/>
    <n v="50000"/>
    <n v="150000"/>
    <n v="126000"/>
    <x v="14"/>
    <n v="0.16"/>
    <s v="Low Profit"/>
  </r>
  <r>
    <s v="O00626"/>
    <x v="234"/>
    <x v="10"/>
    <s v="C0242"/>
    <s v="P004"/>
    <n v="3"/>
    <x v="3"/>
    <x v="5"/>
    <x v="7"/>
    <x v="0"/>
    <n v="15000"/>
    <n v="18000"/>
    <n v="54000"/>
    <n v="45000"/>
    <x v="11"/>
    <n v="0.16666666666666666"/>
    <s v="Low Profit"/>
  </r>
  <r>
    <s v="O00627"/>
    <x v="294"/>
    <x v="7"/>
    <s v="C0246"/>
    <s v="P097"/>
    <n v="1"/>
    <x v="12"/>
    <x v="2"/>
    <x v="1"/>
    <x v="1"/>
    <n v="9000"/>
    <n v="12000"/>
    <n v="12000"/>
    <n v="9000"/>
    <x v="12"/>
    <n v="0.25"/>
    <s v="High Profit"/>
  </r>
  <r>
    <s v="O00628"/>
    <x v="20"/>
    <x v="10"/>
    <s v="C0246"/>
    <s v="P070"/>
    <n v="1"/>
    <x v="12"/>
    <x v="2"/>
    <x v="3"/>
    <x v="0"/>
    <n v="42000"/>
    <n v="50000"/>
    <n v="50000"/>
    <n v="42000"/>
    <x v="18"/>
    <n v="0.16"/>
    <s v="Low Profit"/>
  </r>
  <r>
    <s v="O00629"/>
    <x v="48"/>
    <x v="1"/>
    <s v="C0087"/>
    <s v="P099"/>
    <n v="3"/>
    <x v="5"/>
    <x v="3"/>
    <x v="4"/>
    <x v="1"/>
    <n v="900"/>
    <n v="1500"/>
    <n v="4500"/>
    <n v="2700"/>
    <x v="13"/>
    <n v="0.4"/>
    <s v="High Profit"/>
  </r>
  <r>
    <s v="O00630"/>
    <x v="14"/>
    <x v="8"/>
    <s v="C0070"/>
    <s v="P089"/>
    <n v="1"/>
    <x v="6"/>
    <x v="2"/>
    <x v="6"/>
    <x v="1"/>
    <n v="2000"/>
    <n v="3000"/>
    <n v="3000"/>
    <n v="2000"/>
    <x v="21"/>
    <n v="0.33333333333333331"/>
    <s v="High Profit"/>
  </r>
  <r>
    <s v="O00631"/>
    <x v="295"/>
    <x v="0"/>
    <s v="C0042"/>
    <s v="P050"/>
    <n v="4"/>
    <x v="11"/>
    <x v="1"/>
    <x v="5"/>
    <x v="1"/>
    <n v="500"/>
    <n v="800"/>
    <n v="3200"/>
    <n v="2000"/>
    <x v="4"/>
    <n v="0.375"/>
    <s v="High Profit"/>
  </r>
  <r>
    <s v="O00632"/>
    <x v="41"/>
    <x v="1"/>
    <s v="C0130"/>
    <s v="P036"/>
    <n v="5"/>
    <x v="2"/>
    <x v="4"/>
    <x v="2"/>
    <x v="0"/>
    <n v="20000"/>
    <n v="25000"/>
    <n v="125000"/>
    <n v="100000"/>
    <x v="15"/>
    <n v="0.2"/>
    <s v="Low Profit"/>
  </r>
  <r>
    <s v="O00633"/>
    <x v="252"/>
    <x v="8"/>
    <s v="C0201"/>
    <s v="P027"/>
    <n v="4"/>
    <x v="11"/>
    <x v="5"/>
    <x v="3"/>
    <x v="0"/>
    <n v="42000"/>
    <n v="50000"/>
    <n v="200000"/>
    <n v="168000"/>
    <x v="8"/>
    <n v="0.16"/>
    <s v="Low Profit"/>
  </r>
  <r>
    <s v="O00634"/>
    <x v="81"/>
    <x v="1"/>
    <s v="C0116"/>
    <s v="P049"/>
    <n v="4"/>
    <x v="12"/>
    <x v="6"/>
    <x v="6"/>
    <x v="1"/>
    <n v="2000"/>
    <n v="3000"/>
    <n v="12000"/>
    <n v="8000"/>
    <x v="20"/>
    <n v="0.33333333333333331"/>
    <s v="High Profit"/>
  </r>
  <r>
    <s v="O00635"/>
    <x v="296"/>
    <x v="5"/>
    <s v="C0028"/>
    <s v="P004"/>
    <n v="3"/>
    <x v="10"/>
    <x v="5"/>
    <x v="7"/>
    <x v="0"/>
    <n v="15000"/>
    <n v="18000"/>
    <n v="54000"/>
    <n v="45000"/>
    <x v="11"/>
    <n v="0.16666666666666666"/>
    <s v="Low Profit"/>
  </r>
  <r>
    <s v="O00636"/>
    <x v="57"/>
    <x v="5"/>
    <s v="C0033"/>
    <s v="P026"/>
    <n v="3"/>
    <x v="11"/>
    <x v="5"/>
    <x v="1"/>
    <x v="1"/>
    <n v="9000"/>
    <n v="12000"/>
    <n v="36000"/>
    <n v="27000"/>
    <x v="11"/>
    <n v="0.25"/>
    <s v="High Profit"/>
  </r>
  <r>
    <s v="O00637"/>
    <x v="178"/>
    <x v="6"/>
    <s v="C0180"/>
    <s v="P060"/>
    <n v="2"/>
    <x v="0"/>
    <x v="0"/>
    <x v="5"/>
    <x v="1"/>
    <n v="500"/>
    <n v="800"/>
    <n v="1600"/>
    <n v="1000"/>
    <x v="5"/>
    <n v="0.375"/>
    <s v="High Profit"/>
  </r>
  <r>
    <s v="O00638"/>
    <x v="13"/>
    <x v="1"/>
    <s v="C0199"/>
    <s v="P060"/>
    <n v="3"/>
    <x v="9"/>
    <x v="6"/>
    <x v="5"/>
    <x v="1"/>
    <n v="500"/>
    <n v="800"/>
    <n v="2400"/>
    <n v="1500"/>
    <x v="19"/>
    <n v="0.375"/>
    <s v="High Profit"/>
  </r>
  <r>
    <s v="O00639"/>
    <x v="226"/>
    <x v="8"/>
    <s v="C0191"/>
    <s v="P093"/>
    <n v="2"/>
    <x v="1"/>
    <x v="4"/>
    <x v="0"/>
    <x v="0"/>
    <n v="12000"/>
    <n v="15000"/>
    <n v="30000"/>
    <n v="24000"/>
    <x v="0"/>
    <n v="0.2"/>
    <s v="Low Profit"/>
  </r>
  <r>
    <s v="O00640"/>
    <x v="99"/>
    <x v="11"/>
    <s v="C0133"/>
    <s v="P004"/>
    <n v="3"/>
    <x v="0"/>
    <x v="0"/>
    <x v="7"/>
    <x v="0"/>
    <n v="15000"/>
    <n v="18000"/>
    <n v="54000"/>
    <n v="45000"/>
    <x v="11"/>
    <n v="0.16666666666666666"/>
    <s v="Low Profit"/>
  </r>
  <r>
    <s v="O00641"/>
    <x v="286"/>
    <x v="2"/>
    <s v="C0067"/>
    <s v="P038"/>
    <n v="3"/>
    <x v="8"/>
    <x v="8"/>
    <x v="7"/>
    <x v="0"/>
    <n v="15000"/>
    <n v="18000"/>
    <n v="54000"/>
    <n v="45000"/>
    <x v="11"/>
    <n v="0.16666666666666666"/>
    <s v="Low Profit"/>
  </r>
  <r>
    <s v="O00642"/>
    <x v="186"/>
    <x v="10"/>
    <s v="C0015"/>
    <s v="P053"/>
    <n v="2"/>
    <x v="0"/>
    <x v="8"/>
    <x v="3"/>
    <x v="0"/>
    <n v="42000"/>
    <n v="50000"/>
    <n v="100000"/>
    <n v="84000"/>
    <x v="23"/>
    <n v="0.16"/>
    <s v="Low Profit"/>
  </r>
  <r>
    <s v="O00643"/>
    <x v="297"/>
    <x v="3"/>
    <s v="C0094"/>
    <s v="P077"/>
    <n v="5"/>
    <x v="4"/>
    <x v="1"/>
    <x v="2"/>
    <x v="0"/>
    <n v="20000"/>
    <n v="25000"/>
    <n v="125000"/>
    <n v="100000"/>
    <x v="15"/>
    <n v="0.2"/>
    <s v="Low Profit"/>
  </r>
  <r>
    <s v="O00644"/>
    <x v="150"/>
    <x v="7"/>
    <s v="C0134"/>
    <s v="P048"/>
    <n v="4"/>
    <x v="0"/>
    <x v="0"/>
    <x v="7"/>
    <x v="0"/>
    <n v="15000"/>
    <n v="18000"/>
    <n v="72000"/>
    <n v="60000"/>
    <x v="1"/>
    <n v="0.16666666666666666"/>
    <s v="Low Profit"/>
  </r>
  <r>
    <s v="O00645"/>
    <x v="72"/>
    <x v="1"/>
    <s v="C0073"/>
    <s v="P096"/>
    <n v="4"/>
    <x v="6"/>
    <x v="4"/>
    <x v="0"/>
    <x v="0"/>
    <n v="12000"/>
    <n v="15000"/>
    <n v="60000"/>
    <n v="48000"/>
    <x v="1"/>
    <n v="0.2"/>
    <s v="Low Profit"/>
  </r>
  <r>
    <s v="O00646"/>
    <x v="125"/>
    <x v="6"/>
    <s v="C0277"/>
    <s v="P062"/>
    <n v="2"/>
    <x v="4"/>
    <x v="7"/>
    <x v="5"/>
    <x v="1"/>
    <n v="500"/>
    <n v="800"/>
    <n v="1600"/>
    <n v="1000"/>
    <x v="5"/>
    <n v="0.375"/>
    <s v="High Profit"/>
  </r>
  <r>
    <s v="O00647"/>
    <x v="139"/>
    <x v="8"/>
    <s v="C0061"/>
    <s v="P010"/>
    <n v="1"/>
    <x v="4"/>
    <x v="5"/>
    <x v="1"/>
    <x v="1"/>
    <n v="9000"/>
    <n v="12000"/>
    <n v="12000"/>
    <n v="9000"/>
    <x v="12"/>
    <n v="0.25"/>
    <s v="High Profit"/>
  </r>
  <r>
    <s v="O00648"/>
    <x v="289"/>
    <x v="10"/>
    <s v="C0268"/>
    <s v="P053"/>
    <n v="3"/>
    <x v="10"/>
    <x v="3"/>
    <x v="3"/>
    <x v="0"/>
    <n v="42000"/>
    <n v="50000"/>
    <n v="150000"/>
    <n v="126000"/>
    <x v="14"/>
    <n v="0.16"/>
    <s v="Low Profit"/>
  </r>
  <r>
    <s v="O00649"/>
    <x v="298"/>
    <x v="6"/>
    <s v="C0176"/>
    <s v="P025"/>
    <n v="1"/>
    <x v="1"/>
    <x v="3"/>
    <x v="1"/>
    <x v="1"/>
    <n v="9000"/>
    <n v="12000"/>
    <n v="12000"/>
    <n v="9000"/>
    <x v="12"/>
    <n v="0.25"/>
    <s v="High Profit"/>
  </r>
  <r>
    <s v="O00650"/>
    <x v="274"/>
    <x v="9"/>
    <s v="C8888"/>
    <s v="P088"/>
    <n v="5"/>
    <x v="7"/>
    <x v="8"/>
    <x v="5"/>
    <x v="1"/>
    <n v="500"/>
    <n v="800"/>
    <n v="4000"/>
    <n v="2500"/>
    <x v="16"/>
    <n v="0.375"/>
    <s v="High Profit"/>
  </r>
  <r>
    <s v="O00651"/>
    <x v="57"/>
    <x v="5"/>
    <s v="C9999"/>
    <s v="P071"/>
    <n v="4"/>
    <x v="7"/>
    <x v="8"/>
    <x v="5"/>
    <x v="1"/>
    <n v="500"/>
    <n v="800"/>
    <n v="3200"/>
    <n v="2000"/>
    <x v="4"/>
    <n v="0.375"/>
    <s v="High Profit"/>
  </r>
  <r>
    <s v="O00652"/>
    <x v="106"/>
    <x v="6"/>
    <s v="C0215"/>
    <s v="P013"/>
    <n v="5"/>
    <x v="5"/>
    <x v="5"/>
    <x v="1"/>
    <x v="1"/>
    <n v="9000"/>
    <n v="12000"/>
    <n v="60000"/>
    <n v="45000"/>
    <x v="6"/>
    <n v="0.25"/>
    <s v="High Profit"/>
  </r>
  <r>
    <s v="O00653"/>
    <x v="207"/>
    <x v="8"/>
    <s v="C0021"/>
    <s v="P068"/>
    <n v="4"/>
    <x v="11"/>
    <x v="6"/>
    <x v="1"/>
    <x v="1"/>
    <n v="9000"/>
    <n v="12000"/>
    <n v="48000"/>
    <n v="36000"/>
    <x v="1"/>
    <n v="0.25"/>
    <s v="High Profit"/>
  </r>
  <r>
    <s v="O00654"/>
    <x v="299"/>
    <x v="6"/>
    <s v="C0206"/>
    <s v="P089"/>
    <n v="2"/>
    <x v="5"/>
    <x v="0"/>
    <x v="6"/>
    <x v="1"/>
    <n v="2000"/>
    <n v="3000"/>
    <n v="6000"/>
    <n v="4000"/>
    <x v="22"/>
    <n v="0.33333333333333331"/>
    <s v="High Profit"/>
  </r>
  <r>
    <s v="O00655"/>
    <x v="91"/>
    <x v="2"/>
    <s v="C0060"/>
    <s v="P098"/>
    <n v="2"/>
    <x v="10"/>
    <x v="7"/>
    <x v="1"/>
    <x v="1"/>
    <n v="9000"/>
    <n v="12000"/>
    <n v="24000"/>
    <n v="18000"/>
    <x v="0"/>
    <n v="0.25"/>
    <s v="High Profit"/>
  </r>
  <r>
    <s v="O00656"/>
    <x v="100"/>
    <x v="0"/>
    <s v="C0041"/>
    <s v="P065"/>
    <n v="2"/>
    <x v="3"/>
    <x v="0"/>
    <x v="5"/>
    <x v="1"/>
    <n v="500"/>
    <n v="800"/>
    <n v="1600"/>
    <n v="1000"/>
    <x v="5"/>
    <n v="0.375"/>
    <s v="High Profit"/>
  </r>
  <r>
    <s v="O00657"/>
    <x v="293"/>
    <x v="6"/>
    <s v="C0003"/>
    <s v="P067"/>
    <n v="1"/>
    <x v="12"/>
    <x v="5"/>
    <x v="0"/>
    <x v="0"/>
    <n v="12000"/>
    <n v="15000"/>
    <n v="15000"/>
    <n v="12000"/>
    <x v="12"/>
    <n v="0.2"/>
    <s v="Low Profit"/>
  </r>
  <r>
    <s v="O00658"/>
    <x v="300"/>
    <x v="2"/>
    <s v="C0066"/>
    <s v="P088"/>
    <n v="1"/>
    <x v="1"/>
    <x v="1"/>
    <x v="5"/>
    <x v="1"/>
    <n v="500"/>
    <n v="800"/>
    <n v="800"/>
    <n v="500"/>
    <x v="7"/>
    <n v="0.375"/>
    <s v="High Profit"/>
  </r>
  <r>
    <s v="O00659"/>
    <x v="223"/>
    <x v="0"/>
    <s v="C0205"/>
    <s v="P092"/>
    <n v="4"/>
    <x v="6"/>
    <x v="7"/>
    <x v="1"/>
    <x v="1"/>
    <n v="9000"/>
    <n v="12000"/>
    <n v="48000"/>
    <n v="36000"/>
    <x v="1"/>
    <n v="0.25"/>
    <s v="High Profit"/>
  </r>
  <r>
    <s v="O00660"/>
    <x v="225"/>
    <x v="2"/>
    <s v="C0192"/>
    <s v="P061"/>
    <n v="1"/>
    <x v="11"/>
    <x v="7"/>
    <x v="0"/>
    <x v="0"/>
    <n v="12000"/>
    <n v="15000"/>
    <n v="15000"/>
    <n v="12000"/>
    <x v="12"/>
    <n v="0.2"/>
    <s v="Low Profit"/>
  </r>
  <r>
    <s v="O00661"/>
    <x v="100"/>
    <x v="0"/>
    <s v="C0144"/>
    <s v="P087"/>
    <n v="5"/>
    <x v="2"/>
    <x v="3"/>
    <x v="1"/>
    <x v="1"/>
    <n v="9000"/>
    <n v="12000"/>
    <n v="60000"/>
    <n v="45000"/>
    <x v="6"/>
    <n v="0.25"/>
    <s v="High Profit"/>
  </r>
  <r>
    <s v="O00662"/>
    <x v="74"/>
    <x v="0"/>
    <s v="C0090"/>
    <s v="P002"/>
    <n v="2"/>
    <x v="2"/>
    <x v="1"/>
    <x v="5"/>
    <x v="1"/>
    <n v="500"/>
    <n v="800"/>
    <n v="1600"/>
    <n v="1000"/>
    <x v="5"/>
    <n v="0.375"/>
    <s v="High Profit"/>
  </r>
  <r>
    <s v="O00663"/>
    <x v="255"/>
    <x v="6"/>
    <s v="C0299"/>
    <s v="P018"/>
    <n v="2"/>
    <x v="3"/>
    <x v="8"/>
    <x v="3"/>
    <x v="0"/>
    <n v="42000"/>
    <n v="50000"/>
    <n v="100000"/>
    <n v="84000"/>
    <x v="23"/>
    <n v="0.16"/>
    <s v="Low Profit"/>
  </r>
  <r>
    <s v="O00664"/>
    <x v="218"/>
    <x v="0"/>
    <s v="C0017"/>
    <s v="P029"/>
    <n v="3"/>
    <x v="10"/>
    <x v="4"/>
    <x v="6"/>
    <x v="1"/>
    <n v="2000"/>
    <n v="3000"/>
    <n v="9000"/>
    <n v="6000"/>
    <x v="12"/>
    <n v="0.33333333333333331"/>
    <s v="High Profit"/>
  </r>
  <r>
    <s v="O00665"/>
    <x v="39"/>
    <x v="7"/>
    <s v="C0088"/>
    <s v="P014"/>
    <n v="4"/>
    <x v="12"/>
    <x v="3"/>
    <x v="5"/>
    <x v="1"/>
    <n v="500"/>
    <n v="800"/>
    <n v="3200"/>
    <n v="2000"/>
    <x v="4"/>
    <n v="0.375"/>
    <s v="High Profit"/>
  </r>
  <r>
    <s v="O00666"/>
    <x v="269"/>
    <x v="3"/>
    <s v="C8888"/>
    <s v="P089"/>
    <n v="4"/>
    <x v="7"/>
    <x v="8"/>
    <x v="6"/>
    <x v="1"/>
    <n v="2000"/>
    <n v="3000"/>
    <n v="12000"/>
    <n v="8000"/>
    <x v="20"/>
    <n v="0.33333333333333331"/>
    <s v="High Profit"/>
  </r>
  <r>
    <s v="O00667"/>
    <x v="235"/>
    <x v="3"/>
    <s v="C0110"/>
    <s v="P009"/>
    <n v="2"/>
    <x v="5"/>
    <x v="7"/>
    <x v="6"/>
    <x v="1"/>
    <n v="2000"/>
    <n v="3000"/>
    <n v="6000"/>
    <n v="4000"/>
    <x v="22"/>
    <n v="0.33333333333333331"/>
    <s v="High Profit"/>
  </r>
  <r>
    <s v="O00668"/>
    <x v="144"/>
    <x v="11"/>
    <s v="C0145"/>
    <s v="P015"/>
    <n v="2"/>
    <x v="11"/>
    <x v="2"/>
    <x v="0"/>
    <x v="0"/>
    <n v="12000"/>
    <n v="15000"/>
    <n v="30000"/>
    <n v="24000"/>
    <x v="0"/>
    <n v="0.2"/>
    <s v="Low Profit"/>
  </r>
  <r>
    <s v="O00669"/>
    <x v="56"/>
    <x v="3"/>
    <s v="C0049"/>
    <s v="P087"/>
    <n v="4"/>
    <x v="8"/>
    <x v="2"/>
    <x v="1"/>
    <x v="1"/>
    <n v="9000"/>
    <n v="12000"/>
    <n v="48000"/>
    <n v="36000"/>
    <x v="1"/>
    <n v="0.25"/>
    <s v="High Profit"/>
  </r>
  <r>
    <s v="O00670"/>
    <x v="21"/>
    <x v="5"/>
    <s v="C0086"/>
    <s v="P041"/>
    <n v="2"/>
    <x v="9"/>
    <x v="3"/>
    <x v="2"/>
    <x v="0"/>
    <n v="20000"/>
    <n v="25000"/>
    <n v="50000"/>
    <n v="40000"/>
    <x v="2"/>
    <n v="0.2"/>
    <s v="Low Profit"/>
  </r>
  <r>
    <s v="O00671"/>
    <x v="301"/>
    <x v="4"/>
    <s v="C0283"/>
    <s v="P089"/>
    <n v="5"/>
    <x v="0"/>
    <x v="3"/>
    <x v="6"/>
    <x v="1"/>
    <n v="2000"/>
    <n v="3000"/>
    <n v="15000"/>
    <n v="10000"/>
    <x v="10"/>
    <n v="0.33333333333333331"/>
    <s v="High Profit"/>
  </r>
  <r>
    <s v="O00672"/>
    <x v="254"/>
    <x v="3"/>
    <s v="C0038"/>
    <s v="P072"/>
    <n v="4"/>
    <x v="2"/>
    <x v="0"/>
    <x v="2"/>
    <x v="0"/>
    <n v="20000"/>
    <n v="25000"/>
    <n v="100000"/>
    <n v="80000"/>
    <x v="9"/>
    <n v="0.2"/>
    <s v="Low Profit"/>
  </r>
  <r>
    <s v="O00673"/>
    <x v="302"/>
    <x v="8"/>
    <s v="C0018"/>
    <s v="P061"/>
    <n v="4"/>
    <x v="11"/>
    <x v="5"/>
    <x v="0"/>
    <x v="0"/>
    <n v="12000"/>
    <n v="15000"/>
    <n v="60000"/>
    <n v="48000"/>
    <x v="1"/>
    <n v="0.2"/>
    <s v="Low Profit"/>
  </r>
  <r>
    <s v="O00674"/>
    <x v="302"/>
    <x v="8"/>
    <s v="C0237"/>
    <s v="P095"/>
    <n v="2"/>
    <x v="4"/>
    <x v="1"/>
    <x v="2"/>
    <x v="0"/>
    <n v="20000"/>
    <n v="25000"/>
    <n v="50000"/>
    <n v="40000"/>
    <x v="2"/>
    <n v="0.2"/>
    <s v="Low Profit"/>
  </r>
  <r>
    <s v="O00675"/>
    <x v="44"/>
    <x v="9"/>
    <s v="C0019"/>
    <s v="P026"/>
    <n v="2"/>
    <x v="12"/>
    <x v="7"/>
    <x v="1"/>
    <x v="1"/>
    <n v="9000"/>
    <n v="12000"/>
    <n v="24000"/>
    <n v="18000"/>
    <x v="0"/>
    <n v="0.25"/>
    <s v="High Profit"/>
  </r>
  <r>
    <s v="O00676"/>
    <x v="288"/>
    <x v="2"/>
    <s v="C0036"/>
    <s v="P033"/>
    <n v="1"/>
    <x v="1"/>
    <x v="1"/>
    <x v="3"/>
    <x v="0"/>
    <n v="42000"/>
    <n v="50000"/>
    <n v="50000"/>
    <n v="42000"/>
    <x v="18"/>
    <n v="0.16"/>
    <s v="Low Profit"/>
  </r>
  <r>
    <s v="O00677"/>
    <x v="265"/>
    <x v="7"/>
    <s v="C0069"/>
    <s v="P040"/>
    <n v="3"/>
    <x v="3"/>
    <x v="3"/>
    <x v="3"/>
    <x v="0"/>
    <n v="42000"/>
    <n v="50000"/>
    <n v="150000"/>
    <n v="126000"/>
    <x v="14"/>
    <n v="0.16"/>
    <s v="Low Profit"/>
  </r>
  <r>
    <s v="O00678"/>
    <x v="107"/>
    <x v="6"/>
    <s v="C0281"/>
    <s v="P053"/>
    <n v="3"/>
    <x v="4"/>
    <x v="4"/>
    <x v="3"/>
    <x v="0"/>
    <n v="42000"/>
    <n v="50000"/>
    <n v="150000"/>
    <n v="126000"/>
    <x v="14"/>
    <n v="0.16"/>
    <s v="Low Profit"/>
  </r>
  <r>
    <s v="O00679"/>
    <x v="27"/>
    <x v="10"/>
    <s v="C0029"/>
    <s v="P095"/>
    <n v="2"/>
    <x v="4"/>
    <x v="3"/>
    <x v="2"/>
    <x v="0"/>
    <n v="20000"/>
    <n v="25000"/>
    <n v="50000"/>
    <n v="40000"/>
    <x v="2"/>
    <n v="0.2"/>
    <s v="Low Profit"/>
  </r>
  <r>
    <s v="O00680"/>
    <x v="54"/>
    <x v="7"/>
    <s v="C0009"/>
    <s v="P010"/>
    <n v="1"/>
    <x v="6"/>
    <x v="5"/>
    <x v="1"/>
    <x v="1"/>
    <n v="9000"/>
    <n v="12000"/>
    <n v="12000"/>
    <n v="9000"/>
    <x v="12"/>
    <n v="0.25"/>
    <s v="High Profit"/>
  </r>
  <r>
    <s v="O00681"/>
    <x v="140"/>
    <x v="5"/>
    <s v="C0259"/>
    <s v="P100"/>
    <n v="3"/>
    <x v="5"/>
    <x v="1"/>
    <x v="6"/>
    <x v="1"/>
    <n v="2000"/>
    <n v="3000"/>
    <n v="9000"/>
    <n v="6000"/>
    <x v="12"/>
    <n v="0.33333333333333331"/>
    <s v="High Profit"/>
  </r>
  <r>
    <s v="O00682"/>
    <x v="183"/>
    <x v="1"/>
    <s v="C0182"/>
    <s v="P073"/>
    <n v="4"/>
    <x v="10"/>
    <x v="3"/>
    <x v="3"/>
    <x v="0"/>
    <n v="42000"/>
    <n v="50000"/>
    <n v="200000"/>
    <n v="168000"/>
    <x v="8"/>
    <n v="0.16"/>
    <s v="Low Profit"/>
  </r>
  <r>
    <s v="O00683"/>
    <x v="303"/>
    <x v="10"/>
    <s v="C0198"/>
    <s v="P019"/>
    <n v="3"/>
    <x v="12"/>
    <x v="3"/>
    <x v="3"/>
    <x v="0"/>
    <n v="42000"/>
    <n v="50000"/>
    <n v="150000"/>
    <n v="126000"/>
    <x v="14"/>
    <n v="0.16"/>
    <s v="Low Profit"/>
  </r>
  <r>
    <s v="O00684"/>
    <x v="304"/>
    <x v="9"/>
    <s v="C0273"/>
    <s v="P082"/>
    <n v="3"/>
    <x v="12"/>
    <x v="5"/>
    <x v="7"/>
    <x v="0"/>
    <n v="15000"/>
    <n v="18000"/>
    <n v="54000"/>
    <n v="45000"/>
    <x v="11"/>
    <n v="0.16666666666666666"/>
    <s v="Low Profit"/>
  </r>
  <r>
    <s v="O00685"/>
    <x v="80"/>
    <x v="1"/>
    <s v="C0236"/>
    <s v="P096"/>
    <n v="1"/>
    <x v="10"/>
    <x v="1"/>
    <x v="0"/>
    <x v="0"/>
    <n v="12000"/>
    <n v="15000"/>
    <n v="15000"/>
    <n v="12000"/>
    <x v="12"/>
    <n v="0.2"/>
    <s v="Low Profit"/>
  </r>
  <r>
    <s v="O00686"/>
    <x v="296"/>
    <x v="5"/>
    <s v="C0213"/>
    <s v="P065"/>
    <n v="3"/>
    <x v="8"/>
    <x v="1"/>
    <x v="5"/>
    <x v="1"/>
    <n v="500"/>
    <n v="800"/>
    <n v="2400"/>
    <n v="1500"/>
    <x v="19"/>
    <n v="0.375"/>
    <s v="High Profit"/>
  </r>
  <r>
    <s v="O00687"/>
    <x v="101"/>
    <x v="4"/>
    <s v="C0075"/>
    <s v="P050"/>
    <n v="1"/>
    <x v="3"/>
    <x v="1"/>
    <x v="5"/>
    <x v="1"/>
    <n v="500"/>
    <n v="800"/>
    <n v="800"/>
    <n v="500"/>
    <x v="7"/>
    <n v="0.375"/>
    <s v="High Profit"/>
  </r>
  <r>
    <s v="O00688"/>
    <x v="305"/>
    <x v="3"/>
    <s v="C0220"/>
    <s v="P078"/>
    <n v="2"/>
    <x v="12"/>
    <x v="1"/>
    <x v="7"/>
    <x v="0"/>
    <n v="15000"/>
    <n v="18000"/>
    <n v="36000"/>
    <n v="30000"/>
    <x v="0"/>
    <n v="0.16666666666666666"/>
    <s v="Low Profit"/>
  </r>
  <r>
    <s v="O00689"/>
    <x v="306"/>
    <x v="7"/>
    <s v="C8888"/>
    <s v="P070"/>
    <n v="3"/>
    <x v="7"/>
    <x v="8"/>
    <x v="3"/>
    <x v="0"/>
    <n v="42000"/>
    <n v="50000"/>
    <n v="150000"/>
    <n v="126000"/>
    <x v="14"/>
    <n v="0.16"/>
    <s v="Low Profit"/>
  </r>
  <r>
    <s v="O00690"/>
    <x v="248"/>
    <x v="1"/>
    <s v="C0164"/>
    <s v="P021"/>
    <n v="4"/>
    <x v="4"/>
    <x v="2"/>
    <x v="2"/>
    <x v="0"/>
    <n v="20000"/>
    <n v="25000"/>
    <n v="100000"/>
    <n v="80000"/>
    <x v="9"/>
    <n v="0.2"/>
    <s v="Low Profit"/>
  </r>
  <r>
    <s v="O00691"/>
    <x v="31"/>
    <x v="3"/>
    <s v="C0159"/>
    <s v="P031"/>
    <n v="5"/>
    <x v="12"/>
    <x v="0"/>
    <x v="4"/>
    <x v="1"/>
    <n v="900"/>
    <n v="1500"/>
    <n v="7500"/>
    <n v="4500"/>
    <x v="12"/>
    <n v="0.4"/>
    <s v="High Profit"/>
  </r>
  <r>
    <s v="O00692"/>
    <x v="115"/>
    <x v="7"/>
    <s v="C0192"/>
    <s v="P002"/>
    <n v="5"/>
    <x v="11"/>
    <x v="7"/>
    <x v="5"/>
    <x v="1"/>
    <n v="500"/>
    <n v="800"/>
    <n v="4000"/>
    <n v="2500"/>
    <x v="16"/>
    <n v="0.375"/>
    <s v="High Profit"/>
  </r>
  <r>
    <s v="O00693"/>
    <x v="307"/>
    <x v="2"/>
    <s v="C0223"/>
    <s v="P022"/>
    <n v="3"/>
    <x v="11"/>
    <x v="0"/>
    <x v="3"/>
    <x v="0"/>
    <n v="42000"/>
    <n v="50000"/>
    <n v="150000"/>
    <n v="126000"/>
    <x v="14"/>
    <n v="0.16"/>
    <s v="Low Profit"/>
  </r>
  <r>
    <s v="O00694"/>
    <x v="308"/>
    <x v="5"/>
    <s v="C0117"/>
    <s v="P018"/>
    <n v="4"/>
    <x v="11"/>
    <x v="1"/>
    <x v="3"/>
    <x v="0"/>
    <n v="42000"/>
    <n v="50000"/>
    <n v="200000"/>
    <n v="168000"/>
    <x v="8"/>
    <n v="0.16"/>
    <s v="Low Profit"/>
  </r>
  <r>
    <s v="O00695"/>
    <x v="129"/>
    <x v="4"/>
    <s v="C0206"/>
    <s v="P026"/>
    <n v="5"/>
    <x v="5"/>
    <x v="0"/>
    <x v="1"/>
    <x v="1"/>
    <n v="9000"/>
    <n v="12000"/>
    <n v="60000"/>
    <n v="45000"/>
    <x v="6"/>
    <n v="0.25"/>
    <s v="High Profit"/>
  </r>
  <r>
    <s v="O00696"/>
    <x v="306"/>
    <x v="7"/>
    <s v="C0113"/>
    <s v="P004"/>
    <n v="5"/>
    <x v="12"/>
    <x v="2"/>
    <x v="7"/>
    <x v="0"/>
    <n v="15000"/>
    <n v="18000"/>
    <n v="90000"/>
    <n v="75000"/>
    <x v="6"/>
    <n v="0.16666666666666666"/>
    <s v="Low Profit"/>
  </r>
  <r>
    <s v="O00697"/>
    <x v="13"/>
    <x v="1"/>
    <s v="C9999"/>
    <s v="P090"/>
    <n v="4"/>
    <x v="7"/>
    <x v="8"/>
    <x v="0"/>
    <x v="0"/>
    <n v="12000"/>
    <n v="15000"/>
    <n v="60000"/>
    <n v="48000"/>
    <x v="1"/>
    <n v="0.2"/>
    <s v="Low Profit"/>
  </r>
  <r>
    <s v="O00698"/>
    <x v="229"/>
    <x v="2"/>
    <s v="C0190"/>
    <s v="P061"/>
    <n v="5"/>
    <x v="0"/>
    <x v="7"/>
    <x v="0"/>
    <x v="0"/>
    <n v="12000"/>
    <n v="15000"/>
    <n v="75000"/>
    <n v="60000"/>
    <x v="6"/>
    <n v="0.2"/>
    <s v="Low Profit"/>
  </r>
  <r>
    <s v="O00699"/>
    <x v="303"/>
    <x v="10"/>
    <s v="C0092"/>
    <s v="P070"/>
    <n v="1"/>
    <x v="3"/>
    <x v="1"/>
    <x v="3"/>
    <x v="0"/>
    <n v="42000"/>
    <n v="50000"/>
    <n v="50000"/>
    <n v="42000"/>
    <x v="18"/>
    <n v="0.16"/>
    <s v="Low Profit"/>
  </r>
  <r>
    <s v="O00700"/>
    <x v="146"/>
    <x v="3"/>
    <s v="C0165"/>
    <s v="P003"/>
    <n v="1"/>
    <x v="11"/>
    <x v="8"/>
    <x v="4"/>
    <x v="1"/>
    <n v="900"/>
    <n v="1500"/>
    <n v="1500"/>
    <n v="900"/>
    <x v="5"/>
    <n v="0.4"/>
    <s v="High Profit"/>
  </r>
  <r>
    <s v="O00701"/>
    <x v="273"/>
    <x v="3"/>
    <s v="C0075"/>
    <s v="P055"/>
    <n v="4"/>
    <x v="3"/>
    <x v="1"/>
    <x v="6"/>
    <x v="1"/>
    <n v="2000"/>
    <n v="3000"/>
    <n v="12000"/>
    <n v="8000"/>
    <x v="20"/>
    <n v="0.33333333333333331"/>
    <s v="High Profit"/>
  </r>
  <r>
    <s v="O00702"/>
    <x v="187"/>
    <x v="11"/>
    <s v="C0021"/>
    <s v="P028"/>
    <n v="3"/>
    <x v="11"/>
    <x v="6"/>
    <x v="3"/>
    <x v="0"/>
    <n v="42000"/>
    <n v="50000"/>
    <n v="150000"/>
    <n v="126000"/>
    <x v="14"/>
    <n v="0.16"/>
    <s v="Low Profit"/>
  </r>
  <r>
    <s v="O00703"/>
    <x v="24"/>
    <x v="11"/>
    <s v="C0094"/>
    <s v="P037"/>
    <n v="4"/>
    <x v="4"/>
    <x v="1"/>
    <x v="0"/>
    <x v="0"/>
    <n v="12000"/>
    <n v="15000"/>
    <n v="60000"/>
    <n v="48000"/>
    <x v="1"/>
    <n v="0.2"/>
    <s v="Low Profit"/>
  </r>
  <r>
    <s v="O00704"/>
    <x v="116"/>
    <x v="10"/>
    <s v="C0145"/>
    <s v="P047"/>
    <n v="2"/>
    <x v="11"/>
    <x v="2"/>
    <x v="6"/>
    <x v="1"/>
    <n v="2000"/>
    <n v="3000"/>
    <n v="6000"/>
    <n v="4000"/>
    <x v="22"/>
    <n v="0.33333333333333331"/>
    <s v="High Profit"/>
  </r>
  <r>
    <s v="O00705"/>
    <x v="309"/>
    <x v="7"/>
    <s v="C0193"/>
    <s v="P020"/>
    <n v="2"/>
    <x v="1"/>
    <x v="5"/>
    <x v="5"/>
    <x v="1"/>
    <n v="500"/>
    <n v="800"/>
    <n v="1600"/>
    <n v="1000"/>
    <x v="5"/>
    <n v="0.375"/>
    <s v="High Profit"/>
  </r>
  <r>
    <s v="O00706"/>
    <x v="235"/>
    <x v="3"/>
    <s v="C0075"/>
    <s v="P015"/>
    <n v="1"/>
    <x v="3"/>
    <x v="1"/>
    <x v="0"/>
    <x v="0"/>
    <n v="12000"/>
    <n v="15000"/>
    <n v="15000"/>
    <n v="12000"/>
    <x v="12"/>
    <n v="0.2"/>
    <s v="Low Profit"/>
  </r>
  <r>
    <s v="O00707"/>
    <x v="258"/>
    <x v="2"/>
    <s v="C0104"/>
    <s v="P016"/>
    <n v="2"/>
    <x v="8"/>
    <x v="2"/>
    <x v="2"/>
    <x v="0"/>
    <n v="20000"/>
    <n v="25000"/>
    <n v="50000"/>
    <n v="40000"/>
    <x v="2"/>
    <n v="0.2"/>
    <s v="Low Profit"/>
  </r>
  <r>
    <s v="O00708"/>
    <x v="167"/>
    <x v="2"/>
    <s v="C0207"/>
    <s v="P006"/>
    <n v="1"/>
    <x v="11"/>
    <x v="1"/>
    <x v="3"/>
    <x v="0"/>
    <n v="42000"/>
    <n v="50000"/>
    <n v="50000"/>
    <n v="42000"/>
    <x v="18"/>
    <n v="0.16"/>
    <s v="Low Profit"/>
  </r>
  <r>
    <s v="O00709"/>
    <x v="269"/>
    <x v="3"/>
    <s v="C0067"/>
    <s v="P067"/>
    <n v="5"/>
    <x v="8"/>
    <x v="8"/>
    <x v="0"/>
    <x v="0"/>
    <n v="12000"/>
    <n v="15000"/>
    <n v="75000"/>
    <n v="60000"/>
    <x v="6"/>
    <n v="0.2"/>
    <s v="Low Profit"/>
  </r>
  <r>
    <s v="O00710"/>
    <x v="118"/>
    <x v="5"/>
    <s v="C0014"/>
    <s v="P019"/>
    <n v="4"/>
    <x v="0"/>
    <x v="1"/>
    <x v="3"/>
    <x v="0"/>
    <n v="42000"/>
    <n v="50000"/>
    <n v="200000"/>
    <n v="168000"/>
    <x v="8"/>
    <n v="0.16"/>
    <s v="Low Profit"/>
  </r>
  <r>
    <s v="O00711"/>
    <x v="131"/>
    <x v="7"/>
    <s v="C0173"/>
    <s v="P061"/>
    <n v="2"/>
    <x v="3"/>
    <x v="2"/>
    <x v="0"/>
    <x v="0"/>
    <n v="12000"/>
    <n v="15000"/>
    <n v="30000"/>
    <n v="24000"/>
    <x v="0"/>
    <n v="0.2"/>
    <s v="Low Profit"/>
  </r>
  <r>
    <s v="O00712"/>
    <x v="76"/>
    <x v="11"/>
    <s v="C0274"/>
    <s v="P041"/>
    <n v="1"/>
    <x v="11"/>
    <x v="1"/>
    <x v="2"/>
    <x v="0"/>
    <n v="20000"/>
    <n v="25000"/>
    <n v="25000"/>
    <n v="20000"/>
    <x v="10"/>
    <n v="0.2"/>
    <s v="Low Profit"/>
  </r>
  <r>
    <s v="O00713"/>
    <x v="6"/>
    <x v="6"/>
    <s v="C0135"/>
    <s v="P015"/>
    <n v="4"/>
    <x v="8"/>
    <x v="1"/>
    <x v="0"/>
    <x v="0"/>
    <n v="12000"/>
    <n v="15000"/>
    <n v="60000"/>
    <n v="48000"/>
    <x v="1"/>
    <n v="0.2"/>
    <s v="Low Profit"/>
  </r>
  <r>
    <s v="O00714"/>
    <x v="310"/>
    <x v="5"/>
    <s v="C0205"/>
    <s v="P040"/>
    <n v="4"/>
    <x v="6"/>
    <x v="7"/>
    <x v="3"/>
    <x v="0"/>
    <n v="42000"/>
    <n v="50000"/>
    <n v="200000"/>
    <n v="168000"/>
    <x v="8"/>
    <n v="0.16"/>
    <s v="Low Profit"/>
  </r>
  <r>
    <s v="O00715"/>
    <x v="311"/>
    <x v="5"/>
    <s v="C0221"/>
    <s v="P042"/>
    <n v="3"/>
    <x v="8"/>
    <x v="7"/>
    <x v="4"/>
    <x v="1"/>
    <n v="900"/>
    <n v="1500"/>
    <n v="4500"/>
    <n v="2700"/>
    <x v="13"/>
    <n v="0.4"/>
    <s v="High Profit"/>
  </r>
  <r>
    <s v="O00716"/>
    <x v="20"/>
    <x v="10"/>
    <s v="C0064"/>
    <s v="P084"/>
    <n v="1"/>
    <x v="8"/>
    <x v="7"/>
    <x v="2"/>
    <x v="0"/>
    <n v="20000"/>
    <n v="25000"/>
    <n v="25000"/>
    <n v="20000"/>
    <x v="10"/>
    <n v="0.2"/>
    <s v="Low Profit"/>
  </r>
  <r>
    <s v="O00717"/>
    <x v="239"/>
    <x v="2"/>
    <s v="C0057"/>
    <s v="P077"/>
    <n v="2"/>
    <x v="5"/>
    <x v="0"/>
    <x v="2"/>
    <x v="0"/>
    <n v="20000"/>
    <n v="25000"/>
    <n v="50000"/>
    <n v="40000"/>
    <x v="2"/>
    <n v="0.2"/>
    <s v="Low Profit"/>
  </r>
  <r>
    <s v="O00718"/>
    <x v="110"/>
    <x v="9"/>
    <s v="C0271"/>
    <s v="P003"/>
    <n v="1"/>
    <x v="0"/>
    <x v="8"/>
    <x v="4"/>
    <x v="1"/>
    <n v="900"/>
    <n v="1500"/>
    <n v="1500"/>
    <n v="900"/>
    <x v="5"/>
    <n v="0.4"/>
    <s v="High Profit"/>
  </r>
  <r>
    <s v="O00719"/>
    <x v="312"/>
    <x v="11"/>
    <s v="C0097"/>
    <s v="P010"/>
    <n v="5"/>
    <x v="6"/>
    <x v="1"/>
    <x v="1"/>
    <x v="1"/>
    <n v="9000"/>
    <n v="12000"/>
    <n v="60000"/>
    <n v="45000"/>
    <x v="6"/>
    <n v="0.25"/>
    <s v="High Profit"/>
  </r>
  <r>
    <s v="O00720"/>
    <x v="251"/>
    <x v="8"/>
    <s v="C0154"/>
    <s v="P024"/>
    <n v="4"/>
    <x v="1"/>
    <x v="0"/>
    <x v="5"/>
    <x v="1"/>
    <n v="500"/>
    <n v="800"/>
    <n v="3200"/>
    <n v="2000"/>
    <x v="4"/>
    <n v="0.375"/>
    <s v="High Profit"/>
  </r>
  <r>
    <s v="O00721"/>
    <x v="313"/>
    <x v="1"/>
    <s v="C0110"/>
    <s v="P093"/>
    <n v="4"/>
    <x v="5"/>
    <x v="7"/>
    <x v="0"/>
    <x v="0"/>
    <n v="12000"/>
    <n v="15000"/>
    <n v="60000"/>
    <n v="48000"/>
    <x v="1"/>
    <n v="0.2"/>
    <s v="Low Profit"/>
  </r>
  <r>
    <s v="O00722"/>
    <x v="254"/>
    <x v="3"/>
    <s v="C0121"/>
    <s v="P041"/>
    <n v="5"/>
    <x v="0"/>
    <x v="0"/>
    <x v="2"/>
    <x v="0"/>
    <n v="20000"/>
    <n v="25000"/>
    <n v="125000"/>
    <n v="100000"/>
    <x v="15"/>
    <n v="0.2"/>
    <s v="Low Profit"/>
  </r>
  <r>
    <s v="O00723"/>
    <x v="283"/>
    <x v="3"/>
    <s v="C8888"/>
    <s v="P063"/>
    <n v="3"/>
    <x v="7"/>
    <x v="8"/>
    <x v="6"/>
    <x v="1"/>
    <n v="2000"/>
    <n v="3000"/>
    <n v="9000"/>
    <n v="6000"/>
    <x v="12"/>
    <n v="0.33333333333333331"/>
    <s v="High Profit"/>
  </r>
  <r>
    <s v="O00724"/>
    <x v="21"/>
    <x v="5"/>
    <s v="C0213"/>
    <s v="P023"/>
    <n v="3"/>
    <x v="8"/>
    <x v="1"/>
    <x v="6"/>
    <x v="1"/>
    <n v="2000"/>
    <n v="3000"/>
    <n v="9000"/>
    <n v="6000"/>
    <x v="12"/>
    <n v="0.33333333333333331"/>
    <s v="High Profit"/>
  </r>
  <r>
    <s v="O00725"/>
    <x v="191"/>
    <x v="7"/>
    <s v="C0286"/>
    <s v="P058"/>
    <n v="5"/>
    <x v="12"/>
    <x v="2"/>
    <x v="4"/>
    <x v="1"/>
    <n v="900"/>
    <n v="1500"/>
    <n v="7500"/>
    <n v="4500"/>
    <x v="12"/>
    <n v="0.4"/>
    <s v="High Profit"/>
  </r>
  <r>
    <s v="O00726"/>
    <x v="8"/>
    <x v="3"/>
    <s v="C0214"/>
    <s v="P028"/>
    <n v="3"/>
    <x v="5"/>
    <x v="8"/>
    <x v="3"/>
    <x v="0"/>
    <n v="42000"/>
    <n v="50000"/>
    <n v="150000"/>
    <n v="126000"/>
    <x v="14"/>
    <n v="0.16"/>
    <s v="Low Profit"/>
  </r>
  <r>
    <s v="O00727"/>
    <x v="113"/>
    <x v="2"/>
    <s v="C0246"/>
    <s v="P018"/>
    <n v="3"/>
    <x v="12"/>
    <x v="2"/>
    <x v="3"/>
    <x v="0"/>
    <n v="42000"/>
    <n v="50000"/>
    <n v="150000"/>
    <n v="126000"/>
    <x v="14"/>
    <n v="0.16"/>
    <s v="Low Profit"/>
  </r>
  <r>
    <s v="O00728"/>
    <x v="30"/>
    <x v="11"/>
    <s v="C0272"/>
    <s v="P035"/>
    <n v="1"/>
    <x v="0"/>
    <x v="3"/>
    <x v="1"/>
    <x v="1"/>
    <n v="9000"/>
    <n v="12000"/>
    <n v="12000"/>
    <n v="9000"/>
    <x v="12"/>
    <n v="0.25"/>
    <s v="High Profit"/>
  </r>
  <r>
    <s v="O00729"/>
    <x v="314"/>
    <x v="4"/>
    <s v="C0257"/>
    <s v="P003"/>
    <n v="1"/>
    <x v="9"/>
    <x v="6"/>
    <x v="4"/>
    <x v="1"/>
    <n v="900"/>
    <n v="1500"/>
    <n v="1500"/>
    <n v="900"/>
    <x v="5"/>
    <n v="0.4"/>
    <s v="High Profit"/>
  </r>
  <r>
    <s v="O00730"/>
    <x v="213"/>
    <x v="1"/>
    <s v="C0220"/>
    <s v="P094"/>
    <n v="1"/>
    <x v="12"/>
    <x v="1"/>
    <x v="6"/>
    <x v="1"/>
    <n v="2000"/>
    <n v="3000"/>
    <n v="3000"/>
    <n v="2000"/>
    <x v="21"/>
    <n v="0.33333333333333331"/>
    <s v="High Profit"/>
  </r>
  <r>
    <s v="O00731"/>
    <x v="267"/>
    <x v="10"/>
    <s v="C0248"/>
    <s v="P046"/>
    <n v="3"/>
    <x v="10"/>
    <x v="4"/>
    <x v="5"/>
    <x v="1"/>
    <n v="500"/>
    <n v="800"/>
    <n v="2400"/>
    <n v="1500"/>
    <x v="19"/>
    <n v="0.375"/>
    <s v="High Profit"/>
  </r>
  <r>
    <s v="O00732"/>
    <x v="280"/>
    <x v="3"/>
    <s v="C0114"/>
    <s v="P087"/>
    <n v="1"/>
    <x v="0"/>
    <x v="1"/>
    <x v="1"/>
    <x v="1"/>
    <n v="9000"/>
    <n v="12000"/>
    <n v="12000"/>
    <n v="9000"/>
    <x v="12"/>
    <n v="0.25"/>
    <s v="High Profit"/>
  </r>
  <r>
    <s v="O00733"/>
    <x v="199"/>
    <x v="6"/>
    <s v="C0102"/>
    <s v="P052"/>
    <n v="1"/>
    <x v="12"/>
    <x v="1"/>
    <x v="5"/>
    <x v="1"/>
    <n v="500"/>
    <n v="800"/>
    <n v="800"/>
    <n v="500"/>
    <x v="7"/>
    <n v="0.375"/>
    <s v="High Profit"/>
  </r>
  <r>
    <s v="O00734"/>
    <x v="213"/>
    <x v="1"/>
    <s v="C0098"/>
    <s v="P037"/>
    <n v="5"/>
    <x v="8"/>
    <x v="8"/>
    <x v="0"/>
    <x v="0"/>
    <n v="12000"/>
    <n v="15000"/>
    <n v="75000"/>
    <n v="60000"/>
    <x v="6"/>
    <n v="0.2"/>
    <s v="Low Profit"/>
  </r>
  <r>
    <s v="O00735"/>
    <x v="301"/>
    <x v="4"/>
    <s v="C0102"/>
    <s v="P085"/>
    <n v="4"/>
    <x v="12"/>
    <x v="1"/>
    <x v="4"/>
    <x v="1"/>
    <n v="900"/>
    <n v="1500"/>
    <n v="6000"/>
    <n v="3600"/>
    <x v="17"/>
    <n v="0.4"/>
    <s v="High Profit"/>
  </r>
  <r>
    <s v="O00736"/>
    <x v="181"/>
    <x v="0"/>
    <s v="C0232"/>
    <s v="P087"/>
    <n v="5"/>
    <x v="6"/>
    <x v="0"/>
    <x v="1"/>
    <x v="1"/>
    <n v="9000"/>
    <n v="12000"/>
    <n v="60000"/>
    <n v="45000"/>
    <x v="6"/>
    <n v="0.25"/>
    <s v="High Profit"/>
  </r>
  <r>
    <s v="O00737"/>
    <x v="282"/>
    <x v="9"/>
    <s v="C0154"/>
    <s v="P013"/>
    <n v="4"/>
    <x v="1"/>
    <x v="0"/>
    <x v="1"/>
    <x v="1"/>
    <n v="9000"/>
    <n v="12000"/>
    <n v="48000"/>
    <n v="36000"/>
    <x v="1"/>
    <n v="0.25"/>
    <s v="High Profit"/>
  </r>
  <r>
    <s v="O00738"/>
    <x v="191"/>
    <x v="7"/>
    <s v="C0071"/>
    <s v="P033"/>
    <n v="4"/>
    <x v="1"/>
    <x v="1"/>
    <x v="3"/>
    <x v="0"/>
    <n v="42000"/>
    <n v="50000"/>
    <n v="200000"/>
    <n v="168000"/>
    <x v="8"/>
    <n v="0.16"/>
    <s v="Low Profit"/>
  </r>
  <r>
    <s v="O00739"/>
    <x v="315"/>
    <x v="7"/>
    <s v="C0138"/>
    <s v="P059"/>
    <n v="2"/>
    <x v="4"/>
    <x v="6"/>
    <x v="4"/>
    <x v="1"/>
    <n v="900"/>
    <n v="1500"/>
    <n v="3000"/>
    <n v="1800"/>
    <x v="4"/>
    <n v="0.4"/>
    <s v="High Profit"/>
  </r>
  <r>
    <s v="O00740"/>
    <x v="233"/>
    <x v="4"/>
    <s v="C0195"/>
    <s v="P081"/>
    <n v="2"/>
    <x v="12"/>
    <x v="6"/>
    <x v="7"/>
    <x v="0"/>
    <n v="15000"/>
    <n v="18000"/>
    <n v="36000"/>
    <n v="30000"/>
    <x v="0"/>
    <n v="0.16666666666666666"/>
    <s v="Low Profit"/>
  </r>
  <r>
    <s v="O00741"/>
    <x v="112"/>
    <x v="2"/>
    <s v="C0094"/>
    <s v="P090"/>
    <n v="1"/>
    <x v="4"/>
    <x v="1"/>
    <x v="0"/>
    <x v="0"/>
    <n v="12000"/>
    <n v="15000"/>
    <n v="15000"/>
    <n v="12000"/>
    <x v="12"/>
    <n v="0.2"/>
    <s v="Low Profit"/>
  </r>
  <r>
    <s v="O00742"/>
    <x v="277"/>
    <x v="4"/>
    <s v="C0061"/>
    <s v="P058"/>
    <n v="2"/>
    <x v="4"/>
    <x v="5"/>
    <x v="4"/>
    <x v="1"/>
    <n v="900"/>
    <n v="1500"/>
    <n v="3000"/>
    <n v="1800"/>
    <x v="4"/>
    <n v="0.4"/>
    <s v="High Profit"/>
  </r>
  <r>
    <s v="O00743"/>
    <x v="294"/>
    <x v="7"/>
    <s v="C0292"/>
    <s v="P005"/>
    <n v="5"/>
    <x v="9"/>
    <x v="5"/>
    <x v="5"/>
    <x v="1"/>
    <n v="500"/>
    <n v="800"/>
    <n v="4000"/>
    <n v="2500"/>
    <x v="16"/>
    <n v="0.375"/>
    <s v="High Profit"/>
  </r>
  <r>
    <s v="O00744"/>
    <x v="316"/>
    <x v="11"/>
    <s v="C0011"/>
    <s v="P063"/>
    <n v="3"/>
    <x v="10"/>
    <x v="3"/>
    <x v="6"/>
    <x v="1"/>
    <n v="2000"/>
    <n v="3000"/>
    <n v="9000"/>
    <n v="6000"/>
    <x v="12"/>
    <n v="0.33333333333333331"/>
    <s v="High Profit"/>
  </r>
  <r>
    <s v="O00745"/>
    <x v="260"/>
    <x v="9"/>
    <s v="C0152"/>
    <s v="P036"/>
    <n v="3"/>
    <x v="6"/>
    <x v="7"/>
    <x v="2"/>
    <x v="0"/>
    <n v="20000"/>
    <n v="25000"/>
    <n v="75000"/>
    <n v="60000"/>
    <x v="6"/>
    <n v="0.2"/>
    <s v="Low Profit"/>
  </r>
  <r>
    <s v="O00746"/>
    <x v="289"/>
    <x v="10"/>
    <s v="C0035"/>
    <s v="P100"/>
    <n v="4"/>
    <x v="8"/>
    <x v="1"/>
    <x v="6"/>
    <x v="1"/>
    <n v="2000"/>
    <n v="3000"/>
    <n v="12000"/>
    <n v="8000"/>
    <x v="20"/>
    <n v="0.33333333333333331"/>
    <s v="High Profit"/>
  </r>
  <r>
    <s v="O00747"/>
    <x v="148"/>
    <x v="6"/>
    <s v="C0268"/>
    <s v="P058"/>
    <n v="3"/>
    <x v="10"/>
    <x v="3"/>
    <x v="4"/>
    <x v="1"/>
    <n v="900"/>
    <n v="1500"/>
    <n v="4500"/>
    <n v="2700"/>
    <x v="13"/>
    <n v="0.4"/>
    <s v="High Profit"/>
  </r>
  <r>
    <s v="O00748"/>
    <x v="308"/>
    <x v="5"/>
    <s v="C0151"/>
    <s v="P001"/>
    <n v="1"/>
    <x v="6"/>
    <x v="6"/>
    <x v="2"/>
    <x v="0"/>
    <n v="20000"/>
    <n v="25000"/>
    <n v="25000"/>
    <n v="20000"/>
    <x v="10"/>
    <n v="0.2"/>
    <s v="Low Profit"/>
  </r>
  <r>
    <s v="O00749"/>
    <x v="317"/>
    <x v="8"/>
    <s v="C0268"/>
    <s v="P008"/>
    <n v="2"/>
    <x v="10"/>
    <x v="3"/>
    <x v="7"/>
    <x v="0"/>
    <n v="15000"/>
    <n v="18000"/>
    <n v="36000"/>
    <n v="30000"/>
    <x v="0"/>
    <n v="0.16666666666666666"/>
    <s v="Low Profit"/>
  </r>
  <r>
    <s v="O00750"/>
    <x v="5"/>
    <x v="5"/>
    <s v="C0212"/>
    <s v="P022"/>
    <n v="3"/>
    <x v="10"/>
    <x v="5"/>
    <x v="3"/>
    <x v="0"/>
    <n v="42000"/>
    <n v="50000"/>
    <n v="150000"/>
    <n v="126000"/>
    <x v="14"/>
    <n v="0.16"/>
    <s v="Low Profit"/>
  </r>
  <r>
    <s v="O00751"/>
    <x v="265"/>
    <x v="7"/>
    <s v="C0115"/>
    <s v="P014"/>
    <n v="3"/>
    <x v="0"/>
    <x v="4"/>
    <x v="5"/>
    <x v="1"/>
    <n v="500"/>
    <n v="800"/>
    <n v="2400"/>
    <n v="1500"/>
    <x v="19"/>
    <n v="0.375"/>
    <s v="High Profit"/>
  </r>
  <r>
    <s v="O00752"/>
    <x v="51"/>
    <x v="1"/>
    <s v="C0227"/>
    <s v="P032"/>
    <n v="1"/>
    <x v="0"/>
    <x v="5"/>
    <x v="2"/>
    <x v="0"/>
    <n v="20000"/>
    <n v="25000"/>
    <n v="25000"/>
    <n v="20000"/>
    <x v="10"/>
    <n v="0.2"/>
    <s v="Low Profit"/>
  </r>
  <r>
    <s v="O00753"/>
    <x v="187"/>
    <x v="11"/>
    <s v="C0189"/>
    <s v="P086"/>
    <n v="3"/>
    <x v="2"/>
    <x v="0"/>
    <x v="3"/>
    <x v="0"/>
    <n v="42000"/>
    <n v="50000"/>
    <n v="150000"/>
    <n v="126000"/>
    <x v="14"/>
    <n v="0.16"/>
    <s v="Low Profit"/>
  </r>
  <r>
    <s v="O00754"/>
    <x v="78"/>
    <x v="7"/>
    <s v="C0031"/>
    <s v="P069"/>
    <n v="2"/>
    <x v="4"/>
    <x v="6"/>
    <x v="1"/>
    <x v="1"/>
    <n v="9000"/>
    <n v="12000"/>
    <n v="24000"/>
    <n v="18000"/>
    <x v="0"/>
    <n v="0.25"/>
    <s v="High Profit"/>
  </r>
  <r>
    <s v="O00755"/>
    <x v="318"/>
    <x v="4"/>
    <s v="C0134"/>
    <s v="P013"/>
    <n v="2"/>
    <x v="0"/>
    <x v="0"/>
    <x v="1"/>
    <x v="1"/>
    <n v="9000"/>
    <n v="12000"/>
    <n v="24000"/>
    <n v="18000"/>
    <x v="0"/>
    <n v="0.25"/>
    <s v="High Profit"/>
  </r>
  <r>
    <s v="O00756"/>
    <x v="289"/>
    <x v="10"/>
    <s v="C0145"/>
    <s v="P025"/>
    <n v="3"/>
    <x v="11"/>
    <x v="2"/>
    <x v="1"/>
    <x v="1"/>
    <n v="9000"/>
    <n v="12000"/>
    <n v="36000"/>
    <n v="27000"/>
    <x v="11"/>
    <n v="0.25"/>
    <s v="High Profit"/>
  </r>
  <r>
    <s v="O00757"/>
    <x v="9"/>
    <x v="3"/>
    <s v="C0241"/>
    <s v="P016"/>
    <n v="4"/>
    <x v="0"/>
    <x v="0"/>
    <x v="2"/>
    <x v="0"/>
    <n v="20000"/>
    <n v="25000"/>
    <n v="100000"/>
    <n v="80000"/>
    <x v="9"/>
    <n v="0.2"/>
    <s v="Low Profit"/>
  </r>
  <r>
    <s v="O00758"/>
    <x v="87"/>
    <x v="5"/>
    <s v="C0265"/>
    <s v="P035"/>
    <n v="5"/>
    <x v="12"/>
    <x v="5"/>
    <x v="1"/>
    <x v="1"/>
    <n v="9000"/>
    <n v="12000"/>
    <n v="60000"/>
    <n v="45000"/>
    <x v="6"/>
    <n v="0.25"/>
    <s v="High Profit"/>
  </r>
  <r>
    <s v="O00759"/>
    <x v="117"/>
    <x v="7"/>
    <s v="C0049"/>
    <s v="P041"/>
    <n v="1"/>
    <x v="8"/>
    <x v="2"/>
    <x v="2"/>
    <x v="0"/>
    <n v="20000"/>
    <n v="25000"/>
    <n v="25000"/>
    <n v="20000"/>
    <x v="10"/>
    <n v="0.2"/>
    <s v="Low Profit"/>
  </r>
  <r>
    <s v="O00760"/>
    <x v="16"/>
    <x v="8"/>
    <s v="C0258"/>
    <s v="P007"/>
    <n v="4"/>
    <x v="12"/>
    <x v="6"/>
    <x v="2"/>
    <x v="0"/>
    <n v="20000"/>
    <n v="25000"/>
    <n v="100000"/>
    <n v="80000"/>
    <x v="9"/>
    <n v="0.2"/>
    <s v="Low Profit"/>
  </r>
  <r>
    <s v="O00761"/>
    <x v="190"/>
    <x v="2"/>
    <s v="C0208"/>
    <s v="P007"/>
    <n v="4"/>
    <x v="9"/>
    <x v="2"/>
    <x v="2"/>
    <x v="0"/>
    <n v="20000"/>
    <n v="25000"/>
    <n v="100000"/>
    <n v="80000"/>
    <x v="9"/>
    <n v="0.2"/>
    <s v="Low Profit"/>
  </r>
  <r>
    <s v="O00762"/>
    <x v="122"/>
    <x v="2"/>
    <s v="C8888"/>
    <s v="P051"/>
    <n v="5"/>
    <x v="7"/>
    <x v="8"/>
    <x v="6"/>
    <x v="1"/>
    <n v="2000"/>
    <n v="3000"/>
    <n v="15000"/>
    <n v="10000"/>
    <x v="10"/>
    <n v="0.33333333333333331"/>
    <s v="High Profit"/>
  </r>
  <r>
    <s v="O00763"/>
    <x v="195"/>
    <x v="9"/>
    <s v="C0256"/>
    <s v="P099"/>
    <n v="4"/>
    <x v="11"/>
    <x v="5"/>
    <x v="4"/>
    <x v="1"/>
    <n v="900"/>
    <n v="1500"/>
    <n v="6000"/>
    <n v="3600"/>
    <x v="17"/>
    <n v="0.4"/>
    <s v="High Profit"/>
  </r>
  <r>
    <s v="O00764"/>
    <x v="319"/>
    <x v="8"/>
    <s v="C0002"/>
    <s v="P079"/>
    <n v="2"/>
    <x v="4"/>
    <x v="5"/>
    <x v="5"/>
    <x v="1"/>
    <n v="500"/>
    <n v="800"/>
    <n v="1600"/>
    <n v="1000"/>
    <x v="5"/>
    <n v="0.375"/>
    <s v="High Profit"/>
  </r>
  <r>
    <s v="O00765"/>
    <x v="4"/>
    <x v="4"/>
    <s v="C0291"/>
    <s v="P034"/>
    <n v="5"/>
    <x v="0"/>
    <x v="5"/>
    <x v="4"/>
    <x v="1"/>
    <n v="900"/>
    <n v="1500"/>
    <n v="7500"/>
    <n v="4500"/>
    <x v="12"/>
    <n v="0.4"/>
    <s v="High Profit"/>
  </r>
  <r>
    <s v="O00766"/>
    <x v="148"/>
    <x v="6"/>
    <s v="C0006"/>
    <s v="P020"/>
    <n v="3"/>
    <x v="10"/>
    <x v="2"/>
    <x v="5"/>
    <x v="1"/>
    <n v="500"/>
    <n v="800"/>
    <n v="2400"/>
    <n v="1500"/>
    <x v="19"/>
    <n v="0.375"/>
    <s v="High Profit"/>
  </r>
  <r>
    <s v="O00767"/>
    <x v="241"/>
    <x v="1"/>
    <s v="C0256"/>
    <s v="P001"/>
    <n v="1"/>
    <x v="11"/>
    <x v="5"/>
    <x v="2"/>
    <x v="0"/>
    <n v="20000"/>
    <n v="25000"/>
    <n v="25000"/>
    <n v="20000"/>
    <x v="10"/>
    <n v="0.2"/>
    <s v="Low Profit"/>
  </r>
  <r>
    <s v="O00768"/>
    <x v="320"/>
    <x v="8"/>
    <s v="C0010"/>
    <s v="P063"/>
    <n v="3"/>
    <x v="12"/>
    <x v="5"/>
    <x v="6"/>
    <x v="1"/>
    <n v="2000"/>
    <n v="3000"/>
    <n v="9000"/>
    <n v="6000"/>
    <x v="12"/>
    <n v="0.33333333333333331"/>
    <s v="High Profit"/>
  </r>
  <r>
    <s v="O00769"/>
    <x v="321"/>
    <x v="7"/>
    <s v="C0209"/>
    <s v="P014"/>
    <n v="4"/>
    <x v="10"/>
    <x v="6"/>
    <x v="5"/>
    <x v="1"/>
    <n v="500"/>
    <n v="800"/>
    <n v="3200"/>
    <n v="2000"/>
    <x v="4"/>
    <n v="0.375"/>
    <s v="High Profit"/>
  </r>
  <r>
    <s v="O00770"/>
    <x v="322"/>
    <x v="3"/>
    <s v="C0159"/>
    <s v="P083"/>
    <n v="4"/>
    <x v="12"/>
    <x v="0"/>
    <x v="7"/>
    <x v="0"/>
    <n v="15000"/>
    <n v="18000"/>
    <n v="72000"/>
    <n v="60000"/>
    <x v="1"/>
    <n v="0.16666666666666666"/>
    <s v="Low Profit"/>
  </r>
  <r>
    <s v="O00771"/>
    <x v="323"/>
    <x v="1"/>
    <s v="C0282"/>
    <s v="P031"/>
    <n v="3"/>
    <x v="1"/>
    <x v="5"/>
    <x v="4"/>
    <x v="1"/>
    <n v="900"/>
    <n v="1500"/>
    <n v="4500"/>
    <n v="2700"/>
    <x v="13"/>
    <n v="0.4"/>
    <s v="High Profit"/>
  </r>
  <r>
    <s v="O00772"/>
    <x v="182"/>
    <x v="9"/>
    <s v="C0028"/>
    <s v="P038"/>
    <n v="1"/>
    <x v="10"/>
    <x v="5"/>
    <x v="7"/>
    <x v="0"/>
    <n v="15000"/>
    <n v="18000"/>
    <n v="18000"/>
    <n v="15000"/>
    <x v="12"/>
    <n v="0.16666666666666666"/>
    <s v="Low Profit"/>
  </r>
  <r>
    <s v="O00773"/>
    <x v="5"/>
    <x v="5"/>
    <s v="C0102"/>
    <s v="P034"/>
    <n v="3"/>
    <x v="12"/>
    <x v="1"/>
    <x v="4"/>
    <x v="1"/>
    <n v="900"/>
    <n v="1500"/>
    <n v="4500"/>
    <n v="2700"/>
    <x v="13"/>
    <n v="0.4"/>
    <s v="High Profit"/>
  </r>
  <r>
    <s v="O00774"/>
    <x v="230"/>
    <x v="5"/>
    <s v="C0220"/>
    <s v="P063"/>
    <n v="1"/>
    <x v="12"/>
    <x v="1"/>
    <x v="6"/>
    <x v="1"/>
    <n v="2000"/>
    <n v="3000"/>
    <n v="3000"/>
    <n v="2000"/>
    <x v="21"/>
    <n v="0.33333333333333331"/>
    <s v="High Profit"/>
  </r>
  <r>
    <s v="O00775"/>
    <x v="30"/>
    <x v="11"/>
    <s v="C0096"/>
    <s v="P061"/>
    <n v="5"/>
    <x v="9"/>
    <x v="3"/>
    <x v="0"/>
    <x v="0"/>
    <n v="12000"/>
    <n v="15000"/>
    <n v="75000"/>
    <n v="60000"/>
    <x v="6"/>
    <n v="0.2"/>
    <s v="Low Profit"/>
  </r>
  <r>
    <s v="O00776"/>
    <x v="272"/>
    <x v="4"/>
    <s v="C0064"/>
    <s v="P021"/>
    <n v="1"/>
    <x v="8"/>
    <x v="7"/>
    <x v="2"/>
    <x v="0"/>
    <n v="20000"/>
    <n v="25000"/>
    <n v="25000"/>
    <n v="20000"/>
    <x v="10"/>
    <n v="0.2"/>
    <s v="Low Profit"/>
  </r>
  <r>
    <s v="O00777"/>
    <x v="303"/>
    <x v="10"/>
    <s v="C0021"/>
    <s v="P077"/>
    <n v="3"/>
    <x v="11"/>
    <x v="6"/>
    <x v="2"/>
    <x v="0"/>
    <n v="20000"/>
    <n v="25000"/>
    <n v="75000"/>
    <n v="60000"/>
    <x v="6"/>
    <n v="0.2"/>
    <s v="Low Profit"/>
  </r>
  <r>
    <s v="O00778"/>
    <x v="279"/>
    <x v="9"/>
    <s v="C0100"/>
    <s v="P090"/>
    <n v="5"/>
    <x v="1"/>
    <x v="4"/>
    <x v="0"/>
    <x v="0"/>
    <n v="12000"/>
    <n v="15000"/>
    <n v="75000"/>
    <n v="60000"/>
    <x v="6"/>
    <n v="0.2"/>
    <s v="Low Profit"/>
  </r>
  <r>
    <s v="O00779"/>
    <x v="259"/>
    <x v="9"/>
    <s v="C8888"/>
    <s v="P086"/>
    <n v="3"/>
    <x v="7"/>
    <x v="8"/>
    <x v="3"/>
    <x v="0"/>
    <n v="42000"/>
    <n v="50000"/>
    <n v="150000"/>
    <n v="126000"/>
    <x v="14"/>
    <n v="0.16"/>
    <s v="Low Profit"/>
  </r>
  <r>
    <s v="O00780"/>
    <x v="292"/>
    <x v="9"/>
    <s v="C0232"/>
    <s v="P049"/>
    <n v="3"/>
    <x v="6"/>
    <x v="0"/>
    <x v="6"/>
    <x v="1"/>
    <n v="2000"/>
    <n v="3000"/>
    <n v="9000"/>
    <n v="6000"/>
    <x v="12"/>
    <n v="0.33333333333333331"/>
    <s v="High Profit"/>
  </r>
  <r>
    <s v="O00781"/>
    <x v="293"/>
    <x v="6"/>
    <s v="C0036"/>
    <s v="P067"/>
    <n v="4"/>
    <x v="1"/>
    <x v="1"/>
    <x v="0"/>
    <x v="0"/>
    <n v="12000"/>
    <n v="15000"/>
    <n v="60000"/>
    <n v="48000"/>
    <x v="1"/>
    <n v="0.2"/>
    <s v="Low Profit"/>
  </r>
  <r>
    <s v="O00782"/>
    <x v="321"/>
    <x v="7"/>
    <s v="C0191"/>
    <s v="P059"/>
    <n v="4"/>
    <x v="1"/>
    <x v="4"/>
    <x v="4"/>
    <x v="1"/>
    <n v="900"/>
    <n v="1500"/>
    <n v="6000"/>
    <n v="3600"/>
    <x v="17"/>
    <n v="0.4"/>
    <s v="High Profit"/>
  </r>
  <r>
    <s v="O00783"/>
    <x v="11"/>
    <x v="2"/>
    <s v="C0256"/>
    <s v="P044"/>
    <n v="1"/>
    <x v="11"/>
    <x v="5"/>
    <x v="3"/>
    <x v="0"/>
    <n v="42000"/>
    <n v="50000"/>
    <n v="50000"/>
    <n v="42000"/>
    <x v="18"/>
    <n v="0.16"/>
    <s v="Low Profit"/>
  </r>
  <r>
    <s v="O00784"/>
    <x v="117"/>
    <x v="7"/>
    <s v="C0276"/>
    <s v="P093"/>
    <n v="3"/>
    <x v="9"/>
    <x v="6"/>
    <x v="0"/>
    <x v="0"/>
    <n v="12000"/>
    <n v="15000"/>
    <n v="45000"/>
    <n v="36000"/>
    <x v="11"/>
    <n v="0.2"/>
    <s v="Low Profit"/>
  </r>
  <r>
    <s v="O00785"/>
    <x v="289"/>
    <x v="10"/>
    <s v="C8888"/>
    <s v="P027"/>
    <n v="2"/>
    <x v="7"/>
    <x v="8"/>
    <x v="3"/>
    <x v="0"/>
    <n v="42000"/>
    <n v="50000"/>
    <n v="100000"/>
    <n v="84000"/>
    <x v="23"/>
    <n v="0.16"/>
    <s v="Low Profit"/>
  </r>
  <r>
    <s v="O00786"/>
    <x v="243"/>
    <x v="6"/>
    <s v="C0135"/>
    <s v="P058"/>
    <n v="5"/>
    <x v="8"/>
    <x v="1"/>
    <x v="4"/>
    <x v="1"/>
    <n v="900"/>
    <n v="1500"/>
    <n v="7500"/>
    <n v="4500"/>
    <x v="12"/>
    <n v="0.4"/>
    <s v="High Profit"/>
  </r>
  <r>
    <s v="O00787"/>
    <x v="75"/>
    <x v="1"/>
    <s v="C0296"/>
    <s v="P091"/>
    <n v="5"/>
    <x v="10"/>
    <x v="6"/>
    <x v="1"/>
    <x v="1"/>
    <n v="9000"/>
    <n v="12000"/>
    <n v="60000"/>
    <n v="45000"/>
    <x v="6"/>
    <n v="0.25"/>
    <s v="High Profit"/>
  </r>
  <r>
    <s v="O00788"/>
    <x v="103"/>
    <x v="7"/>
    <s v="C0046"/>
    <s v="P049"/>
    <n v="3"/>
    <x v="2"/>
    <x v="3"/>
    <x v="6"/>
    <x v="1"/>
    <n v="2000"/>
    <n v="3000"/>
    <n v="9000"/>
    <n v="6000"/>
    <x v="12"/>
    <n v="0.33333333333333331"/>
    <s v="High Profit"/>
  </r>
  <r>
    <s v="O00789"/>
    <x v="14"/>
    <x v="8"/>
    <s v="C0219"/>
    <s v="P052"/>
    <n v="1"/>
    <x v="0"/>
    <x v="0"/>
    <x v="5"/>
    <x v="1"/>
    <n v="500"/>
    <n v="800"/>
    <n v="800"/>
    <n v="500"/>
    <x v="7"/>
    <n v="0.375"/>
    <s v="High Profit"/>
  </r>
  <r>
    <s v="O00790"/>
    <x v="28"/>
    <x v="7"/>
    <s v="C0037"/>
    <s v="P018"/>
    <n v="1"/>
    <x v="0"/>
    <x v="7"/>
    <x v="3"/>
    <x v="0"/>
    <n v="42000"/>
    <n v="50000"/>
    <n v="50000"/>
    <n v="42000"/>
    <x v="18"/>
    <n v="0.16"/>
    <s v="Low Profit"/>
  </r>
  <r>
    <s v="O00791"/>
    <x v="180"/>
    <x v="10"/>
    <s v="C0128"/>
    <s v="P007"/>
    <n v="5"/>
    <x v="3"/>
    <x v="2"/>
    <x v="2"/>
    <x v="0"/>
    <n v="20000"/>
    <n v="25000"/>
    <n v="125000"/>
    <n v="100000"/>
    <x v="15"/>
    <n v="0.2"/>
    <s v="Low Profit"/>
  </r>
  <r>
    <s v="O00792"/>
    <x v="111"/>
    <x v="4"/>
    <s v="C0211"/>
    <s v="P071"/>
    <n v="3"/>
    <x v="1"/>
    <x v="3"/>
    <x v="5"/>
    <x v="1"/>
    <n v="500"/>
    <n v="800"/>
    <n v="2400"/>
    <n v="1500"/>
    <x v="19"/>
    <n v="0.375"/>
    <s v="High Profit"/>
  </r>
  <r>
    <s v="O00793"/>
    <x v="142"/>
    <x v="10"/>
    <s v="C0130"/>
    <s v="P022"/>
    <n v="3"/>
    <x v="2"/>
    <x v="4"/>
    <x v="3"/>
    <x v="0"/>
    <n v="42000"/>
    <n v="50000"/>
    <n v="150000"/>
    <n v="126000"/>
    <x v="14"/>
    <n v="0.16"/>
    <s v="Low Profit"/>
  </r>
  <r>
    <s v="O00794"/>
    <x v="228"/>
    <x v="10"/>
    <s v="C0011"/>
    <s v="P048"/>
    <n v="3"/>
    <x v="10"/>
    <x v="3"/>
    <x v="7"/>
    <x v="0"/>
    <n v="15000"/>
    <n v="18000"/>
    <n v="54000"/>
    <n v="45000"/>
    <x v="11"/>
    <n v="0.16666666666666666"/>
    <s v="Low Profit"/>
  </r>
  <r>
    <s v="O00795"/>
    <x v="186"/>
    <x v="10"/>
    <s v="C0218"/>
    <s v="P007"/>
    <n v="4"/>
    <x v="5"/>
    <x v="7"/>
    <x v="2"/>
    <x v="0"/>
    <n v="20000"/>
    <n v="25000"/>
    <n v="100000"/>
    <n v="80000"/>
    <x v="9"/>
    <n v="0.2"/>
    <s v="Low Profit"/>
  </r>
  <r>
    <s v="O00796"/>
    <x v="109"/>
    <x v="5"/>
    <s v="C0258"/>
    <s v="P058"/>
    <n v="3"/>
    <x v="12"/>
    <x v="6"/>
    <x v="4"/>
    <x v="1"/>
    <n v="900"/>
    <n v="1500"/>
    <n v="4500"/>
    <n v="2700"/>
    <x v="13"/>
    <n v="0.4"/>
    <s v="High Profit"/>
  </r>
  <r>
    <s v="O00797"/>
    <x v="87"/>
    <x v="5"/>
    <s v="C0091"/>
    <s v="P064"/>
    <n v="5"/>
    <x v="9"/>
    <x v="0"/>
    <x v="2"/>
    <x v="0"/>
    <n v="20000"/>
    <n v="25000"/>
    <n v="125000"/>
    <n v="100000"/>
    <x v="15"/>
    <n v="0.2"/>
    <s v="Low Profit"/>
  </r>
  <r>
    <s v="O00798"/>
    <x v="324"/>
    <x v="2"/>
    <s v="C0257"/>
    <s v="P029"/>
    <n v="5"/>
    <x v="9"/>
    <x v="6"/>
    <x v="6"/>
    <x v="1"/>
    <n v="2000"/>
    <n v="3000"/>
    <n v="15000"/>
    <n v="10000"/>
    <x v="10"/>
    <n v="0.33333333333333331"/>
    <s v="High Profit"/>
  </r>
  <r>
    <s v="O00799"/>
    <x v="325"/>
    <x v="6"/>
    <s v="C0285"/>
    <s v="P081"/>
    <n v="4"/>
    <x v="9"/>
    <x v="4"/>
    <x v="7"/>
    <x v="0"/>
    <n v="15000"/>
    <n v="18000"/>
    <n v="72000"/>
    <n v="60000"/>
    <x v="1"/>
    <n v="0.16666666666666666"/>
    <s v="Low Profit"/>
  </r>
  <r>
    <s v="O00800"/>
    <x v="217"/>
    <x v="2"/>
    <s v="C9999"/>
    <s v="P099"/>
    <n v="5"/>
    <x v="7"/>
    <x v="8"/>
    <x v="4"/>
    <x v="1"/>
    <n v="900"/>
    <n v="1500"/>
    <n v="7500"/>
    <n v="4500"/>
    <x v="12"/>
    <n v="0.4"/>
    <s v="High Profit"/>
  </r>
  <r>
    <s v="O00801"/>
    <x v="326"/>
    <x v="7"/>
    <s v="C0134"/>
    <s v="P072"/>
    <n v="4"/>
    <x v="0"/>
    <x v="0"/>
    <x v="2"/>
    <x v="0"/>
    <n v="20000"/>
    <n v="25000"/>
    <n v="100000"/>
    <n v="80000"/>
    <x v="9"/>
    <n v="0.2"/>
    <s v="Low Profit"/>
  </r>
  <r>
    <s v="O00802"/>
    <x v="327"/>
    <x v="8"/>
    <s v="C0034"/>
    <s v="P065"/>
    <n v="4"/>
    <x v="2"/>
    <x v="7"/>
    <x v="5"/>
    <x v="1"/>
    <n v="500"/>
    <n v="800"/>
    <n v="3200"/>
    <n v="2000"/>
    <x v="4"/>
    <n v="0.375"/>
    <s v="High Profit"/>
  </r>
  <r>
    <s v="O00803"/>
    <x v="296"/>
    <x v="5"/>
    <s v="C0015"/>
    <s v="P044"/>
    <n v="5"/>
    <x v="0"/>
    <x v="8"/>
    <x v="3"/>
    <x v="0"/>
    <n v="42000"/>
    <n v="50000"/>
    <n v="250000"/>
    <n v="210000"/>
    <x v="3"/>
    <n v="0.16"/>
    <s v="Low Profit"/>
  </r>
  <r>
    <s v="O00804"/>
    <x v="214"/>
    <x v="6"/>
    <s v="C0244"/>
    <s v="P005"/>
    <n v="2"/>
    <x v="10"/>
    <x v="5"/>
    <x v="5"/>
    <x v="1"/>
    <n v="500"/>
    <n v="800"/>
    <n v="1600"/>
    <n v="1000"/>
    <x v="5"/>
    <n v="0.375"/>
    <s v="High Profit"/>
  </r>
  <r>
    <s v="O00805"/>
    <x v="202"/>
    <x v="3"/>
    <s v="C0064"/>
    <s v="P083"/>
    <n v="3"/>
    <x v="8"/>
    <x v="7"/>
    <x v="7"/>
    <x v="0"/>
    <n v="15000"/>
    <n v="18000"/>
    <n v="54000"/>
    <n v="45000"/>
    <x v="11"/>
    <n v="0.16666666666666666"/>
    <s v="Low Profit"/>
  </r>
  <r>
    <s v="O00806"/>
    <x v="52"/>
    <x v="10"/>
    <s v="C0184"/>
    <s v="P031"/>
    <n v="3"/>
    <x v="2"/>
    <x v="6"/>
    <x v="4"/>
    <x v="1"/>
    <n v="900"/>
    <n v="1500"/>
    <n v="4500"/>
    <n v="2700"/>
    <x v="13"/>
    <n v="0.4"/>
    <s v="High Profit"/>
  </r>
  <r>
    <s v="O00807"/>
    <x v="49"/>
    <x v="4"/>
    <s v="C0088"/>
    <s v="P041"/>
    <n v="4"/>
    <x v="12"/>
    <x v="3"/>
    <x v="2"/>
    <x v="0"/>
    <n v="20000"/>
    <n v="25000"/>
    <n v="100000"/>
    <n v="80000"/>
    <x v="9"/>
    <n v="0.2"/>
    <s v="Low Profit"/>
  </r>
  <r>
    <s v="O00808"/>
    <x v="204"/>
    <x v="4"/>
    <s v="C0020"/>
    <s v="P020"/>
    <n v="4"/>
    <x v="0"/>
    <x v="0"/>
    <x v="5"/>
    <x v="1"/>
    <n v="500"/>
    <n v="800"/>
    <n v="3200"/>
    <n v="2000"/>
    <x v="4"/>
    <n v="0.375"/>
    <s v="High Profit"/>
  </r>
  <r>
    <s v="O00809"/>
    <x v="256"/>
    <x v="7"/>
    <s v="C0006"/>
    <s v="P038"/>
    <n v="2"/>
    <x v="10"/>
    <x v="2"/>
    <x v="7"/>
    <x v="0"/>
    <n v="15000"/>
    <n v="18000"/>
    <n v="36000"/>
    <n v="30000"/>
    <x v="0"/>
    <n v="0.16666666666666666"/>
    <s v="Low Profit"/>
  </r>
  <r>
    <s v="O00810"/>
    <x v="141"/>
    <x v="11"/>
    <s v="C0138"/>
    <s v="P007"/>
    <n v="4"/>
    <x v="4"/>
    <x v="6"/>
    <x v="2"/>
    <x v="0"/>
    <n v="20000"/>
    <n v="25000"/>
    <n v="100000"/>
    <n v="80000"/>
    <x v="9"/>
    <n v="0.2"/>
    <s v="Low Profit"/>
  </r>
  <r>
    <s v="O00811"/>
    <x v="173"/>
    <x v="5"/>
    <s v="C0066"/>
    <s v="P089"/>
    <n v="2"/>
    <x v="1"/>
    <x v="1"/>
    <x v="6"/>
    <x v="1"/>
    <n v="2000"/>
    <n v="3000"/>
    <n v="6000"/>
    <n v="4000"/>
    <x v="22"/>
    <n v="0.33333333333333331"/>
    <s v="High Profit"/>
  </r>
  <r>
    <s v="O00812"/>
    <x v="288"/>
    <x v="2"/>
    <s v="C8888"/>
    <s v="P017"/>
    <n v="1"/>
    <x v="7"/>
    <x v="8"/>
    <x v="4"/>
    <x v="1"/>
    <n v="900"/>
    <n v="1500"/>
    <n v="1500"/>
    <n v="900"/>
    <x v="5"/>
    <n v="0.4"/>
    <s v="High Profit"/>
  </r>
  <r>
    <s v="O00813"/>
    <x v="47"/>
    <x v="5"/>
    <s v="C0073"/>
    <s v="P057"/>
    <n v="3"/>
    <x v="6"/>
    <x v="4"/>
    <x v="3"/>
    <x v="0"/>
    <n v="42000"/>
    <n v="50000"/>
    <n v="150000"/>
    <n v="126000"/>
    <x v="14"/>
    <n v="0.16"/>
    <s v="Low Profit"/>
  </r>
  <r>
    <s v="O00814"/>
    <x v="41"/>
    <x v="1"/>
    <s v="C0259"/>
    <s v="P074"/>
    <n v="1"/>
    <x v="5"/>
    <x v="1"/>
    <x v="4"/>
    <x v="1"/>
    <n v="900"/>
    <n v="1500"/>
    <n v="1500"/>
    <n v="900"/>
    <x v="5"/>
    <n v="0.4"/>
    <s v="High Profit"/>
  </r>
  <r>
    <s v="O00815"/>
    <x v="109"/>
    <x v="5"/>
    <s v="C0149"/>
    <s v="P010"/>
    <n v="3"/>
    <x v="8"/>
    <x v="1"/>
    <x v="1"/>
    <x v="1"/>
    <n v="9000"/>
    <n v="12000"/>
    <n v="36000"/>
    <n v="27000"/>
    <x v="11"/>
    <n v="0.25"/>
    <s v="High Profit"/>
  </r>
  <r>
    <s v="O00816"/>
    <x v="8"/>
    <x v="3"/>
    <s v="C0097"/>
    <s v="P028"/>
    <n v="3"/>
    <x v="6"/>
    <x v="1"/>
    <x v="3"/>
    <x v="0"/>
    <n v="42000"/>
    <n v="50000"/>
    <n v="150000"/>
    <n v="126000"/>
    <x v="14"/>
    <n v="0.16"/>
    <s v="Low Profit"/>
  </r>
  <r>
    <s v="O00817"/>
    <x v="25"/>
    <x v="2"/>
    <s v="C0094"/>
    <s v="P093"/>
    <n v="3"/>
    <x v="4"/>
    <x v="1"/>
    <x v="0"/>
    <x v="0"/>
    <n v="12000"/>
    <n v="15000"/>
    <n v="45000"/>
    <n v="36000"/>
    <x v="11"/>
    <n v="0.2"/>
    <s v="Low Profit"/>
  </r>
  <r>
    <s v="O00818"/>
    <x v="268"/>
    <x v="10"/>
    <s v="C0246"/>
    <s v="P073"/>
    <n v="4"/>
    <x v="12"/>
    <x v="2"/>
    <x v="3"/>
    <x v="0"/>
    <n v="42000"/>
    <n v="50000"/>
    <n v="200000"/>
    <n v="168000"/>
    <x v="8"/>
    <n v="0.16"/>
    <s v="Low Profit"/>
  </r>
  <r>
    <s v="O00819"/>
    <x v="194"/>
    <x v="2"/>
    <s v="C0163"/>
    <s v="P028"/>
    <n v="5"/>
    <x v="11"/>
    <x v="0"/>
    <x v="3"/>
    <x v="0"/>
    <n v="42000"/>
    <n v="50000"/>
    <n v="250000"/>
    <n v="210000"/>
    <x v="3"/>
    <n v="0.16"/>
    <s v="Low Profit"/>
  </r>
  <r>
    <s v="O00820"/>
    <x v="165"/>
    <x v="11"/>
    <s v="C0067"/>
    <s v="P052"/>
    <n v="5"/>
    <x v="8"/>
    <x v="8"/>
    <x v="5"/>
    <x v="1"/>
    <n v="500"/>
    <n v="800"/>
    <n v="4000"/>
    <n v="2500"/>
    <x v="16"/>
    <n v="0.375"/>
    <s v="High Profit"/>
  </r>
  <r>
    <s v="O00821"/>
    <x v="182"/>
    <x v="9"/>
    <s v="C0164"/>
    <s v="P022"/>
    <n v="3"/>
    <x v="4"/>
    <x v="2"/>
    <x v="3"/>
    <x v="0"/>
    <n v="42000"/>
    <n v="50000"/>
    <n v="150000"/>
    <n v="126000"/>
    <x v="14"/>
    <n v="0.16"/>
    <s v="Low Profit"/>
  </r>
  <r>
    <s v="O00822"/>
    <x v="237"/>
    <x v="3"/>
    <s v="C0295"/>
    <s v="P056"/>
    <n v="5"/>
    <x v="3"/>
    <x v="1"/>
    <x v="6"/>
    <x v="1"/>
    <n v="2000"/>
    <n v="3000"/>
    <n v="15000"/>
    <n v="10000"/>
    <x v="10"/>
    <n v="0.33333333333333331"/>
    <s v="High Profit"/>
  </r>
  <r>
    <s v="O00823"/>
    <x v="222"/>
    <x v="10"/>
    <s v="C0266"/>
    <s v="P053"/>
    <n v="1"/>
    <x v="2"/>
    <x v="0"/>
    <x v="3"/>
    <x v="0"/>
    <n v="42000"/>
    <n v="50000"/>
    <n v="50000"/>
    <n v="42000"/>
    <x v="18"/>
    <n v="0.16"/>
    <s v="Low Profit"/>
  </r>
  <r>
    <s v="O00824"/>
    <x v="317"/>
    <x v="8"/>
    <s v="C8888"/>
    <s v="P061"/>
    <n v="1"/>
    <x v="7"/>
    <x v="8"/>
    <x v="0"/>
    <x v="0"/>
    <n v="12000"/>
    <n v="15000"/>
    <n v="15000"/>
    <n v="12000"/>
    <x v="12"/>
    <n v="0.2"/>
    <s v="Low Profit"/>
  </r>
  <r>
    <s v="O00825"/>
    <x v="328"/>
    <x v="6"/>
    <s v="C0292"/>
    <s v="P059"/>
    <n v="3"/>
    <x v="9"/>
    <x v="5"/>
    <x v="4"/>
    <x v="1"/>
    <n v="900"/>
    <n v="1500"/>
    <n v="4500"/>
    <n v="2700"/>
    <x v="13"/>
    <n v="0.4"/>
    <s v="High Profit"/>
  </r>
  <r>
    <s v="O00826"/>
    <x v="252"/>
    <x v="8"/>
    <s v="C0016"/>
    <s v="P057"/>
    <n v="5"/>
    <x v="2"/>
    <x v="1"/>
    <x v="3"/>
    <x v="0"/>
    <n v="42000"/>
    <n v="50000"/>
    <n v="250000"/>
    <n v="210000"/>
    <x v="3"/>
    <n v="0.16"/>
    <s v="Low Profit"/>
  </r>
  <r>
    <s v="O00827"/>
    <x v="187"/>
    <x v="11"/>
    <s v="C0139"/>
    <s v="P042"/>
    <n v="4"/>
    <x v="1"/>
    <x v="6"/>
    <x v="4"/>
    <x v="1"/>
    <n v="900"/>
    <n v="1500"/>
    <n v="6000"/>
    <n v="3600"/>
    <x v="17"/>
    <n v="0.4"/>
    <s v="High Profit"/>
  </r>
  <r>
    <s v="O00828"/>
    <x v="5"/>
    <x v="5"/>
    <s v="C0148"/>
    <s v="P060"/>
    <n v="5"/>
    <x v="10"/>
    <x v="1"/>
    <x v="5"/>
    <x v="1"/>
    <n v="500"/>
    <n v="800"/>
    <n v="4000"/>
    <n v="2500"/>
    <x v="16"/>
    <n v="0.375"/>
    <s v="High Profit"/>
  </r>
  <r>
    <s v="O00829"/>
    <x v="329"/>
    <x v="6"/>
    <s v="C0042"/>
    <s v="P048"/>
    <n v="1"/>
    <x v="11"/>
    <x v="1"/>
    <x v="7"/>
    <x v="0"/>
    <n v="15000"/>
    <n v="18000"/>
    <n v="18000"/>
    <n v="15000"/>
    <x v="12"/>
    <n v="0.16666666666666666"/>
    <s v="Low Profit"/>
  </r>
  <r>
    <s v="O00830"/>
    <x v="322"/>
    <x v="3"/>
    <s v="C0218"/>
    <s v="P050"/>
    <n v="1"/>
    <x v="5"/>
    <x v="7"/>
    <x v="5"/>
    <x v="1"/>
    <n v="500"/>
    <n v="800"/>
    <n v="800"/>
    <n v="500"/>
    <x v="7"/>
    <n v="0.375"/>
    <s v="High Profit"/>
  </r>
  <r>
    <s v="O00831"/>
    <x v="330"/>
    <x v="1"/>
    <s v="C0129"/>
    <s v="P009"/>
    <n v="3"/>
    <x v="9"/>
    <x v="7"/>
    <x v="6"/>
    <x v="1"/>
    <n v="2000"/>
    <n v="3000"/>
    <n v="9000"/>
    <n v="6000"/>
    <x v="12"/>
    <n v="0.33333333333333331"/>
    <s v="High Profit"/>
  </r>
  <r>
    <s v="O00832"/>
    <x v="224"/>
    <x v="4"/>
    <s v="C0051"/>
    <s v="P033"/>
    <n v="2"/>
    <x v="4"/>
    <x v="0"/>
    <x v="3"/>
    <x v="0"/>
    <n v="42000"/>
    <n v="50000"/>
    <n v="100000"/>
    <n v="84000"/>
    <x v="23"/>
    <n v="0.16"/>
    <s v="Low Profit"/>
  </r>
  <r>
    <s v="O00833"/>
    <x v="330"/>
    <x v="1"/>
    <s v="C0119"/>
    <s v="P022"/>
    <n v="1"/>
    <x v="9"/>
    <x v="6"/>
    <x v="3"/>
    <x v="0"/>
    <n v="42000"/>
    <n v="50000"/>
    <n v="50000"/>
    <n v="42000"/>
    <x v="18"/>
    <n v="0.16"/>
    <s v="Low Profit"/>
  </r>
  <r>
    <s v="O00834"/>
    <x v="51"/>
    <x v="1"/>
    <s v="C0076"/>
    <s v="P003"/>
    <n v="4"/>
    <x v="2"/>
    <x v="1"/>
    <x v="4"/>
    <x v="1"/>
    <n v="900"/>
    <n v="1500"/>
    <n v="6000"/>
    <n v="3600"/>
    <x v="17"/>
    <n v="0.4"/>
    <s v="High Profit"/>
  </r>
  <r>
    <s v="O00835"/>
    <x v="137"/>
    <x v="9"/>
    <s v="C0254"/>
    <s v="P054"/>
    <n v="3"/>
    <x v="6"/>
    <x v="0"/>
    <x v="4"/>
    <x v="1"/>
    <n v="900"/>
    <n v="1500"/>
    <n v="4500"/>
    <n v="2700"/>
    <x v="13"/>
    <n v="0.4"/>
    <s v="High Profit"/>
  </r>
  <r>
    <s v="O00836"/>
    <x v="67"/>
    <x v="3"/>
    <s v="C0096"/>
    <s v="P024"/>
    <n v="1"/>
    <x v="9"/>
    <x v="3"/>
    <x v="5"/>
    <x v="1"/>
    <n v="500"/>
    <n v="800"/>
    <n v="800"/>
    <n v="500"/>
    <x v="7"/>
    <n v="0.375"/>
    <s v="High Profit"/>
  </r>
  <r>
    <s v="O00837"/>
    <x v="288"/>
    <x v="2"/>
    <s v="C0205"/>
    <s v="P096"/>
    <n v="4"/>
    <x v="6"/>
    <x v="7"/>
    <x v="0"/>
    <x v="0"/>
    <n v="12000"/>
    <n v="15000"/>
    <n v="60000"/>
    <n v="48000"/>
    <x v="1"/>
    <n v="0.2"/>
    <s v="Low Profit"/>
  </r>
  <r>
    <s v="O00838"/>
    <x v="202"/>
    <x v="3"/>
    <s v="C0183"/>
    <s v="P060"/>
    <n v="2"/>
    <x v="10"/>
    <x v="2"/>
    <x v="5"/>
    <x v="1"/>
    <n v="500"/>
    <n v="800"/>
    <n v="1600"/>
    <n v="1000"/>
    <x v="5"/>
    <n v="0.375"/>
    <s v="High Profit"/>
  </r>
  <r>
    <s v="O00839"/>
    <x v="148"/>
    <x v="6"/>
    <s v="C0056"/>
    <s v="P095"/>
    <n v="1"/>
    <x v="4"/>
    <x v="7"/>
    <x v="2"/>
    <x v="0"/>
    <n v="20000"/>
    <n v="25000"/>
    <n v="25000"/>
    <n v="20000"/>
    <x v="10"/>
    <n v="0.2"/>
    <s v="Low Profit"/>
  </r>
  <r>
    <s v="O00840"/>
    <x v="319"/>
    <x v="8"/>
    <s v="C0097"/>
    <s v="P033"/>
    <n v="1"/>
    <x v="6"/>
    <x v="1"/>
    <x v="3"/>
    <x v="0"/>
    <n v="42000"/>
    <n v="50000"/>
    <n v="50000"/>
    <n v="42000"/>
    <x v="18"/>
    <n v="0.16"/>
    <s v="Low Profit"/>
  </r>
  <r>
    <s v="O00841"/>
    <x v="41"/>
    <x v="1"/>
    <s v="C0190"/>
    <s v="P100"/>
    <n v="2"/>
    <x v="0"/>
    <x v="7"/>
    <x v="6"/>
    <x v="1"/>
    <n v="2000"/>
    <n v="3000"/>
    <n v="6000"/>
    <n v="4000"/>
    <x v="22"/>
    <n v="0.33333333333333331"/>
    <s v="High Profit"/>
  </r>
  <r>
    <s v="O00842"/>
    <x v="128"/>
    <x v="4"/>
    <s v="C0297"/>
    <s v="P098"/>
    <n v="5"/>
    <x v="3"/>
    <x v="0"/>
    <x v="1"/>
    <x v="1"/>
    <n v="9000"/>
    <n v="12000"/>
    <n v="60000"/>
    <n v="45000"/>
    <x v="6"/>
    <n v="0.25"/>
    <s v="High Profit"/>
  </r>
  <r>
    <s v="O00843"/>
    <x v="201"/>
    <x v="4"/>
    <s v="C0134"/>
    <s v="P001"/>
    <n v="3"/>
    <x v="0"/>
    <x v="0"/>
    <x v="2"/>
    <x v="0"/>
    <n v="20000"/>
    <n v="25000"/>
    <n v="75000"/>
    <n v="60000"/>
    <x v="6"/>
    <n v="0.2"/>
    <s v="Low Profit"/>
  </r>
  <r>
    <s v="O00844"/>
    <x v="120"/>
    <x v="6"/>
    <s v="C0182"/>
    <s v="P083"/>
    <n v="1"/>
    <x v="10"/>
    <x v="3"/>
    <x v="7"/>
    <x v="0"/>
    <n v="15000"/>
    <n v="18000"/>
    <n v="18000"/>
    <n v="15000"/>
    <x v="12"/>
    <n v="0.16666666666666666"/>
    <s v="Low Profit"/>
  </r>
  <r>
    <s v="O00845"/>
    <x v="183"/>
    <x v="1"/>
    <s v="C0276"/>
    <s v="P028"/>
    <n v="5"/>
    <x v="9"/>
    <x v="6"/>
    <x v="3"/>
    <x v="0"/>
    <n v="42000"/>
    <n v="50000"/>
    <n v="250000"/>
    <n v="210000"/>
    <x v="3"/>
    <n v="0.16"/>
    <s v="Low Profit"/>
  </r>
  <r>
    <s v="O00846"/>
    <x v="103"/>
    <x v="7"/>
    <s v="C0273"/>
    <s v="P061"/>
    <n v="1"/>
    <x v="12"/>
    <x v="5"/>
    <x v="0"/>
    <x v="0"/>
    <n v="12000"/>
    <n v="15000"/>
    <n v="15000"/>
    <n v="12000"/>
    <x v="12"/>
    <n v="0.2"/>
    <s v="Low Profit"/>
  </r>
  <r>
    <s v="O00847"/>
    <x v="173"/>
    <x v="5"/>
    <s v="C0244"/>
    <s v="P020"/>
    <n v="3"/>
    <x v="10"/>
    <x v="5"/>
    <x v="5"/>
    <x v="1"/>
    <n v="500"/>
    <n v="800"/>
    <n v="2400"/>
    <n v="1500"/>
    <x v="19"/>
    <n v="0.375"/>
    <s v="High Profit"/>
  </r>
  <r>
    <s v="O00848"/>
    <x v="160"/>
    <x v="2"/>
    <s v="C0143"/>
    <s v="P078"/>
    <n v="1"/>
    <x v="9"/>
    <x v="2"/>
    <x v="7"/>
    <x v="0"/>
    <n v="15000"/>
    <n v="18000"/>
    <n v="18000"/>
    <n v="15000"/>
    <x v="12"/>
    <n v="0.16666666666666666"/>
    <s v="Low Profit"/>
  </r>
  <r>
    <s v="O00849"/>
    <x v="192"/>
    <x v="10"/>
    <s v="C0038"/>
    <s v="P037"/>
    <n v="5"/>
    <x v="2"/>
    <x v="0"/>
    <x v="0"/>
    <x v="0"/>
    <n v="12000"/>
    <n v="15000"/>
    <n v="75000"/>
    <n v="60000"/>
    <x v="6"/>
    <n v="0.2"/>
    <s v="Low Profit"/>
  </r>
  <r>
    <s v="O00850"/>
    <x v="135"/>
    <x v="4"/>
    <s v="C0175"/>
    <s v="P012"/>
    <n v="4"/>
    <x v="2"/>
    <x v="3"/>
    <x v="4"/>
    <x v="1"/>
    <n v="900"/>
    <n v="1500"/>
    <n v="6000"/>
    <n v="3600"/>
    <x v="17"/>
    <n v="0.4"/>
    <s v="High Profit"/>
  </r>
  <r>
    <s v="O00851"/>
    <x v="213"/>
    <x v="1"/>
    <s v="C0007"/>
    <s v="P036"/>
    <n v="4"/>
    <x v="8"/>
    <x v="0"/>
    <x v="2"/>
    <x v="0"/>
    <n v="20000"/>
    <n v="25000"/>
    <n v="100000"/>
    <n v="80000"/>
    <x v="9"/>
    <n v="0.2"/>
    <s v="Low Profit"/>
  </r>
  <r>
    <s v="O00852"/>
    <x v="189"/>
    <x v="5"/>
    <s v="C0021"/>
    <s v="P021"/>
    <n v="1"/>
    <x v="11"/>
    <x v="6"/>
    <x v="2"/>
    <x v="0"/>
    <n v="20000"/>
    <n v="25000"/>
    <n v="25000"/>
    <n v="20000"/>
    <x v="10"/>
    <n v="0.2"/>
    <s v="Low Profit"/>
  </r>
  <r>
    <s v="O00853"/>
    <x v="40"/>
    <x v="4"/>
    <s v="C0194"/>
    <s v="P043"/>
    <n v="1"/>
    <x v="3"/>
    <x v="8"/>
    <x v="0"/>
    <x v="0"/>
    <n v="12000"/>
    <n v="15000"/>
    <n v="15000"/>
    <n v="12000"/>
    <x v="12"/>
    <n v="0.2"/>
    <s v="Low Profit"/>
  </r>
  <r>
    <s v="O00854"/>
    <x v="331"/>
    <x v="9"/>
    <s v="C0193"/>
    <s v="P082"/>
    <n v="4"/>
    <x v="1"/>
    <x v="5"/>
    <x v="7"/>
    <x v="0"/>
    <n v="15000"/>
    <n v="18000"/>
    <n v="72000"/>
    <n v="60000"/>
    <x v="1"/>
    <n v="0.16666666666666666"/>
    <s v="Low Profit"/>
  </r>
  <r>
    <s v="O00855"/>
    <x v="106"/>
    <x v="6"/>
    <s v="C0279"/>
    <s v="P051"/>
    <n v="4"/>
    <x v="9"/>
    <x v="4"/>
    <x v="6"/>
    <x v="1"/>
    <n v="2000"/>
    <n v="3000"/>
    <n v="12000"/>
    <n v="8000"/>
    <x v="20"/>
    <n v="0.33333333333333331"/>
    <s v="High Profit"/>
  </r>
  <r>
    <s v="O00856"/>
    <x v="235"/>
    <x v="3"/>
    <s v="C0232"/>
    <s v="P009"/>
    <n v="4"/>
    <x v="6"/>
    <x v="0"/>
    <x v="6"/>
    <x v="1"/>
    <n v="2000"/>
    <n v="3000"/>
    <n v="12000"/>
    <n v="8000"/>
    <x v="20"/>
    <n v="0.33333333333333331"/>
    <s v="High Profit"/>
  </r>
  <r>
    <s v="O00857"/>
    <x v="206"/>
    <x v="6"/>
    <s v="C0001"/>
    <s v="P070"/>
    <n v="1"/>
    <x v="0"/>
    <x v="4"/>
    <x v="3"/>
    <x v="0"/>
    <n v="42000"/>
    <n v="50000"/>
    <n v="50000"/>
    <n v="42000"/>
    <x v="18"/>
    <n v="0.16"/>
    <s v="Low Profit"/>
  </r>
  <r>
    <s v="O00858"/>
    <x v="90"/>
    <x v="10"/>
    <s v="C0262"/>
    <s v="P066"/>
    <n v="5"/>
    <x v="4"/>
    <x v="4"/>
    <x v="3"/>
    <x v="0"/>
    <n v="42000"/>
    <n v="50000"/>
    <n v="250000"/>
    <n v="210000"/>
    <x v="3"/>
    <n v="0.16"/>
    <s v="Low Profit"/>
  </r>
  <r>
    <s v="O00859"/>
    <x v="275"/>
    <x v="8"/>
    <s v="C0277"/>
    <s v="P002"/>
    <n v="2"/>
    <x v="4"/>
    <x v="7"/>
    <x v="5"/>
    <x v="1"/>
    <n v="500"/>
    <n v="800"/>
    <n v="1600"/>
    <n v="1000"/>
    <x v="5"/>
    <n v="0.375"/>
    <s v="High Profit"/>
  </r>
  <r>
    <s v="O00860"/>
    <x v="115"/>
    <x v="7"/>
    <s v="C9999"/>
    <s v="P089"/>
    <n v="1"/>
    <x v="7"/>
    <x v="8"/>
    <x v="6"/>
    <x v="1"/>
    <n v="2000"/>
    <n v="3000"/>
    <n v="3000"/>
    <n v="2000"/>
    <x v="21"/>
    <n v="0.33333333333333331"/>
    <s v="High Profit"/>
  </r>
  <r>
    <s v="O00861"/>
    <x v="252"/>
    <x v="8"/>
    <s v="C0098"/>
    <s v="P029"/>
    <n v="5"/>
    <x v="8"/>
    <x v="8"/>
    <x v="6"/>
    <x v="1"/>
    <n v="2000"/>
    <n v="3000"/>
    <n v="15000"/>
    <n v="10000"/>
    <x v="10"/>
    <n v="0.33333333333333331"/>
    <s v="High Profit"/>
  </r>
  <r>
    <s v="O00862"/>
    <x v="314"/>
    <x v="4"/>
    <s v="C0040"/>
    <s v="P061"/>
    <n v="2"/>
    <x v="11"/>
    <x v="5"/>
    <x v="0"/>
    <x v="0"/>
    <n v="12000"/>
    <n v="15000"/>
    <n v="30000"/>
    <n v="24000"/>
    <x v="0"/>
    <n v="0.2"/>
    <s v="Low Profit"/>
  </r>
  <r>
    <s v="O00863"/>
    <x v="275"/>
    <x v="8"/>
    <s v="C0155"/>
    <s v="P079"/>
    <n v="4"/>
    <x v="9"/>
    <x v="3"/>
    <x v="5"/>
    <x v="1"/>
    <n v="500"/>
    <n v="800"/>
    <n v="3200"/>
    <n v="2000"/>
    <x v="4"/>
    <n v="0.375"/>
    <s v="High Profit"/>
  </r>
  <r>
    <s v="O00864"/>
    <x v="272"/>
    <x v="4"/>
    <s v="C0129"/>
    <s v="P054"/>
    <n v="2"/>
    <x v="9"/>
    <x v="7"/>
    <x v="4"/>
    <x v="1"/>
    <n v="900"/>
    <n v="1500"/>
    <n v="3000"/>
    <n v="1800"/>
    <x v="4"/>
    <n v="0.4"/>
    <s v="High Profit"/>
  </r>
  <r>
    <s v="O00865"/>
    <x v="87"/>
    <x v="5"/>
    <s v="C0174"/>
    <s v="P037"/>
    <n v="5"/>
    <x v="11"/>
    <x v="4"/>
    <x v="0"/>
    <x v="0"/>
    <n v="12000"/>
    <n v="15000"/>
    <n v="75000"/>
    <n v="60000"/>
    <x v="6"/>
    <n v="0.2"/>
    <s v="Low Profit"/>
  </r>
  <r>
    <s v="O00866"/>
    <x v="262"/>
    <x v="0"/>
    <s v="C9999"/>
    <s v="P042"/>
    <n v="5"/>
    <x v="7"/>
    <x v="8"/>
    <x v="4"/>
    <x v="1"/>
    <n v="900"/>
    <n v="1500"/>
    <n v="7500"/>
    <n v="4500"/>
    <x v="12"/>
    <n v="0.4"/>
    <s v="High Profit"/>
  </r>
  <r>
    <s v="O00867"/>
    <x v="23"/>
    <x v="2"/>
    <s v="C0105"/>
    <s v="P028"/>
    <n v="5"/>
    <x v="11"/>
    <x v="2"/>
    <x v="3"/>
    <x v="0"/>
    <n v="42000"/>
    <n v="50000"/>
    <n v="250000"/>
    <n v="210000"/>
    <x v="3"/>
    <n v="0.16"/>
    <s v="Low Profit"/>
  </r>
  <r>
    <s v="O00868"/>
    <x v="210"/>
    <x v="5"/>
    <s v="C0291"/>
    <s v="P084"/>
    <n v="2"/>
    <x v="0"/>
    <x v="5"/>
    <x v="2"/>
    <x v="0"/>
    <n v="20000"/>
    <n v="25000"/>
    <n v="50000"/>
    <n v="40000"/>
    <x v="2"/>
    <n v="0.2"/>
    <s v="Low Profit"/>
  </r>
  <r>
    <s v="O00869"/>
    <x v="275"/>
    <x v="8"/>
    <s v="C0177"/>
    <s v="P085"/>
    <n v="3"/>
    <x v="4"/>
    <x v="1"/>
    <x v="4"/>
    <x v="1"/>
    <n v="900"/>
    <n v="1500"/>
    <n v="4500"/>
    <n v="2700"/>
    <x v="13"/>
    <n v="0.4"/>
    <s v="High Profit"/>
  </r>
  <r>
    <s v="O00870"/>
    <x v="224"/>
    <x v="4"/>
    <s v="C0157"/>
    <s v="P072"/>
    <n v="5"/>
    <x v="0"/>
    <x v="3"/>
    <x v="2"/>
    <x v="0"/>
    <n v="20000"/>
    <n v="25000"/>
    <n v="125000"/>
    <n v="100000"/>
    <x v="15"/>
    <n v="0.2"/>
    <s v="Low Profit"/>
  </r>
  <r>
    <s v="O00871"/>
    <x v="87"/>
    <x v="5"/>
    <s v="C0028"/>
    <s v="P014"/>
    <n v="2"/>
    <x v="10"/>
    <x v="5"/>
    <x v="5"/>
    <x v="1"/>
    <n v="500"/>
    <n v="800"/>
    <n v="1600"/>
    <n v="1000"/>
    <x v="5"/>
    <n v="0.375"/>
    <s v="High Profit"/>
  </r>
  <r>
    <s v="O00872"/>
    <x v="332"/>
    <x v="7"/>
    <s v="C0214"/>
    <s v="P040"/>
    <n v="1"/>
    <x v="5"/>
    <x v="8"/>
    <x v="3"/>
    <x v="0"/>
    <n v="42000"/>
    <n v="50000"/>
    <n v="50000"/>
    <n v="42000"/>
    <x v="18"/>
    <n v="0.16"/>
    <s v="Low Profit"/>
  </r>
  <r>
    <s v="O00873"/>
    <x v="280"/>
    <x v="3"/>
    <s v="C0209"/>
    <s v="P024"/>
    <n v="3"/>
    <x v="10"/>
    <x v="6"/>
    <x v="5"/>
    <x v="1"/>
    <n v="500"/>
    <n v="800"/>
    <n v="2400"/>
    <n v="1500"/>
    <x v="19"/>
    <n v="0.375"/>
    <s v="High Profit"/>
  </r>
  <r>
    <s v="O00874"/>
    <x v="161"/>
    <x v="4"/>
    <s v="C0221"/>
    <s v="P083"/>
    <n v="1"/>
    <x v="8"/>
    <x v="7"/>
    <x v="7"/>
    <x v="0"/>
    <n v="15000"/>
    <n v="18000"/>
    <n v="18000"/>
    <n v="15000"/>
    <x v="12"/>
    <n v="0.16666666666666666"/>
    <s v="Low Profit"/>
  </r>
  <r>
    <s v="O00875"/>
    <x v="3"/>
    <x v="3"/>
    <s v="C0161"/>
    <s v="P063"/>
    <n v="4"/>
    <x v="11"/>
    <x v="1"/>
    <x v="6"/>
    <x v="1"/>
    <n v="2000"/>
    <n v="3000"/>
    <n v="12000"/>
    <n v="8000"/>
    <x v="20"/>
    <n v="0.33333333333333331"/>
    <s v="High Profit"/>
  </r>
  <r>
    <s v="O00876"/>
    <x v="126"/>
    <x v="11"/>
    <s v="C0041"/>
    <s v="P020"/>
    <n v="1"/>
    <x v="3"/>
    <x v="0"/>
    <x v="5"/>
    <x v="1"/>
    <n v="500"/>
    <n v="800"/>
    <n v="800"/>
    <n v="500"/>
    <x v="7"/>
    <n v="0.375"/>
    <s v="High Profit"/>
  </r>
  <r>
    <s v="O00877"/>
    <x v="62"/>
    <x v="9"/>
    <s v="C0221"/>
    <s v="P098"/>
    <n v="3"/>
    <x v="8"/>
    <x v="7"/>
    <x v="1"/>
    <x v="1"/>
    <n v="9000"/>
    <n v="12000"/>
    <n v="36000"/>
    <n v="27000"/>
    <x v="11"/>
    <n v="0.25"/>
    <s v="High Profit"/>
  </r>
  <r>
    <s v="O00878"/>
    <x v="188"/>
    <x v="1"/>
    <s v="C0209"/>
    <s v="P043"/>
    <n v="3"/>
    <x v="10"/>
    <x v="6"/>
    <x v="0"/>
    <x v="0"/>
    <n v="12000"/>
    <n v="15000"/>
    <n v="45000"/>
    <n v="36000"/>
    <x v="11"/>
    <n v="0.2"/>
    <s v="Low Profit"/>
  </r>
  <r>
    <s v="O00879"/>
    <x v="294"/>
    <x v="7"/>
    <s v="C0011"/>
    <s v="P075"/>
    <n v="4"/>
    <x v="10"/>
    <x v="3"/>
    <x v="2"/>
    <x v="0"/>
    <n v="20000"/>
    <n v="25000"/>
    <n v="100000"/>
    <n v="80000"/>
    <x v="9"/>
    <n v="0.2"/>
    <s v="Low Profit"/>
  </r>
  <r>
    <s v="O00880"/>
    <x v="123"/>
    <x v="10"/>
    <s v="C0272"/>
    <s v="P051"/>
    <n v="5"/>
    <x v="0"/>
    <x v="3"/>
    <x v="6"/>
    <x v="1"/>
    <n v="2000"/>
    <n v="3000"/>
    <n v="15000"/>
    <n v="10000"/>
    <x v="10"/>
    <n v="0.33333333333333331"/>
    <s v="High Profit"/>
  </r>
  <r>
    <s v="O00881"/>
    <x v="43"/>
    <x v="8"/>
    <s v="C0253"/>
    <s v="P007"/>
    <n v="2"/>
    <x v="9"/>
    <x v="3"/>
    <x v="2"/>
    <x v="0"/>
    <n v="20000"/>
    <n v="25000"/>
    <n v="50000"/>
    <n v="40000"/>
    <x v="2"/>
    <n v="0.2"/>
    <s v="Low Profit"/>
  </r>
  <r>
    <s v="O00882"/>
    <x v="52"/>
    <x v="10"/>
    <s v="C0066"/>
    <s v="P095"/>
    <n v="4"/>
    <x v="1"/>
    <x v="1"/>
    <x v="2"/>
    <x v="0"/>
    <n v="20000"/>
    <n v="25000"/>
    <n v="100000"/>
    <n v="80000"/>
    <x v="9"/>
    <n v="0.2"/>
    <s v="Low Profit"/>
  </r>
  <r>
    <s v="O00883"/>
    <x v="333"/>
    <x v="8"/>
    <s v="C0151"/>
    <s v="P100"/>
    <n v="4"/>
    <x v="6"/>
    <x v="6"/>
    <x v="6"/>
    <x v="1"/>
    <n v="2000"/>
    <n v="3000"/>
    <n v="12000"/>
    <n v="8000"/>
    <x v="20"/>
    <n v="0.33333333333333331"/>
    <s v="High Profit"/>
  </r>
  <r>
    <s v="O00884"/>
    <x v="12"/>
    <x v="4"/>
    <s v="C0072"/>
    <s v="P045"/>
    <n v="2"/>
    <x v="4"/>
    <x v="2"/>
    <x v="4"/>
    <x v="1"/>
    <n v="900"/>
    <n v="1500"/>
    <n v="3000"/>
    <n v="1800"/>
    <x v="4"/>
    <n v="0.4"/>
    <s v="High Profit"/>
  </r>
  <r>
    <s v="O00885"/>
    <x v="174"/>
    <x v="7"/>
    <s v="C0177"/>
    <s v="P040"/>
    <n v="2"/>
    <x v="4"/>
    <x v="1"/>
    <x v="3"/>
    <x v="0"/>
    <n v="42000"/>
    <n v="50000"/>
    <n v="100000"/>
    <n v="84000"/>
    <x v="23"/>
    <n v="0.16"/>
    <s v="Low Profit"/>
  </r>
  <r>
    <s v="O00886"/>
    <x v="334"/>
    <x v="1"/>
    <s v="C8888"/>
    <s v="P055"/>
    <n v="3"/>
    <x v="7"/>
    <x v="8"/>
    <x v="6"/>
    <x v="1"/>
    <n v="2000"/>
    <n v="3000"/>
    <n v="9000"/>
    <n v="6000"/>
    <x v="12"/>
    <n v="0.33333333333333331"/>
    <s v="High Profit"/>
  </r>
  <r>
    <s v="O00887"/>
    <x v="97"/>
    <x v="6"/>
    <s v="C0059"/>
    <s v="P047"/>
    <n v="4"/>
    <x v="0"/>
    <x v="3"/>
    <x v="6"/>
    <x v="1"/>
    <n v="2000"/>
    <n v="3000"/>
    <n v="12000"/>
    <n v="8000"/>
    <x v="20"/>
    <n v="0.33333333333333331"/>
    <s v="High Profit"/>
  </r>
  <r>
    <s v="O00888"/>
    <x v="89"/>
    <x v="10"/>
    <s v="C0232"/>
    <s v="P064"/>
    <n v="1"/>
    <x v="6"/>
    <x v="0"/>
    <x v="2"/>
    <x v="0"/>
    <n v="20000"/>
    <n v="25000"/>
    <n v="25000"/>
    <n v="20000"/>
    <x v="10"/>
    <n v="0.2"/>
    <s v="Low Profit"/>
  </r>
  <r>
    <s v="O00889"/>
    <x v="69"/>
    <x v="7"/>
    <s v="C0174"/>
    <s v="P095"/>
    <n v="4"/>
    <x v="11"/>
    <x v="4"/>
    <x v="2"/>
    <x v="0"/>
    <n v="20000"/>
    <n v="25000"/>
    <n v="100000"/>
    <n v="80000"/>
    <x v="9"/>
    <n v="0.2"/>
    <s v="Low Profit"/>
  </r>
  <r>
    <s v="O00890"/>
    <x v="76"/>
    <x v="11"/>
    <s v="C0129"/>
    <s v="P088"/>
    <n v="3"/>
    <x v="9"/>
    <x v="7"/>
    <x v="5"/>
    <x v="1"/>
    <n v="500"/>
    <n v="800"/>
    <n v="2400"/>
    <n v="1500"/>
    <x v="19"/>
    <n v="0.375"/>
    <s v="High Profit"/>
  </r>
  <r>
    <s v="O00891"/>
    <x v="194"/>
    <x v="2"/>
    <s v="C0005"/>
    <s v="P077"/>
    <n v="1"/>
    <x v="0"/>
    <x v="1"/>
    <x v="2"/>
    <x v="0"/>
    <n v="20000"/>
    <n v="25000"/>
    <n v="25000"/>
    <n v="20000"/>
    <x v="10"/>
    <n v="0.2"/>
    <s v="Low Profit"/>
  </r>
  <r>
    <s v="O00892"/>
    <x v="150"/>
    <x v="7"/>
    <s v="C0184"/>
    <s v="P040"/>
    <n v="1"/>
    <x v="2"/>
    <x v="6"/>
    <x v="3"/>
    <x v="0"/>
    <n v="42000"/>
    <n v="50000"/>
    <n v="50000"/>
    <n v="42000"/>
    <x v="18"/>
    <n v="0.16"/>
    <s v="Low Profit"/>
  </r>
  <r>
    <s v="O00893"/>
    <x v="325"/>
    <x v="6"/>
    <s v="C0254"/>
    <s v="P046"/>
    <n v="4"/>
    <x v="6"/>
    <x v="0"/>
    <x v="5"/>
    <x v="1"/>
    <n v="500"/>
    <n v="800"/>
    <n v="3200"/>
    <n v="2000"/>
    <x v="4"/>
    <n v="0.375"/>
    <s v="High Profit"/>
  </r>
  <r>
    <s v="O00894"/>
    <x v="168"/>
    <x v="0"/>
    <s v="C0040"/>
    <s v="P085"/>
    <n v="1"/>
    <x v="11"/>
    <x v="5"/>
    <x v="4"/>
    <x v="1"/>
    <n v="900"/>
    <n v="1500"/>
    <n v="1500"/>
    <n v="900"/>
    <x v="5"/>
    <n v="0.4"/>
    <s v="High Profit"/>
  </r>
  <r>
    <s v="O00895"/>
    <x v="3"/>
    <x v="3"/>
    <s v="C0211"/>
    <s v="P016"/>
    <n v="5"/>
    <x v="1"/>
    <x v="3"/>
    <x v="2"/>
    <x v="0"/>
    <n v="20000"/>
    <n v="25000"/>
    <n v="125000"/>
    <n v="100000"/>
    <x v="15"/>
    <n v="0.2"/>
    <s v="Low Profit"/>
  </r>
  <r>
    <s v="O00896"/>
    <x v="276"/>
    <x v="3"/>
    <s v="C0006"/>
    <s v="P090"/>
    <n v="1"/>
    <x v="10"/>
    <x v="2"/>
    <x v="0"/>
    <x v="0"/>
    <n v="12000"/>
    <n v="15000"/>
    <n v="15000"/>
    <n v="12000"/>
    <x v="12"/>
    <n v="0.2"/>
    <s v="Low Profit"/>
  </r>
  <r>
    <s v="O00897"/>
    <x v="95"/>
    <x v="9"/>
    <s v="C0240"/>
    <s v="P015"/>
    <n v="4"/>
    <x v="3"/>
    <x v="0"/>
    <x v="0"/>
    <x v="0"/>
    <n v="12000"/>
    <n v="15000"/>
    <n v="60000"/>
    <n v="48000"/>
    <x v="1"/>
    <n v="0.2"/>
    <s v="Low Profit"/>
  </r>
  <r>
    <s v="O00898"/>
    <x v="44"/>
    <x v="9"/>
    <s v="C0001"/>
    <s v="P042"/>
    <n v="2"/>
    <x v="0"/>
    <x v="4"/>
    <x v="4"/>
    <x v="1"/>
    <n v="900"/>
    <n v="1500"/>
    <n v="3000"/>
    <n v="1800"/>
    <x v="4"/>
    <n v="0.4"/>
    <s v="High Profit"/>
  </r>
  <r>
    <s v="O00899"/>
    <x v="213"/>
    <x v="1"/>
    <s v="C0086"/>
    <s v="P032"/>
    <n v="4"/>
    <x v="9"/>
    <x v="3"/>
    <x v="2"/>
    <x v="0"/>
    <n v="20000"/>
    <n v="25000"/>
    <n v="100000"/>
    <n v="80000"/>
    <x v="9"/>
    <n v="0.2"/>
    <s v="Low Profit"/>
  </r>
  <r>
    <s v="O00900"/>
    <x v="48"/>
    <x v="1"/>
    <s v="C0246"/>
    <s v="P076"/>
    <n v="2"/>
    <x v="12"/>
    <x v="2"/>
    <x v="6"/>
    <x v="1"/>
    <n v="2000"/>
    <n v="3000"/>
    <n v="6000"/>
    <n v="4000"/>
    <x v="22"/>
    <n v="0.33333333333333331"/>
    <s v="High Profit"/>
  </r>
  <r>
    <s v="O00901"/>
    <x v="33"/>
    <x v="6"/>
    <s v="C0296"/>
    <s v="P095"/>
    <n v="4"/>
    <x v="10"/>
    <x v="6"/>
    <x v="2"/>
    <x v="0"/>
    <n v="20000"/>
    <n v="25000"/>
    <n v="100000"/>
    <n v="80000"/>
    <x v="9"/>
    <n v="0.2"/>
    <s v="Low Profit"/>
  </r>
  <r>
    <s v="O00902"/>
    <x v="208"/>
    <x v="0"/>
    <s v="C0129"/>
    <s v="P075"/>
    <n v="4"/>
    <x v="9"/>
    <x v="7"/>
    <x v="2"/>
    <x v="0"/>
    <n v="20000"/>
    <n v="25000"/>
    <n v="100000"/>
    <n v="80000"/>
    <x v="9"/>
    <n v="0.2"/>
    <s v="Low Profit"/>
  </r>
  <r>
    <s v="O00903"/>
    <x v="335"/>
    <x v="11"/>
    <s v="C8888"/>
    <s v="P024"/>
    <n v="5"/>
    <x v="7"/>
    <x v="8"/>
    <x v="5"/>
    <x v="1"/>
    <n v="500"/>
    <n v="800"/>
    <n v="4000"/>
    <n v="2500"/>
    <x v="16"/>
    <n v="0.375"/>
    <s v="High Profit"/>
  </r>
  <r>
    <s v="O00904"/>
    <x v="283"/>
    <x v="3"/>
    <s v="C0279"/>
    <s v="P068"/>
    <n v="5"/>
    <x v="9"/>
    <x v="4"/>
    <x v="1"/>
    <x v="1"/>
    <n v="9000"/>
    <n v="12000"/>
    <n v="60000"/>
    <n v="45000"/>
    <x v="6"/>
    <n v="0.25"/>
    <s v="High Profit"/>
  </r>
  <r>
    <s v="O00905"/>
    <x v="168"/>
    <x v="0"/>
    <s v="C0065"/>
    <s v="P013"/>
    <n v="5"/>
    <x v="5"/>
    <x v="0"/>
    <x v="1"/>
    <x v="1"/>
    <n v="9000"/>
    <n v="12000"/>
    <n v="60000"/>
    <n v="45000"/>
    <x v="6"/>
    <n v="0.25"/>
    <s v="High Profit"/>
  </r>
  <r>
    <s v="O00906"/>
    <x v="78"/>
    <x v="7"/>
    <s v="C0180"/>
    <s v="P033"/>
    <n v="5"/>
    <x v="0"/>
    <x v="0"/>
    <x v="3"/>
    <x v="0"/>
    <n v="42000"/>
    <n v="50000"/>
    <n v="250000"/>
    <n v="210000"/>
    <x v="3"/>
    <n v="0.16"/>
    <s v="Low Profit"/>
  </r>
  <r>
    <s v="O00907"/>
    <x v="218"/>
    <x v="0"/>
    <s v="C0134"/>
    <s v="P012"/>
    <n v="4"/>
    <x v="0"/>
    <x v="0"/>
    <x v="4"/>
    <x v="1"/>
    <n v="900"/>
    <n v="1500"/>
    <n v="6000"/>
    <n v="3600"/>
    <x v="17"/>
    <n v="0.4"/>
    <s v="High Profit"/>
  </r>
  <r>
    <s v="O00908"/>
    <x v="27"/>
    <x v="10"/>
    <s v="C0278"/>
    <s v="P067"/>
    <n v="1"/>
    <x v="10"/>
    <x v="0"/>
    <x v="0"/>
    <x v="0"/>
    <n v="12000"/>
    <n v="15000"/>
    <n v="15000"/>
    <n v="12000"/>
    <x v="12"/>
    <n v="0.2"/>
    <s v="Low Profit"/>
  </r>
  <r>
    <s v="O00909"/>
    <x v="292"/>
    <x v="9"/>
    <s v="C0133"/>
    <s v="P045"/>
    <n v="2"/>
    <x v="0"/>
    <x v="0"/>
    <x v="4"/>
    <x v="1"/>
    <n v="900"/>
    <n v="1500"/>
    <n v="3000"/>
    <n v="1800"/>
    <x v="4"/>
    <n v="0.4"/>
    <s v="High Profit"/>
  </r>
  <r>
    <s v="O00910"/>
    <x v="266"/>
    <x v="0"/>
    <s v="C0234"/>
    <s v="P028"/>
    <n v="4"/>
    <x v="11"/>
    <x v="0"/>
    <x v="3"/>
    <x v="0"/>
    <n v="42000"/>
    <n v="50000"/>
    <n v="200000"/>
    <n v="168000"/>
    <x v="8"/>
    <n v="0.16"/>
    <s v="Low Profit"/>
  </r>
  <r>
    <s v="O00911"/>
    <x v="13"/>
    <x v="1"/>
    <s v="C8888"/>
    <s v="P061"/>
    <n v="1"/>
    <x v="7"/>
    <x v="8"/>
    <x v="0"/>
    <x v="0"/>
    <n v="12000"/>
    <n v="15000"/>
    <n v="15000"/>
    <n v="12000"/>
    <x v="12"/>
    <n v="0.2"/>
    <s v="Low Profit"/>
  </r>
  <r>
    <s v="O00912"/>
    <x v="226"/>
    <x v="8"/>
    <s v="C0185"/>
    <s v="P034"/>
    <n v="4"/>
    <x v="11"/>
    <x v="3"/>
    <x v="4"/>
    <x v="1"/>
    <n v="900"/>
    <n v="1500"/>
    <n v="6000"/>
    <n v="3600"/>
    <x v="17"/>
    <n v="0.4"/>
    <s v="High Profit"/>
  </r>
  <r>
    <s v="O00913"/>
    <x v="139"/>
    <x v="8"/>
    <s v="C0268"/>
    <s v="P053"/>
    <n v="3"/>
    <x v="10"/>
    <x v="3"/>
    <x v="3"/>
    <x v="0"/>
    <n v="42000"/>
    <n v="50000"/>
    <n v="150000"/>
    <n v="126000"/>
    <x v="14"/>
    <n v="0.16"/>
    <s v="Low Profit"/>
  </r>
  <r>
    <s v="O00914"/>
    <x v="112"/>
    <x v="2"/>
    <s v="C0150"/>
    <s v="P062"/>
    <n v="2"/>
    <x v="12"/>
    <x v="7"/>
    <x v="5"/>
    <x v="1"/>
    <n v="500"/>
    <n v="800"/>
    <n v="1600"/>
    <n v="1000"/>
    <x v="5"/>
    <n v="0.375"/>
    <s v="High Profit"/>
  </r>
  <r>
    <s v="O00915"/>
    <x v="136"/>
    <x v="4"/>
    <s v="C0173"/>
    <s v="P054"/>
    <n v="1"/>
    <x v="3"/>
    <x v="2"/>
    <x v="4"/>
    <x v="1"/>
    <n v="900"/>
    <n v="1500"/>
    <n v="1500"/>
    <n v="900"/>
    <x v="5"/>
    <n v="0.4"/>
    <s v="High Profit"/>
  </r>
  <r>
    <s v="O00916"/>
    <x v="74"/>
    <x v="0"/>
    <s v="C0073"/>
    <s v="P056"/>
    <n v="3"/>
    <x v="6"/>
    <x v="4"/>
    <x v="6"/>
    <x v="1"/>
    <n v="2000"/>
    <n v="3000"/>
    <n v="9000"/>
    <n v="6000"/>
    <x v="12"/>
    <n v="0.33333333333333331"/>
    <s v="High Profit"/>
  </r>
  <r>
    <s v="O00917"/>
    <x v="47"/>
    <x v="5"/>
    <s v="C0051"/>
    <s v="P019"/>
    <n v="3"/>
    <x v="4"/>
    <x v="0"/>
    <x v="3"/>
    <x v="0"/>
    <n v="42000"/>
    <n v="50000"/>
    <n v="150000"/>
    <n v="126000"/>
    <x v="14"/>
    <n v="0.16"/>
    <s v="Low Profit"/>
  </r>
  <r>
    <s v="O00918"/>
    <x v="229"/>
    <x v="2"/>
    <s v="C0039"/>
    <s v="P088"/>
    <n v="2"/>
    <x v="4"/>
    <x v="4"/>
    <x v="5"/>
    <x v="1"/>
    <n v="500"/>
    <n v="800"/>
    <n v="1600"/>
    <n v="1000"/>
    <x v="5"/>
    <n v="0.375"/>
    <s v="High Profit"/>
  </r>
  <r>
    <s v="O00919"/>
    <x v="241"/>
    <x v="1"/>
    <s v="C0056"/>
    <s v="P020"/>
    <n v="1"/>
    <x v="4"/>
    <x v="7"/>
    <x v="5"/>
    <x v="1"/>
    <n v="500"/>
    <n v="800"/>
    <n v="800"/>
    <n v="500"/>
    <x v="7"/>
    <n v="0.375"/>
    <s v="High Profit"/>
  </r>
  <r>
    <s v="O00920"/>
    <x v="110"/>
    <x v="9"/>
    <s v="C0051"/>
    <s v="P067"/>
    <n v="4"/>
    <x v="4"/>
    <x v="0"/>
    <x v="0"/>
    <x v="0"/>
    <n v="12000"/>
    <n v="15000"/>
    <n v="60000"/>
    <n v="48000"/>
    <x v="1"/>
    <n v="0.2"/>
    <s v="Low Profit"/>
  </r>
  <r>
    <s v="O00921"/>
    <x v="178"/>
    <x v="6"/>
    <s v="C0296"/>
    <s v="P008"/>
    <n v="2"/>
    <x v="10"/>
    <x v="6"/>
    <x v="7"/>
    <x v="0"/>
    <n v="15000"/>
    <n v="18000"/>
    <n v="36000"/>
    <n v="30000"/>
    <x v="0"/>
    <n v="0.16666666666666666"/>
    <s v="Low Profit"/>
  </r>
  <r>
    <s v="O00922"/>
    <x v="233"/>
    <x v="4"/>
    <s v="C0259"/>
    <s v="P012"/>
    <n v="1"/>
    <x v="5"/>
    <x v="1"/>
    <x v="4"/>
    <x v="1"/>
    <n v="900"/>
    <n v="1500"/>
    <n v="1500"/>
    <n v="900"/>
    <x v="5"/>
    <n v="0.4"/>
    <s v="High Profit"/>
  </r>
  <r>
    <s v="O00923"/>
    <x v="13"/>
    <x v="1"/>
    <s v="C0068"/>
    <s v="P031"/>
    <n v="4"/>
    <x v="4"/>
    <x v="1"/>
    <x v="4"/>
    <x v="1"/>
    <n v="900"/>
    <n v="1500"/>
    <n v="6000"/>
    <n v="3600"/>
    <x v="17"/>
    <n v="0.4"/>
    <s v="High Profit"/>
  </r>
  <r>
    <s v="O00924"/>
    <x v="319"/>
    <x v="8"/>
    <s v="C0278"/>
    <s v="P034"/>
    <n v="2"/>
    <x v="10"/>
    <x v="0"/>
    <x v="4"/>
    <x v="1"/>
    <n v="900"/>
    <n v="1500"/>
    <n v="3000"/>
    <n v="1800"/>
    <x v="4"/>
    <n v="0.4"/>
    <s v="High Profit"/>
  </r>
  <r>
    <s v="O00925"/>
    <x v="5"/>
    <x v="5"/>
    <s v="C0071"/>
    <s v="P099"/>
    <n v="4"/>
    <x v="1"/>
    <x v="1"/>
    <x v="4"/>
    <x v="1"/>
    <n v="900"/>
    <n v="1500"/>
    <n v="6000"/>
    <n v="3600"/>
    <x v="17"/>
    <n v="0.4"/>
    <s v="High Profit"/>
  </r>
  <r>
    <s v="O00926"/>
    <x v="79"/>
    <x v="5"/>
    <s v="C0291"/>
    <s v="P021"/>
    <n v="3"/>
    <x v="0"/>
    <x v="5"/>
    <x v="2"/>
    <x v="0"/>
    <n v="20000"/>
    <n v="25000"/>
    <n v="75000"/>
    <n v="60000"/>
    <x v="6"/>
    <n v="0.2"/>
    <s v="Low Profit"/>
  </r>
  <r>
    <s v="O00927"/>
    <x v="215"/>
    <x v="8"/>
    <s v="C0277"/>
    <s v="P048"/>
    <n v="5"/>
    <x v="4"/>
    <x v="7"/>
    <x v="7"/>
    <x v="0"/>
    <n v="15000"/>
    <n v="18000"/>
    <n v="90000"/>
    <n v="75000"/>
    <x v="6"/>
    <n v="0.16666666666666666"/>
    <s v="Low Profit"/>
  </r>
  <r>
    <s v="O00928"/>
    <x v="137"/>
    <x v="9"/>
    <s v="C0010"/>
    <s v="P076"/>
    <n v="3"/>
    <x v="12"/>
    <x v="5"/>
    <x v="6"/>
    <x v="1"/>
    <n v="2000"/>
    <n v="3000"/>
    <n v="9000"/>
    <n v="6000"/>
    <x v="12"/>
    <n v="0.33333333333333331"/>
    <s v="High Profit"/>
  </r>
  <r>
    <s v="O00929"/>
    <x v="57"/>
    <x v="5"/>
    <s v="C0115"/>
    <s v="P017"/>
    <n v="2"/>
    <x v="0"/>
    <x v="4"/>
    <x v="4"/>
    <x v="1"/>
    <n v="900"/>
    <n v="1500"/>
    <n v="3000"/>
    <n v="1800"/>
    <x v="4"/>
    <n v="0.4"/>
    <s v="High Profit"/>
  </r>
  <r>
    <s v="O00930"/>
    <x v="217"/>
    <x v="2"/>
    <s v="C0279"/>
    <s v="P005"/>
    <n v="5"/>
    <x v="9"/>
    <x v="4"/>
    <x v="5"/>
    <x v="1"/>
    <n v="500"/>
    <n v="800"/>
    <n v="4000"/>
    <n v="2500"/>
    <x v="16"/>
    <n v="0.375"/>
    <s v="High Profit"/>
  </r>
  <r>
    <s v="O00931"/>
    <x v="316"/>
    <x v="11"/>
    <s v="C0108"/>
    <s v="P044"/>
    <n v="2"/>
    <x v="5"/>
    <x v="0"/>
    <x v="3"/>
    <x v="0"/>
    <n v="42000"/>
    <n v="50000"/>
    <n v="100000"/>
    <n v="84000"/>
    <x v="23"/>
    <n v="0.16"/>
    <s v="Low Profit"/>
  </r>
  <r>
    <s v="O00932"/>
    <x v="221"/>
    <x v="4"/>
    <s v="C0073"/>
    <s v="P024"/>
    <n v="4"/>
    <x v="6"/>
    <x v="4"/>
    <x v="5"/>
    <x v="1"/>
    <n v="500"/>
    <n v="800"/>
    <n v="3200"/>
    <n v="2000"/>
    <x v="4"/>
    <n v="0.375"/>
    <s v="High Profit"/>
  </r>
  <r>
    <s v="O00933"/>
    <x v="334"/>
    <x v="1"/>
    <s v="C0139"/>
    <s v="P054"/>
    <n v="1"/>
    <x v="1"/>
    <x v="6"/>
    <x v="4"/>
    <x v="1"/>
    <n v="900"/>
    <n v="1500"/>
    <n v="1500"/>
    <n v="900"/>
    <x v="5"/>
    <n v="0.4"/>
    <s v="High Profit"/>
  </r>
  <r>
    <s v="O00934"/>
    <x v="299"/>
    <x v="6"/>
    <s v="C0075"/>
    <s v="P083"/>
    <n v="3"/>
    <x v="3"/>
    <x v="1"/>
    <x v="7"/>
    <x v="0"/>
    <n v="15000"/>
    <n v="18000"/>
    <n v="54000"/>
    <n v="45000"/>
    <x v="11"/>
    <n v="0.16666666666666666"/>
    <s v="Low Profit"/>
  </r>
  <r>
    <s v="O00935"/>
    <x v="255"/>
    <x v="6"/>
    <s v="C0159"/>
    <s v="P059"/>
    <n v="2"/>
    <x v="12"/>
    <x v="0"/>
    <x v="4"/>
    <x v="1"/>
    <n v="900"/>
    <n v="1500"/>
    <n v="3000"/>
    <n v="1800"/>
    <x v="4"/>
    <n v="0.4"/>
    <s v="High Profit"/>
  </r>
  <r>
    <s v="O00936"/>
    <x v="87"/>
    <x v="5"/>
    <s v="C0064"/>
    <s v="P036"/>
    <n v="4"/>
    <x v="8"/>
    <x v="7"/>
    <x v="2"/>
    <x v="0"/>
    <n v="20000"/>
    <n v="25000"/>
    <n v="100000"/>
    <n v="80000"/>
    <x v="9"/>
    <n v="0.2"/>
    <s v="Low Profit"/>
  </r>
  <r>
    <s v="O00937"/>
    <x v="332"/>
    <x v="7"/>
    <s v="C0101"/>
    <s v="P020"/>
    <n v="1"/>
    <x v="9"/>
    <x v="3"/>
    <x v="5"/>
    <x v="1"/>
    <n v="500"/>
    <n v="800"/>
    <n v="800"/>
    <n v="500"/>
    <x v="7"/>
    <n v="0.375"/>
    <s v="High Profit"/>
  </r>
  <r>
    <s v="O00938"/>
    <x v="168"/>
    <x v="0"/>
    <s v="C0032"/>
    <s v="P049"/>
    <n v="3"/>
    <x v="1"/>
    <x v="4"/>
    <x v="6"/>
    <x v="1"/>
    <n v="2000"/>
    <n v="3000"/>
    <n v="9000"/>
    <n v="6000"/>
    <x v="12"/>
    <n v="0.33333333333333331"/>
    <s v="High Profit"/>
  </r>
  <r>
    <s v="O00939"/>
    <x v="294"/>
    <x v="7"/>
    <s v="C0032"/>
    <s v="P094"/>
    <n v="5"/>
    <x v="1"/>
    <x v="4"/>
    <x v="6"/>
    <x v="1"/>
    <n v="2000"/>
    <n v="3000"/>
    <n v="15000"/>
    <n v="10000"/>
    <x v="10"/>
    <n v="0.33333333333333331"/>
    <s v="High Profit"/>
  </r>
  <r>
    <s v="O00940"/>
    <x v="2"/>
    <x v="2"/>
    <s v="C0238"/>
    <s v="P099"/>
    <n v="2"/>
    <x v="12"/>
    <x v="2"/>
    <x v="4"/>
    <x v="1"/>
    <n v="900"/>
    <n v="1500"/>
    <n v="3000"/>
    <n v="1800"/>
    <x v="4"/>
    <n v="0.4"/>
    <s v="High Profit"/>
  </r>
  <r>
    <s v="O00941"/>
    <x v="130"/>
    <x v="1"/>
    <s v="C0196"/>
    <s v="P043"/>
    <n v="1"/>
    <x v="9"/>
    <x v="3"/>
    <x v="0"/>
    <x v="0"/>
    <n v="12000"/>
    <n v="15000"/>
    <n v="15000"/>
    <n v="12000"/>
    <x v="12"/>
    <n v="0.2"/>
    <s v="Low Profit"/>
  </r>
  <r>
    <s v="O00942"/>
    <x v="121"/>
    <x v="11"/>
    <s v="C0074"/>
    <s v="P063"/>
    <n v="1"/>
    <x v="0"/>
    <x v="6"/>
    <x v="6"/>
    <x v="1"/>
    <n v="2000"/>
    <n v="3000"/>
    <n v="3000"/>
    <n v="2000"/>
    <x v="21"/>
    <n v="0.33333333333333331"/>
    <s v="High Profit"/>
  </r>
  <r>
    <s v="O00943"/>
    <x v="216"/>
    <x v="6"/>
    <s v="C0233"/>
    <s v="P063"/>
    <n v="3"/>
    <x v="2"/>
    <x v="0"/>
    <x v="6"/>
    <x v="1"/>
    <n v="2000"/>
    <n v="3000"/>
    <n v="9000"/>
    <n v="6000"/>
    <x v="12"/>
    <n v="0.33333333333333331"/>
    <s v="High Profit"/>
  </r>
  <r>
    <s v="O00944"/>
    <x v="219"/>
    <x v="6"/>
    <s v="C0249"/>
    <s v="P058"/>
    <n v="4"/>
    <x v="1"/>
    <x v="0"/>
    <x v="4"/>
    <x v="1"/>
    <n v="900"/>
    <n v="1500"/>
    <n v="6000"/>
    <n v="3600"/>
    <x v="17"/>
    <n v="0.4"/>
    <s v="High Profit"/>
  </r>
  <r>
    <s v="O00945"/>
    <x v="104"/>
    <x v="9"/>
    <s v="C0111"/>
    <s v="P064"/>
    <n v="3"/>
    <x v="2"/>
    <x v="7"/>
    <x v="2"/>
    <x v="0"/>
    <n v="20000"/>
    <n v="25000"/>
    <n v="75000"/>
    <n v="60000"/>
    <x v="6"/>
    <n v="0.2"/>
    <s v="Low Profit"/>
  </r>
  <r>
    <s v="O00946"/>
    <x v="79"/>
    <x v="5"/>
    <s v="C0048"/>
    <s v="P090"/>
    <n v="4"/>
    <x v="9"/>
    <x v="1"/>
    <x v="0"/>
    <x v="0"/>
    <n v="12000"/>
    <n v="15000"/>
    <n v="60000"/>
    <n v="48000"/>
    <x v="1"/>
    <n v="0.2"/>
    <s v="Low Profit"/>
  </r>
  <r>
    <s v="O00947"/>
    <x v="182"/>
    <x v="9"/>
    <s v="C0266"/>
    <s v="P003"/>
    <n v="2"/>
    <x v="2"/>
    <x v="0"/>
    <x v="4"/>
    <x v="1"/>
    <n v="900"/>
    <n v="1500"/>
    <n v="3000"/>
    <n v="1800"/>
    <x v="4"/>
    <n v="0.4"/>
    <s v="High Profit"/>
  </r>
  <r>
    <s v="O00948"/>
    <x v="11"/>
    <x v="2"/>
    <s v="C0029"/>
    <s v="P066"/>
    <n v="4"/>
    <x v="4"/>
    <x v="3"/>
    <x v="3"/>
    <x v="0"/>
    <n v="42000"/>
    <n v="50000"/>
    <n v="200000"/>
    <n v="168000"/>
    <x v="8"/>
    <n v="0.16"/>
    <s v="Low Profit"/>
  </r>
  <r>
    <s v="O00949"/>
    <x v="151"/>
    <x v="2"/>
    <s v="C0088"/>
    <s v="P100"/>
    <n v="4"/>
    <x v="12"/>
    <x v="3"/>
    <x v="6"/>
    <x v="1"/>
    <n v="2000"/>
    <n v="3000"/>
    <n v="12000"/>
    <n v="8000"/>
    <x v="20"/>
    <n v="0.33333333333333331"/>
    <s v="High Profit"/>
  </r>
  <r>
    <s v="O00950"/>
    <x v="85"/>
    <x v="0"/>
    <s v="C0086"/>
    <s v="P072"/>
    <n v="1"/>
    <x v="9"/>
    <x v="3"/>
    <x v="2"/>
    <x v="0"/>
    <n v="20000"/>
    <n v="25000"/>
    <n v="25000"/>
    <n v="20000"/>
    <x v="10"/>
    <n v="0.2"/>
    <s v="Low Profit"/>
  </r>
  <r>
    <s v="O00951"/>
    <x v="43"/>
    <x v="8"/>
    <s v="C0218"/>
    <s v="P094"/>
    <n v="5"/>
    <x v="5"/>
    <x v="7"/>
    <x v="6"/>
    <x v="1"/>
    <n v="2000"/>
    <n v="3000"/>
    <n v="15000"/>
    <n v="10000"/>
    <x v="10"/>
    <n v="0.33333333333333331"/>
    <s v="High Profit"/>
  </r>
  <r>
    <s v="O00952"/>
    <x v="305"/>
    <x v="3"/>
    <s v="C0028"/>
    <s v="P058"/>
    <n v="5"/>
    <x v="10"/>
    <x v="5"/>
    <x v="4"/>
    <x v="1"/>
    <n v="900"/>
    <n v="1500"/>
    <n v="7500"/>
    <n v="4500"/>
    <x v="12"/>
    <n v="0.4"/>
    <s v="High Profit"/>
  </r>
  <r>
    <s v="O00953"/>
    <x v="215"/>
    <x v="8"/>
    <s v="C0129"/>
    <s v="P075"/>
    <n v="2"/>
    <x v="9"/>
    <x v="7"/>
    <x v="2"/>
    <x v="0"/>
    <n v="20000"/>
    <n v="25000"/>
    <n v="50000"/>
    <n v="40000"/>
    <x v="2"/>
    <n v="0.2"/>
    <s v="Low Profit"/>
  </r>
  <r>
    <s v="O00954"/>
    <x v="268"/>
    <x v="10"/>
    <s v="C0008"/>
    <s v="P019"/>
    <n v="2"/>
    <x v="9"/>
    <x v="0"/>
    <x v="3"/>
    <x v="0"/>
    <n v="42000"/>
    <n v="50000"/>
    <n v="100000"/>
    <n v="84000"/>
    <x v="23"/>
    <n v="0.16"/>
    <s v="Low Profit"/>
  </r>
  <r>
    <s v="O00955"/>
    <x v="320"/>
    <x v="8"/>
    <s v="C0080"/>
    <s v="P020"/>
    <n v="3"/>
    <x v="8"/>
    <x v="0"/>
    <x v="5"/>
    <x v="1"/>
    <n v="500"/>
    <n v="800"/>
    <n v="2400"/>
    <n v="1500"/>
    <x v="19"/>
    <n v="0.375"/>
    <s v="High Profit"/>
  </r>
  <r>
    <s v="O00956"/>
    <x v="231"/>
    <x v="7"/>
    <s v="C0125"/>
    <s v="P017"/>
    <n v="3"/>
    <x v="12"/>
    <x v="0"/>
    <x v="4"/>
    <x v="1"/>
    <n v="900"/>
    <n v="1500"/>
    <n v="4500"/>
    <n v="2700"/>
    <x v="13"/>
    <n v="0.4"/>
    <s v="High Profit"/>
  </r>
  <r>
    <s v="O00957"/>
    <x v="189"/>
    <x v="5"/>
    <s v="C8888"/>
    <s v="P032"/>
    <n v="3"/>
    <x v="7"/>
    <x v="8"/>
    <x v="2"/>
    <x v="0"/>
    <n v="20000"/>
    <n v="25000"/>
    <n v="75000"/>
    <n v="60000"/>
    <x v="6"/>
    <n v="0.2"/>
    <s v="Low Profit"/>
  </r>
  <r>
    <s v="O00958"/>
    <x v="276"/>
    <x v="3"/>
    <s v="C0082"/>
    <s v="P007"/>
    <n v="1"/>
    <x v="12"/>
    <x v="1"/>
    <x v="2"/>
    <x v="0"/>
    <n v="20000"/>
    <n v="25000"/>
    <n v="25000"/>
    <n v="20000"/>
    <x v="10"/>
    <n v="0.2"/>
    <s v="Low Profit"/>
  </r>
  <r>
    <s v="O00959"/>
    <x v="83"/>
    <x v="11"/>
    <s v="C0057"/>
    <s v="P073"/>
    <n v="1"/>
    <x v="5"/>
    <x v="0"/>
    <x v="3"/>
    <x v="0"/>
    <n v="42000"/>
    <n v="50000"/>
    <n v="50000"/>
    <n v="42000"/>
    <x v="18"/>
    <n v="0.16"/>
    <s v="Low Profit"/>
  </r>
  <r>
    <s v="O00960"/>
    <x v="62"/>
    <x v="9"/>
    <s v="C0162"/>
    <s v="P091"/>
    <n v="4"/>
    <x v="0"/>
    <x v="7"/>
    <x v="1"/>
    <x v="1"/>
    <n v="9000"/>
    <n v="12000"/>
    <n v="48000"/>
    <n v="36000"/>
    <x v="1"/>
    <n v="0.25"/>
    <s v="High Profit"/>
  </r>
  <r>
    <s v="O00961"/>
    <x v="67"/>
    <x v="3"/>
    <s v="C0090"/>
    <s v="P045"/>
    <n v="3"/>
    <x v="2"/>
    <x v="1"/>
    <x v="4"/>
    <x v="1"/>
    <n v="900"/>
    <n v="1500"/>
    <n v="4500"/>
    <n v="2700"/>
    <x v="13"/>
    <n v="0.4"/>
    <s v="High Profit"/>
  </r>
  <r>
    <s v="O00962"/>
    <x v="2"/>
    <x v="2"/>
    <s v="C0026"/>
    <s v="P069"/>
    <n v="4"/>
    <x v="12"/>
    <x v="5"/>
    <x v="1"/>
    <x v="1"/>
    <n v="9000"/>
    <n v="12000"/>
    <n v="48000"/>
    <n v="36000"/>
    <x v="1"/>
    <n v="0.25"/>
    <s v="High Profit"/>
  </r>
  <r>
    <s v="O00963"/>
    <x v="4"/>
    <x v="4"/>
    <s v="C0247"/>
    <s v="P095"/>
    <n v="2"/>
    <x v="6"/>
    <x v="7"/>
    <x v="2"/>
    <x v="0"/>
    <n v="20000"/>
    <n v="25000"/>
    <n v="50000"/>
    <n v="40000"/>
    <x v="2"/>
    <n v="0.2"/>
    <s v="Low Profit"/>
  </r>
  <r>
    <s v="O00964"/>
    <x v="180"/>
    <x v="10"/>
    <s v="C0293"/>
    <s v="P029"/>
    <n v="1"/>
    <x v="2"/>
    <x v="1"/>
    <x v="6"/>
    <x v="1"/>
    <n v="2000"/>
    <n v="3000"/>
    <n v="3000"/>
    <n v="2000"/>
    <x v="21"/>
    <n v="0.33333333333333331"/>
    <s v="High Profit"/>
  </r>
  <r>
    <s v="O00965"/>
    <x v="300"/>
    <x v="2"/>
    <s v="C0215"/>
    <s v="P088"/>
    <n v="5"/>
    <x v="5"/>
    <x v="5"/>
    <x v="5"/>
    <x v="1"/>
    <n v="500"/>
    <n v="800"/>
    <n v="4000"/>
    <n v="2500"/>
    <x v="16"/>
    <n v="0.375"/>
    <s v="High Profit"/>
  </r>
  <r>
    <s v="O00966"/>
    <x v="119"/>
    <x v="2"/>
    <s v="C9999"/>
    <s v="P094"/>
    <n v="2"/>
    <x v="7"/>
    <x v="8"/>
    <x v="6"/>
    <x v="1"/>
    <n v="2000"/>
    <n v="3000"/>
    <n v="6000"/>
    <n v="4000"/>
    <x v="22"/>
    <n v="0.33333333333333331"/>
    <s v="High Profit"/>
  </r>
  <r>
    <s v="O00967"/>
    <x v="144"/>
    <x v="11"/>
    <s v="C9999"/>
    <s v="P040"/>
    <n v="1"/>
    <x v="7"/>
    <x v="8"/>
    <x v="3"/>
    <x v="0"/>
    <n v="42000"/>
    <n v="50000"/>
    <n v="50000"/>
    <n v="42000"/>
    <x v="18"/>
    <n v="0.16"/>
    <s v="Low Profit"/>
  </r>
  <r>
    <s v="O00968"/>
    <x v="161"/>
    <x v="4"/>
    <s v="C0235"/>
    <s v="P036"/>
    <n v="5"/>
    <x v="8"/>
    <x v="4"/>
    <x v="2"/>
    <x v="0"/>
    <n v="20000"/>
    <n v="25000"/>
    <n v="125000"/>
    <n v="100000"/>
    <x v="15"/>
    <n v="0.2"/>
    <s v="Low Profit"/>
  </r>
  <r>
    <s v="O00969"/>
    <x v="336"/>
    <x v="1"/>
    <s v="C0190"/>
    <s v="P093"/>
    <n v="3"/>
    <x v="0"/>
    <x v="7"/>
    <x v="0"/>
    <x v="0"/>
    <n v="12000"/>
    <n v="15000"/>
    <n v="45000"/>
    <n v="36000"/>
    <x v="11"/>
    <n v="0.2"/>
    <s v="Low Profit"/>
  </r>
  <r>
    <s v="O00970"/>
    <x v="113"/>
    <x v="2"/>
    <s v="C0117"/>
    <s v="P014"/>
    <n v="5"/>
    <x v="11"/>
    <x v="1"/>
    <x v="5"/>
    <x v="1"/>
    <n v="500"/>
    <n v="800"/>
    <n v="4000"/>
    <n v="2500"/>
    <x v="16"/>
    <n v="0.375"/>
    <s v="High Profit"/>
  </r>
  <r>
    <s v="O00971"/>
    <x v="231"/>
    <x v="7"/>
    <s v="C0152"/>
    <s v="P048"/>
    <n v="3"/>
    <x v="6"/>
    <x v="7"/>
    <x v="7"/>
    <x v="0"/>
    <n v="15000"/>
    <n v="18000"/>
    <n v="54000"/>
    <n v="45000"/>
    <x v="11"/>
    <n v="0.16666666666666666"/>
    <s v="Low Profit"/>
  </r>
  <r>
    <s v="O00972"/>
    <x v="121"/>
    <x v="11"/>
    <s v="C0024"/>
    <s v="P037"/>
    <n v="3"/>
    <x v="1"/>
    <x v="3"/>
    <x v="0"/>
    <x v="0"/>
    <n v="12000"/>
    <n v="15000"/>
    <n v="45000"/>
    <n v="36000"/>
    <x v="11"/>
    <n v="0.2"/>
    <s v="Low Profit"/>
  </r>
  <r>
    <s v="O00973"/>
    <x v="167"/>
    <x v="2"/>
    <s v="C0291"/>
    <s v="P051"/>
    <n v="4"/>
    <x v="0"/>
    <x v="5"/>
    <x v="6"/>
    <x v="1"/>
    <n v="2000"/>
    <n v="3000"/>
    <n v="12000"/>
    <n v="8000"/>
    <x v="20"/>
    <n v="0.33333333333333331"/>
    <s v="High Profit"/>
  </r>
  <r>
    <s v="O00974"/>
    <x v="62"/>
    <x v="9"/>
    <s v="C0171"/>
    <s v="P045"/>
    <n v="4"/>
    <x v="0"/>
    <x v="5"/>
    <x v="4"/>
    <x v="1"/>
    <n v="900"/>
    <n v="1500"/>
    <n v="6000"/>
    <n v="3600"/>
    <x v="17"/>
    <n v="0.4"/>
    <s v="High Profit"/>
  </r>
  <r>
    <s v="O00975"/>
    <x v="23"/>
    <x v="2"/>
    <s v="C0248"/>
    <s v="P038"/>
    <n v="4"/>
    <x v="10"/>
    <x v="4"/>
    <x v="7"/>
    <x v="0"/>
    <n v="15000"/>
    <n v="18000"/>
    <n v="72000"/>
    <n v="60000"/>
    <x v="1"/>
    <n v="0.16666666666666666"/>
    <s v="Low Profit"/>
  </r>
  <r>
    <s v="O00976"/>
    <x v="82"/>
    <x v="4"/>
    <s v="C0257"/>
    <s v="P018"/>
    <n v="4"/>
    <x v="9"/>
    <x v="6"/>
    <x v="3"/>
    <x v="0"/>
    <n v="42000"/>
    <n v="50000"/>
    <n v="200000"/>
    <n v="168000"/>
    <x v="8"/>
    <n v="0.16"/>
    <s v="Low Profit"/>
  </r>
  <r>
    <s v="O00977"/>
    <x v="314"/>
    <x v="4"/>
    <s v="C0253"/>
    <s v="P063"/>
    <n v="4"/>
    <x v="9"/>
    <x v="3"/>
    <x v="6"/>
    <x v="1"/>
    <n v="2000"/>
    <n v="3000"/>
    <n v="12000"/>
    <n v="8000"/>
    <x v="20"/>
    <n v="0.33333333333333331"/>
    <s v="High Profit"/>
  </r>
  <r>
    <s v="O00978"/>
    <x v="230"/>
    <x v="5"/>
    <s v="C0041"/>
    <s v="P057"/>
    <n v="3"/>
    <x v="3"/>
    <x v="0"/>
    <x v="3"/>
    <x v="0"/>
    <n v="42000"/>
    <n v="50000"/>
    <n v="150000"/>
    <n v="126000"/>
    <x v="14"/>
    <n v="0.16"/>
    <s v="Low Profit"/>
  </r>
  <r>
    <s v="O00979"/>
    <x v="39"/>
    <x v="7"/>
    <s v="C9999"/>
    <s v="P044"/>
    <n v="1"/>
    <x v="7"/>
    <x v="8"/>
    <x v="3"/>
    <x v="0"/>
    <n v="42000"/>
    <n v="50000"/>
    <n v="50000"/>
    <n v="42000"/>
    <x v="18"/>
    <n v="0.16"/>
    <s v="Low Profit"/>
  </r>
  <r>
    <s v="O00980"/>
    <x v="99"/>
    <x v="11"/>
    <s v="C8888"/>
    <s v="P015"/>
    <n v="5"/>
    <x v="7"/>
    <x v="8"/>
    <x v="0"/>
    <x v="0"/>
    <n v="12000"/>
    <n v="15000"/>
    <n v="75000"/>
    <n v="60000"/>
    <x v="6"/>
    <n v="0.2"/>
    <s v="Low Profit"/>
  </r>
  <r>
    <s v="O00981"/>
    <x v="20"/>
    <x v="10"/>
    <s v="C0107"/>
    <s v="P024"/>
    <n v="5"/>
    <x v="10"/>
    <x v="0"/>
    <x v="5"/>
    <x v="1"/>
    <n v="500"/>
    <n v="800"/>
    <n v="4000"/>
    <n v="2500"/>
    <x v="16"/>
    <n v="0.375"/>
    <s v="High Profit"/>
  </r>
  <r>
    <s v="O00982"/>
    <x v="337"/>
    <x v="11"/>
    <s v="C0014"/>
    <s v="P056"/>
    <n v="1"/>
    <x v="0"/>
    <x v="1"/>
    <x v="6"/>
    <x v="1"/>
    <n v="2000"/>
    <n v="3000"/>
    <n v="3000"/>
    <n v="2000"/>
    <x v="21"/>
    <n v="0.33333333333333331"/>
    <s v="High Profit"/>
  </r>
  <r>
    <s v="O00983"/>
    <x v="69"/>
    <x v="7"/>
    <s v="C0029"/>
    <s v="P091"/>
    <n v="4"/>
    <x v="4"/>
    <x v="3"/>
    <x v="1"/>
    <x v="1"/>
    <n v="9000"/>
    <n v="12000"/>
    <n v="48000"/>
    <n v="36000"/>
    <x v="1"/>
    <n v="0.25"/>
    <s v="High Profit"/>
  </r>
  <r>
    <s v="O00984"/>
    <x v="150"/>
    <x v="7"/>
    <s v="C0145"/>
    <s v="P031"/>
    <n v="1"/>
    <x v="11"/>
    <x v="2"/>
    <x v="4"/>
    <x v="1"/>
    <n v="900"/>
    <n v="1500"/>
    <n v="1500"/>
    <n v="900"/>
    <x v="5"/>
    <n v="0.4"/>
    <s v="High Profit"/>
  </r>
  <r>
    <s v="O00985"/>
    <x v="188"/>
    <x v="1"/>
    <s v="C0230"/>
    <s v="P032"/>
    <n v="5"/>
    <x v="8"/>
    <x v="3"/>
    <x v="2"/>
    <x v="0"/>
    <n v="20000"/>
    <n v="25000"/>
    <n v="125000"/>
    <n v="100000"/>
    <x v="15"/>
    <n v="0.2"/>
    <s v="Low Profit"/>
  </r>
  <r>
    <s v="O00986"/>
    <x v="310"/>
    <x v="5"/>
    <s v="C0021"/>
    <s v="P074"/>
    <n v="1"/>
    <x v="11"/>
    <x v="6"/>
    <x v="4"/>
    <x v="1"/>
    <n v="900"/>
    <n v="1500"/>
    <n v="1500"/>
    <n v="900"/>
    <x v="5"/>
    <n v="0.4"/>
    <s v="High Profit"/>
  </r>
  <r>
    <s v="O00987"/>
    <x v="61"/>
    <x v="9"/>
    <s v="C0175"/>
    <s v="P073"/>
    <n v="4"/>
    <x v="2"/>
    <x v="3"/>
    <x v="3"/>
    <x v="0"/>
    <n v="42000"/>
    <n v="50000"/>
    <n v="200000"/>
    <n v="168000"/>
    <x v="8"/>
    <n v="0.16"/>
    <s v="Low Profit"/>
  </r>
  <r>
    <s v="O00988"/>
    <x v="7"/>
    <x v="7"/>
    <s v="C0083"/>
    <s v="P011"/>
    <n v="5"/>
    <x v="3"/>
    <x v="6"/>
    <x v="4"/>
    <x v="1"/>
    <n v="900"/>
    <n v="1500"/>
    <n v="7500"/>
    <n v="4500"/>
    <x v="12"/>
    <n v="0.4"/>
    <s v="High Profit"/>
  </r>
  <r>
    <s v="O00989"/>
    <x v="0"/>
    <x v="0"/>
    <s v="C0201"/>
    <s v="P080"/>
    <n v="1"/>
    <x v="11"/>
    <x v="5"/>
    <x v="4"/>
    <x v="1"/>
    <n v="900"/>
    <n v="1500"/>
    <n v="1500"/>
    <n v="900"/>
    <x v="5"/>
    <n v="0.4"/>
    <s v="High Profit"/>
  </r>
  <r>
    <s v="O00990"/>
    <x v="338"/>
    <x v="9"/>
    <s v="C0033"/>
    <s v="P053"/>
    <n v="3"/>
    <x v="11"/>
    <x v="5"/>
    <x v="3"/>
    <x v="0"/>
    <n v="42000"/>
    <n v="50000"/>
    <n v="150000"/>
    <n v="126000"/>
    <x v="14"/>
    <n v="0.16"/>
    <s v="Low Profit"/>
  </r>
  <r>
    <s v="O00991"/>
    <x v="227"/>
    <x v="8"/>
    <s v="C0025"/>
    <s v="P042"/>
    <n v="3"/>
    <x v="5"/>
    <x v="4"/>
    <x v="4"/>
    <x v="1"/>
    <n v="900"/>
    <n v="1500"/>
    <n v="4500"/>
    <n v="2700"/>
    <x v="13"/>
    <n v="0.4"/>
    <s v="High Profit"/>
  </r>
  <r>
    <s v="O00992"/>
    <x v="339"/>
    <x v="7"/>
    <s v="C8888"/>
    <s v="P005"/>
    <n v="2"/>
    <x v="7"/>
    <x v="8"/>
    <x v="5"/>
    <x v="1"/>
    <n v="500"/>
    <n v="800"/>
    <n v="1600"/>
    <n v="1000"/>
    <x v="5"/>
    <n v="0.375"/>
    <s v="High Profit"/>
  </r>
  <r>
    <s v="O00993"/>
    <x v="299"/>
    <x v="6"/>
    <s v="C0113"/>
    <s v="P075"/>
    <n v="1"/>
    <x v="12"/>
    <x v="2"/>
    <x v="2"/>
    <x v="0"/>
    <n v="20000"/>
    <n v="25000"/>
    <n v="25000"/>
    <n v="20000"/>
    <x v="10"/>
    <n v="0.2"/>
    <s v="Low Profit"/>
  </r>
  <r>
    <s v="O00994"/>
    <x v="57"/>
    <x v="5"/>
    <s v="C0300"/>
    <s v="P084"/>
    <n v="4"/>
    <x v="2"/>
    <x v="2"/>
    <x v="2"/>
    <x v="0"/>
    <n v="20000"/>
    <n v="25000"/>
    <n v="100000"/>
    <n v="80000"/>
    <x v="9"/>
    <n v="0.2"/>
    <s v="Low Profit"/>
  </r>
  <r>
    <s v="O00995"/>
    <x v="94"/>
    <x v="4"/>
    <s v="C0145"/>
    <s v="P098"/>
    <n v="3"/>
    <x v="11"/>
    <x v="2"/>
    <x v="1"/>
    <x v="1"/>
    <n v="9000"/>
    <n v="12000"/>
    <n v="36000"/>
    <n v="27000"/>
    <x v="11"/>
    <n v="0.25"/>
    <s v="High Profit"/>
  </r>
  <r>
    <s v="O00996"/>
    <x v="241"/>
    <x v="1"/>
    <s v="C0143"/>
    <s v="P015"/>
    <n v="4"/>
    <x v="9"/>
    <x v="2"/>
    <x v="0"/>
    <x v="0"/>
    <n v="12000"/>
    <n v="15000"/>
    <n v="60000"/>
    <n v="48000"/>
    <x v="1"/>
    <n v="0.2"/>
    <s v="Low Profit"/>
  </r>
  <r>
    <s v="O00997"/>
    <x v="251"/>
    <x v="8"/>
    <s v="C0270"/>
    <s v="P089"/>
    <n v="5"/>
    <x v="1"/>
    <x v="5"/>
    <x v="6"/>
    <x v="1"/>
    <n v="2000"/>
    <n v="3000"/>
    <n v="15000"/>
    <n v="10000"/>
    <x v="10"/>
    <n v="0.33333333333333331"/>
    <s v="High Profit"/>
  </r>
  <r>
    <s v="O00998"/>
    <x v="253"/>
    <x v="0"/>
    <s v="C0001"/>
    <s v="P030"/>
    <n v="5"/>
    <x v="0"/>
    <x v="4"/>
    <x v="2"/>
    <x v="0"/>
    <n v="20000"/>
    <n v="25000"/>
    <n v="125000"/>
    <n v="100000"/>
    <x v="15"/>
    <n v="0.2"/>
    <s v="Low Profit"/>
  </r>
  <r>
    <s v="O00999"/>
    <x v="268"/>
    <x v="10"/>
    <s v="C0285"/>
    <s v="P088"/>
    <n v="5"/>
    <x v="9"/>
    <x v="4"/>
    <x v="5"/>
    <x v="1"/>
    <n v="500"/>
    <n v="800"/>
    <n v="4000"/>
    <n v="2500"/>
    <x v="16"/>
    <n v="0.375"/>
    <s v="High Profit"/>
  </r>
  <r>
    <s v="O01000"/>
    <x v="237"/>
    <x v="3"/>
    <s v="C0231"/>
    <s v="P040"/>
    <n v="2"/>
    <x v="2"/>
    <x v="0"/>
    <x v="3"/>
    <x v="0"/>
    <n v="42000"/>
    <n v="50000"/>
    <n v="100000"/>
    <n v="84000"/>
    <x v="23"/>
    <n v="0.16"/>
    <s v="Low Profi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1F7C3D-A28E-4FE1-8542-2F8A567054B1}"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2" firstHeaderRow="1" firstDataRow="1" firstDataCol="1"/>
  <pivotFields count="19">
    <pivotField showAll="0"/>
    <pivotField numFmtId="14" showAll="0">
      <items count="341">
        <item x="23"/>
        <item x="151"/>
        <item x="229"/>
        <item x="157"/>
        <item x="286"/>
        <item x="91"/>
        <item x="96"/>
        <item x="25"/>
        <item x="113"/>
        <item x="11"/>
        <item x="2"/>
        <item x="160"/>
        <item x="217"/>
        <item x="53"/>
        <item x="46"/>
        <item x="307"/>
        <item x="194"/>
        <item x="112"/>
        <item x="324"/>
        <item x="119"/>
        <item x="239"/>
        <item x="167"/>
        <item x="258"/>
        <item x="291"/>
        <item x="288"/>
        <item x="122"/>
        <item x="190"/>
        <item x="225"/>
        <item x="300"/>
        <item x="58"/>
        <item x="179"/>
        <item x="105"/>
        <item x="104"/>
        <item x="61"/>
        <item x="18"/>
        <item x="261"/>
        <item x="274"/>
        <item x="137"/>
        <item x="257"/>
        <item x="279"/>
        <item x="110"/>
        <item x="163"/>
        <item x="304"/>
        <item x="195"/>
        <item x="292"/>
        <item x="182"/>
        <item x="338"/>
        <item x="220"/>
        <item x="133"/>
        <item x="259"/>
        <item x="44"/>
        <item x="331"/>
        <item x="260"/>
        <item x="62"/>
        <item x="282"/>
        <item x="95"/>
        <item x="245"/>
        <item x="187"/>
        <item x="337"/>
        <item x="99"/>
        <item x="144"/>
        <item x="77"/>
        <item x="284"/>
        <item x="193"/>
        <item x="30"/>
        <item x="141"/>
        <item x="121"/>
        <item x="335"/>
        <item x="176"/>
        <item x="158"/>
        <item x="126"/>
        <item x="166"/>
        <item x="76"/>
        <item x="271"/>
        <item x="65"/>
        <item x="316"/>
        <item x="24"/>
        <item x="22"/>
        <item x="114"/>
        <item x="312"/>
        <item x="83"/>
        <item x="165"/>
        <item x="184"/>
        <item x="50"/>
        <item x="0"/>
        <item x="198"/>
        <item x="143"/>
        <item x="29"/>
        <item x="159"/>
        <item x="92"/>
        <item x="295"/>
        <item x="162"/>
        <item x="218"/>
        <item x="242"/>
        <item x="10"/>
        <item x="253"/>
        <item x="68"/>
        <item x="85"/>
        <item x="36"/>
        <item x="74"/>
        <item x="32"/>
        <item x="45"/>
        <item x="15"/>
        <item x="100"/>
        <item x="266"/>
        <item x="168"/>
        <item x="208"/>
        <item x="177"/>
        <item x="181"/>
        <item x="262"/>
        <item x="223"/>
        <item x="296"/>
        <item x="189"/>
        <item x="140"/>
        <item x="102"/>
        <item x="109"/>
        <item x="73"/>
        <item x="47"/>
        <item x="311"/>
        <item x="118"/>
        <item x="210"/>
        <item x="205"/>
        <item x="108"/>
        <item x="127"/>
        <item x="308"/>
        <item x="124"/>
        <item x="278"/>
        <item x="173"/>
        <item x="5"/>
        <item x="310"/>
        <item x="244"/>
        <item x="57"/>
        <item x="64"/>
        <item x="21"/>
        <item x="230"/>
        <item x="132"/>
        <item x="66"/>
        <item x="79"/>
        <item x="87"/>
        <item x="20"/>
        <item x="267"/>
        <item x="303"/>
        <item x="90"/>
        <item x="289"/>
        <item x="142"/>
        <item x="42"/>
        <item x="35"/>
        <item x="222"/>
        <item x="268"/>
        <item x="89"/>
        <item x="232"/>
        <item x="123"/>
        <item x="186"/>
        <item x="203"/>
        <item x="234"/>
        <item x="52"/>
        <item x="152"/>
        <item x="180"/>
        <item x="84"/>
        <item x="138"/>
        <item x="228"/>
        <item x="27"/>
        <item x="116"/>
        <item x="134"/>
        <item x="270"/>
        <item x="192"/>
        <item x="287"/>
        <item x="235"/>
        <item x="71"/>
        <item x="273"/>
        <item x="145"/>
        <item x="147"/>
        <item x="3"/>
        <item x="31"/>
        <item x="283"/>
        <item x="264"/>
        <item x="280"/>
        <item x="276"/>
        <item x="185"/>
        <item x="9"/>
        <item x="56"/>
        <item x="297"/>
        <item x="17"/>
        <item x="146"/>
        <item x="240"/>
        <item x="237"/>
        <item x="322"/>
        <item x="67"/>
        <item x="305"/>
        <item x="154"/>
        <item x="269"/>
        <item x="8"/>
        <item x="26"/>
        <item x="254"/>
        <item x="202"/>
        <item x="231"/>
        <item x="332"/>
        <item x="256"/>
        <item x="306"/>
        <item x="70"/>
        <item x="115"/>
        <item x="326"/>
        <item x="28"/>
        <item x="294"/>
        <item x="150"/>
        <item x="315"/>
        <item x="78"/>
        <item x="285"/>
        <item x="39"/>
        <item x="265"/>
        <item x="174"/>
        <item x="191"/>
        <item x="212"/>
        <item x="236"/>
        <item x="149"/>
        <item x="321"/>
        <item x="103"/>
        <item x="131"/>
        <item x="263"/>
        <item x="7"/>
        <item x="117"/>
        <item x="339"/>
        <item x="54"/>
        <item x="69"/>
        <item x="309"/>
        <item x="97"/>
        <item x="238"/>
        <item x="214"/>
        <item x="219"/>
        <item x="196"/>
        <item x="298"/>
        <item x="299"/>
        <item x="250"/>
        <item x="125"/>
        <item x="172"/>
        <item x="325"/>
        <item x="6"/>
        <item x="178"/>
        <item x="148"/>
        <item x="293"/>
        <item x="33"/>
        <item x="255"/>
        <item x="328"/>
        <item x="106"/>
        <item x="243"/>
        <item x="246"/>
        <item x="329"/>
        <item x="216"/>
        <item x="107"/>
        <item x="206"/>
        <item x="199"/>
        <item x="153"/>
        <item x="120"/>
        <item x="272"/>
        <item x="221"/>
        <item x="170"/>
        <item x="94"/>
        <item x="135"/>
        <item x="82"/>
        <item x="12"/>
        <item x="301"/>
        <item x="129"/>
        <item x="175"/>
        <item x="314"/>
        <item x="136"/>
        <item x="128"/>
        <item x="197"/>
        <item x="247"/>
        <item x="204"/>
        <item x="88"/>
        <item x="101"/>
        <item x="211"/>
        <item x="111"/>
        <item x="60"/>
        <item x="277"/>
        <item x="201"/>
        <item x="161"/>
        <item x="38"/>
        <item x="40"/>
        <item x="233"/>
        <item x="318"/>
        <item x="224"/>
        <item x="4"/>
        <item x="49"/>
        <item x="14"/>
        <item x="226"/>
        <item x="164"/>
        <item x="43"/>
        <item x="207"/>
        <item x="227"/>
        <item x="249"/>
        <item x="19"/>
        <item x="333"/>
        <item x="16"/>
        <item x="63"/>
        <item x="215"/>
        <item x="139"/>
        <item x="251"/>
        <item x="169"/>
        <item x="252"/>
        <item x="317"/>
        <item x="37"/>
        <item x="320"/>
        <item x="319"/>
        <item x="34"/>
        <item x="281"/>
        <item x="275"/>
        <item x="327"/>
        <item x="302"/>
        <item x="290"/>
        <item x="209"/>
        <item x="313"/>
        <item x="330"/>
        <item x="323"/>
        <item x="93"/>
        <item x="55"/>
        <item x="130"/>
        <item x="200"/>
        <item x="334"/>
        <item x="81"/>
        <item x="13"/>
        <item x="72"/>
        <item x="80"/>
        <item x="75"/>
        <item x="213"/>
        <item x="171"/>
        <item x="51"/>
        <item x="155"/>
        <item x="188"/>
        <item x="248"/>
        <item x="59"/>
        <item x="41"/>
        <item x="1"/>
        <item x="98"/>
        <item x="48"/>
        <item x="336"/>
        <item x="241"/>
        <item x="156"/>
        <item x="86"/>
        <item x="183"/>
        <item t="default"/>
      </items>
    </pivotField>
    <pivotField showAll="0">
      <items count="13">
        <item x="2"/>
        <item x="9"/>
        <item x="11"/>
        <item x="0"/>
        <item x="5"/>
        <item x="10"/>
        <item x="3"/>
        <item x="7"/>
        <item x="6"/>
        <item x="4"/>
        <item x="8"/>
        <item x="1"/>
        <item t="default"/>
      </items>
    </pivotField>
    <pivotField showAll="0"/>
    <pivotField showAll="0"/>
    <pivotField showAll="0"/>
    <pivotField showAll="0"/>
    <pivotField showAll="0">
      <items count="10">
        <item x="8"/>
        <item x="3"/>
        <item x="6"/>
        <item x="4"/>
        <item x="1"/>
        <item x="0"/>
        <item x="5"/>
        <item x="7"/>
        <item x="2"/>
        <item t="default"/>
      </items>
    </pivotField>
    <pivotField axis="axisRow" showAll="0" sortType="descending">
      <items count="9">
        <item x="4"/>
        <item x="3"/>
        <item x="2"/>
        <item x="1"/>
        <item x="5"/>
        <item x="0"/>
        <item x="6"/>
        <item x="7"/>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dataField="1" showAll="0"/>
    <pivotField showAll="0"/>
    <pivotField showAll="0"/>
    <pivotField showAll="0"/>
    <pivotField numFmtId="9"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9">
    <i>
      <x v="1"/>
    </i>
    <i>
      <x v="2"/>
    </i>
    <i>
      <x v="3"/>
    </i>
    <i>
      <x v="5"/>
    </i>
    <i>
      <x v="7"/>
    </i>
    <i>
      <x v="6"/>
    </i>
    <i>
      <x/>
    </i>
    <i>
      <x v="4"/>
    </i>
    <i t="grand">
      <x/>
    </i>
  </rowItems>
  <colItems count="1">
    <i/>
  </colItems>
  <dataFields count="1">
    <dataField name="Sum of Selling Price" fld="11"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D27BE5-FA9D-4F02-B9E8-5DE6E1264371}"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19">
    <pivotField showAll="0"/>
    <pivotField numFmtId="14" showAll="0">
      <items count="341">
        <item x="23"/>
        <item x="151"/>
        <item x="229"/>
        <item x="157"/>
        <item x="286"/>
        <item x="91"/>
        <item x="96"/>
        <item x="25"/>
        <item x="113"/>
        <item x="11"/>
        <item x="2"/>
        <item x="160"/>
        <item x="217"/>
        <item x="53"/>
        <item x="46"/>
        <item x="307"/>
        <item x="194"/>
        <item x="112"/>
        <item x="324"/>
        <item x="119"/>
        <item x="239"/>
        <item x="167"/>
        <item x="258"/>
        <item x="291"/>
        <item x="288"/>
        <item x="122"/>
        <item x="190"/>
        <item x="225"/>
        <item x="300"/>
        <item x="58"/>
        <item x="179"/>
        <item x="105"/>
        <item x="104"/>
        <item x="61"/>
        <item x="18"/>
        <item x="261"/>
        <item x="274"/>
        <item x="137"/>
        <item x="257"/>
        <item x="279"/>
        <item x="110"/>
        <item x="163"/>
        <item x="304"/>
        <item x="195"/>
        <item x="292"/>
        <item x="182"/>
        <item x="338"/>
        <item x="220"/>
        <item x="133"/>
        <item x="259"/>
        <item x="44"/>
        <item x="331"/>
        <item x="260"/>
        <item x="62"/>
        <item x="282"/>
        <item x="95"/>
        <item x="245"/>
        <item x="187"/>
        <item x="337"/>
        <item x="99"/>
        <item x="144"/>
        <item x="77"/>
        <item x="284"/>
        <item x="193"/>
        <item x="30"/>
        <item x="141"/>
        <item x="121"/>
        <item x="335"/>
        <item x="176"/>
        <item x="158"/>
        <item x="126"/>
        <item x="166"/>
        <item x="76"/>
        <item x="271"/>
        <item x="65"/>
        <item x="316"/>
        <item x="24"/>
        <item x="22"/>
        <item x="114"/>
        <item x="312"/>
        <item x="83"/>
        <item x="165"/>
        <item x="184"/>
        <item x="50"/>
        <item x="0"/>
        <item x="198"/>
        <item x="143"/>
        <item x="29"/>
        <item x="159"/>
        <item x="92"/>
        <item x="295"/>
        <item x="162"/>
        <item x="218"/>
        <item x="242"/>
        <item x="10"/>
        <item x="253"/>
        <item x="68"/>
        <item x="85"/>
        <item x="36"/>
        <item x="74"/>
        <item x="32"/>
        <item x="45"/>
        <item x="15"/>
        <item x="100"/>
        <item x="266"/>
        <item x="168"/>
        <item x="208"/>
        <item x="177"/>
        <item x="181"/>
        <item x="262"/>
        <item x="223"/>
        <item x="296"/>
        <item x="189"/>
        <item x="140"/>
        <item x="102"/>
        <item x="109"/>
        <item x="73"/>
        <item x="47"/>
        <item x="311"/>
        <item x="118"/>
        <item x="210"/>
        <item x="205"/>
        <item x="108"/>
        <item x="127"/>
        <item x="308"/>
        <item x="124"/>
        <item x="278"/>
        <item x="173"/>
        <item x="5"/>
        <item x="310"/>
        <item x="244"/>
        <item x="57"/>
        <item x="64"/>
        <item x="21"/>
        <item x="230"/>
        <item x="132"/>
        <item x="66"/>
        <item x="79"/>
        <item x="87"/>
        <item x="20"/>
        <item x="267"/>
        <item x="303"/>
        <item x="90"/>
        <item x="289"/>
        <item x="142"/>
        <item x="42"/>
        <item x="35"/>
        <item x="222"/>
        <item x="268"/>
        <item x="89"/>
        <item x="232"/>
        <item x="123"/>
        <item x="186"/>
        <item x="203"/>
        <item x="234"/>
        <item x="52"/>
        <item x="152"/>
        <item x="180"/>
        <item x="84"/>
        <item x="138"/>
        <item x="228"/>
        <item x="27"/>
        <item x="116"/>
        <item x="134"/>
        <item x="270"/>
        <item x="192"/>
        <item x="287"/>
        <item x="235"/>
        <item x="71"/>
        <item x="273"/>
        <item x="145"/>
        <item x="147"/>
        <item x="3"/>
        <item x="31"/>
        <item x="283"/>
        <item x="264"/>
        <item x="280"/>
        <item x="276"/>
        <item x="185"/>
        <item x="9"/>
        <item x="56"/>
        <item x="297"/>
        <item x="17"/>
        <item x="146"/>
        <item x="240"/>
        <item x="237"/>
        <item x="322"/>
        <item x="67"/>
        <item x="305"/>
        <item x="154"/>
        <item x="269"/>
        <item x="8"/>
        <item x="26"/>
        <item x="254"/>
        <item x="202"/>
        <item x="231"/>
        <item x="332"/>
        <item x="256"/>
        <item x="306"/>
        <item x="70"/>
        <item x="115"/>
        <item x="326"/>
        <item x="28"/>
        <item x="294"/>
        <item x="150"/>
        <item x="315"/>
        <item x="78"/>
        <item x="285"/>
        <item x="39"/>
        <item x="265"/>
        <item x="174"/>
        <item x="191"/>
        <item x="212"/>
        <item x="236"/>
        <item x="149"/>
        <item x="321"/>
        <item x="103"/>
        <item x="131"/>
        <item x="263"/>
        <item x="7"/>
        <item x="117"/>
        <item x="339"/>
        <item x="54"/>
        <item x="69"/>
        <item x="309"/>
        <item x="97"/>
        <item x="238"/>
        <item x="214"/>
        <item x="219"/>
        <item x="196"/>
        <item x="298"/>
        <item x="299"/>
        <item x="250"/>
        <item x="125"/>
        <item x="172"/>
        <item x="325"/>
        <item x="6"/>
        <item x="178"/>
        <item x="148"/>
        <item x="293"/>
        <item x="33"/>
        <item x="255"/>
        <item x="328"/>
        <item x="106"/>
        <item x="243"/>
        <item x="246"/>
        <item x="329"/>
        <item x="216"/>
        <item x="107"/>
        <item x="206"/>
        <item x="199"/>
        <item x="153"/>
        <item x="120"/>
        <item x="272"/>
        <item x="221"/>
        <item x="170"/>
        <item x="94"/>
        <item x="135"/>
        <item x="82"/>
        <item x="12"/>
        <item x="301"/>
        <item x="129"/>
        <item x="175"/>
        <item x="314"/>
        <item x="136"/>
        <item x="128"/>
        <item x="197"/>
        <item x="247"/>
        <item x="204"/>
        <item x="88"/>
        <item x="101"/>
        <item x="211"/>
        <item x="111"/>
        <item x="60"/>
        <item x="277"/>
        <item x="201"/>
        <item x="161"/>
        <item x="38"/>
        <item x="40"/>
        <item x="233"/>
        <item x="318"/>
        <item x="224"/>
        <item x="4"/>
        <item x="49"/>
        <item x="14"/>
        <item x="226"/>
        <item x="164"/>
        <item x="43"/>
        <item x="207"/>
        <item x="227"/>
        <item x="249"/>
        <item x="19"/>
        <item x="333"/>
        <item x="16"/>
        <item x="63"/>
        <item x="215"/>
        <item x="139"/>
        <item x="251"/>
        <item x="169"/>
        <item x="252"/>
        <item x="317"/>
        <item x="37"/>
        <item x="320"/>
        <item x="319"/>
        <item x="34"/>
        <item x="281"/>
        <item x="275"/>
        <item x="327"/>
        <item x="302"/>
        <item x="290"/>
        <item x="209"/>
        <item x="313"/>
        <item x="330"/>
        <item x="323"/>
        <item x="93"/>
        <item x="55"/>
        <item x="130"/>
        <item x="200"/>
        <item x="334"/>
        <item x="81"/>
        <item x="13"/>
        <item x="72"/>
        <item x="80"/>
        <item x="75"/>
        <item x="213"/>
        <item x="171"/>
        <item x="51"/>
        <item x="155"/>
        <item x="188"/>
        <item x="248"/>
        <item x="59"/>
        <item x="41"/>
        <item x="1"/>
        <item x="98"/>
        <item x="48"/>
        <item x="336"/>
        <item x="241"/>
        <item x="156"/>
        <item x="86"/>
        <item x="183"/>
        <item t="default"/>
      </items>
    </pivotField>
    <pivotField showAll="0">
      <items count="13">
        <item x="2"/>
        <item x="9"/>
        <item x="11"/>
        <item x="0"/>
        <item x="5"/>
        <item x="10"/>
        <item x="3"/>
        <item x="7"/>
        <item x="6"/>
        <item x="4"/>
        <item x="8"/>
        <item x="1"/>
        <item t="default"/>
      </items>
    </pivotField>
    <pivotField showAll="0"/>
    <pivotField showAll="0"/>
    <pivotField showAll="0"/>
    <pivotField showAll="0"/>
    <pivotField showAll="0">
      <items count="10">
        <item x="8"/>
        <item x="3"/>
        <item x="6"/>
        <item x="4"/>
        <item x="1"/>
        <item x="0"/>
        <item x="5"/>
        <item x="7"/>
        <item x="2"/>
        <item t="default"/>
      </items>
    </pivotField>
    <pivotField axis="axisRow" showAll="0" sortType="ascending">
      <items count="9">
        <item x="4"/>
        <item x="3"/>
        <item x="2"/>
        <item x="1"/>
        <item x="5"/>
        <item x="0"/>
        <item x="6"/>
        <item x="7"/>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pivotField showAll="0"/>
    <pivotField showAll="0"/>
    <pivotField dataField="1" showAll="0"/>
    <pivotField numFmtId="9"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9">
    <i>
      <x v="4"/>
    </i>
    <i>
      <x/>
    </i>
    <i>
      <x v="6"/>
    </i>
    <i>
      <x v="7"/>
    </i>
    <i>
      <x v="5"/>
    </i>
    <i>
      <x v="3"/>
    </i>
    <i>
      <x v="2"/>
    </i>
    <i>
      <x v="1"/>
    </i>
    <i t="grand">
      <x/>
    </i>
  </rowItems>
  <colItems count="1">
    <i/>
  </colItems>
  <dataFields count="1">
    <dataField name="Sum of Profit "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3B87D7-F5C7-46E6-87DD-0DCC4CE4FAC9}"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3" firstHeaderRow="1" firstDataRow="1" firstDataCol="1"/>
  <pivotFields count="19">
    <pivotField showAll="0"/>
    <pivotField numFmtId="14" showAll="0">
      <items count="341">
        <item x="23"/>
        <item x="151"/>
        <item x="229"/>
        <item x="157"/>
        <item x="286"/>
        <item x="91"/>
        <item x="96"/>
        <item x="25"/>
        <item x="113"/>
        <item x="11"/>
        <item x="2"/>
        <item x="160"/>
        <item x="217"/>
        <item x="53"/>
        <item x="46"/>
        <item x="307"/>
        <item x="194"/>
        <item x="112"/>
        <item x="324"/>
        <item x="119"/>
        <item x="239"/>
        <item x="167"/>
        <item x="258"/>
        <item x="291"/>
        <item x="288"/>
        <item x="122"/>
        <item x="190"/>
        <item x="225"/>
        <item x="300"/>
        <item x="58"/>
        <item x="179"/>
        <item x="105"/>
        <item x="104"/>
        <item x="61"/>
        <item x="18"/>
        <item x="261"/>
        <item x="274"/>
        <item x="137"/>
        <item x="257"/>
        <item x="279"/>
        <item x="110"/>
        <item x="163"/>
        <item x="304"/>
        <item x="195"/>
        <item x="292"/>
        <item x="182"/>
        <item x="338"/>
        <item x="220"/>
        <item x="133"/>
        <item x="259"/>
        <item x="44"/>
        <item x="331"/>
        <item x="260"/>
        <item x="62"/>
        <item x="282"/>
        <item x="95"/>
        <item x="245"/>
        <item x="187"/>
        <item x="337"/>
        <item x="99"/>
        <item x="144"/>
        <item x="77"/>
        <item x="284"/>
        <item x="193"/>
        <item x="30"/>
        <item x="141"/>
        <item x="121"/>
        <item x="335"/>
        <item x="176"/>
        <item x="158"/>
        <item x="126"/>
        <item x="166"/>
        <item x="76"/>
        <item x="271"/>
        <item x="65"/>
        <item x="316"/>
        <item x="24"/>
        <item x="22"/>
        <item x="114"/>
        <item x="312"/>
        <item x="83"/>
        <item x="165"/>
        <item x="184"/>
        <item x="50"/>
        <item x="0"/>
        <item x="198"/>
        <item x="143"/>
        <item x="29"/>
        <item x="159"/>
        <item x="92"/>
        <item x="295"/>
        <item x="162"/>
        <item x="218"/>
        <item x="242"/>
        <item x="10"/>
        <item x="253"/>
        <item x="68"/>
        <item x="85"/>
        <item x="36"/>
        <item x="74"/>
        <item x="32"/>
        <item x="45"/>
        <item x="15"/>
        <item x="100"/>
        <item x="266"/>
        <item x="168"/>
        <item x="208"/>
        <item x="177"/>
        <item x="181"/>
        <item x="262"/>
        <item x="223"/>
        <item x="296"/>
        <item x="189"/>
        <item x="140"/>
        <item x="102"/>
        <item x="109"/>
        <item x="73"/>
        <item x="47"/>
        <item x="311"/>
        <item x="118"/>
        <item x="210"/>
        <item x="205"/>
        <item x="108"/>
        <item x="127"/>
        <item x="308"/>
        <item x="124"/>
        <item x="278"/>
        <item x="173"/>
        <item x="5"/>
        <item x="310"/>
        <item x="244"/>
        <item x="57"/>
        <item x="64"/>
        <item x="21"/>
        <item x="230"/>
        <item x="132"/>
        <item x="66"/>
        <item x="79"/>
        <item x="87"/>
        <item x="20"/>
        <item x="267"/>
        <item x="303"/>
        <item x="90"/>
        <item x="289"/>
        <item x="142"/>
        <item x="42"/>
        <item x="35"/>
        <item x="222"/>
        <item x="268"/>
        <item x="89"/>
        <item x="232"/>
        <item x="123"/>
        <item x="186"/>
        <item x="203"/>
        <item x="234"/>
        <item x="52"/>
        <item x="152"/>
        <item x="180"/>
        <item x="84"/>
        <item x="138"/>
        <item x="228"/>
        <item x="27"/>
        <item x="116"/>
        <item x="134"/>
        <item x="270"/>
        <item x="192"/>
        <item x="287"/>
        <item x="235"/>
        <item x="71"/>
        <item x="273"/>
        <item x="145"/>
        <item x="147"/>
        <item x="3"/>
        <item x="31"/>
        <item x="283"/>
        <item x="264"/>
        <item x="280"/>
        <item x="276"/>
        <item x="185"/>
        <item x="9"/>
        <item x="56"/>
        <item x="297"/>
        <item x="17"/>
        <item x="146"/>
        <item x="240"/>
        <item x="237"/>
        <item x="322"/>
        <item x="67"/>
        <item x="305"/>
        <item x="154"/>
        <item x="269"/>
        <item x="8"/>
        <item x="26"/>
        <item x="254"/>
        <item x="202"/>
        <item x="231"/>
        <item x="332"/>
        <item x="256"/>
        <item x="306"/>
        <item x="70"/>
        <item x="115"/>
        <item x="326"/>
        <item x="28"/>
        <item x="294"/>
        <item x="150"/>
        <item x="315"/>
        <item x="78"/>
        <item x="285"/>
        <item x="39"/>
        <item x="265"/>
        <item x="174"/>
        <item x="191"/>
        <item x="212"/>
        <item x="236"/>
        <item x="149"/>
        <item x="321"/>
        <item x="103"/>
        <item x="131"/>
        <item x="263"/>
        <item x="7"/>
        <item x="117"/>
        <item x="339"/>
        <item x="54"/>
        <item x="69"/>
        <item x="309"/>
        <item x="97"/>
        <item x="238"/>
        <item x="214"/>
        <item x="219"/>
        <item x="196"/>
        <item x="298"/>
        <item x="299"/>
        <item x="250"/>
        <item x="125"/>
        <item x="172"/>
        <item x="325"/>
        <item x="6"/>
        <item x="178"/>
        <item x="148"/>
        <item x="293"/>
        <item x="33"/>
        <item x="255"/>
        <item x="328"/>
        <item x="106"/>
        <item x="243"/>
        <item x="246"/>
        <item x="329"/>
        <item x="216"/>
        <item x="107"/>
        <item x="206"/>
        <item x="199"/>
        <item x="153"/>
        <item x="120"/>
        <item x="272"/>
        <item x="221"/>
        <item x="170"/>
        <item x="94"/>
        <item x="135"/>
        <item x="82"/>
        <item x="12"/>
        <item x="301"/>
        <item x="129"/>
        <item x="175"/>
        <item x="314"/>
        <item x="136"/>
        <item x="128"/>
        <item x="197"/>
        <item x="247"/>
        <item x="204"/>
        <item x="88"/>
        <item x="101"/>
        <item x="211"/>
        <item x="111"/>
        <item x="60"/>
        <item x="277"/>
        <item x="201"/>
        <item x="161"/>
        <item x="38"/>
        <item x="40"/>
        <item x="233"/>
        <item x="318"/>
        <item x="224"/>
        <item x="4"/>
        <item x="49"/>
        <item x="14"/>
        <item x="226"/>
        <item x="164"/>
        <item x="43"/>
        <item x="207"/>
        <item x="227"/>
        <item x="249"/>
        <item x="19"/>
        <item x="333"/>
        <item x="16"/>
        <item x="63"/>
        <item x="215"/>
        <item x="139"/>
        <item x="251"/>
        <item x="169"/>
        <item x="252"/>
        <item x="317"/>
        <item x="37"/>
        <item x="320"/>
        <item x="319"/>
        <item x="34"/>
        <item x="281"/>
        <item x="275"/>
        <item x="327"/>
        <item x="302"/>
        <item x="290"/>
        <item x="209"/>
        <item x="313"/>
        <item x="330"/>
        <item x="323"/>
        <item x="93"/>
        <item x="55"/>
        <item x="130"/>
        <item x="200"/>
        <item x="334"/>
        <item x="81"/>
        <item x="13"/>
        <item x="72"/>
        <item x="80"/>
        <item x="75"/>
        <item x="213"/>
        <item x="171"/>
        <item x="51"/>
        <item x="155"/>
        <item x="188"/>
        <item x="248"/>
        <item x="59"/>
        <item x="41"/>
        <item x="1"/>
        <item x="98"/>
        <item x="48"/>
        <item x="336"/>
        <item x="241"/>
        <item x="156"/>
        <item x="86"/>
        <item x="183"/>
        <item t="default"/>
      </items>
    </pivotField>
    <pivotField showAll="0">
      <items count="13">
        <item x="2"/>
        <item x="9"/>
        <item x="11"/>
        <item x="0"/>
        <item x="5"/>
        <item x="10"/>
        <item x="3"/>
        <item x="7"/>
        <item x="6"/>
        <item x="4"/>
        <item x="8"/>
        <item x="1"/>
        <item t="default"/>
      </items>
    </pivotField>
    <pivotField showAll="0"/>
    <pivotField showAll="0"/>
    <pivotField showAll="0"/>
    <pivotField showAll="0"/>
    <pivotField axis="axisRow" showAll="0" sortType="descending">
      <items count="10">
        <item x="8"/>
        <item x="3"/>
        <item x="6"/>
        <item x="4"/>
        <item x="1"/>
        <item x="0"/>
        <item x="5"/>
        <item x="7"/>
        <item x="2"/>
        <item t="default"/>
      </items>
      <autoSortScope>
        <pivotArea dataOnly="0" outline="0" fieldPosition="0">
          <references count="1">
            <reference field="4294967294" count="1" selected="0">
              <x v="0"/>
            </reference>
          </references>
        </pivotArea>
      </autoSortScope>
    </pivotField>
    <pivotField showAll="0">
      <items count="9">
        <item x="4"/>
        <item x="3"/>
        <item x="2"/>
        <item x="1"/>
        <item x="5"/>
        <item x="0"/>
        <item x="6"/>
        <item x="7"/>
        <item t="default"/>
      </items>
    </pivotField>
    <pivotField showAll="0">
      <items count="3">
        <item x="1"/>
        <item x="0"/>
        <item t="default"/>
      </items>
    </pivotField>
    <pivotField showAll="0"/>
    <pivotField showAll="0"/>
    <pivotField dataField="1" showAll="0"/>
    <pivotField showAll="0"/>
    <pivotField showAll="0"/>
    <pivotField numFmtId="9"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10">
    <i>
      <x v="4"/>
    </i>
    <i>
      <x v="5"/>
    </i>
    <i>
      <x v="1"/>
    </i>
    <i>
      <x v="6"/>
    </i>
    <i>
      <x v="2"/>
    </i>
    <i>
      <x/>
    </i>
    <i>
      <x v="8"/>
    </i>
    <i>
      <x v="3"/>
    </i>
    <i>
      <x v="7"/>
    </i>
    <i t="grand">
      <x/>
    </i>
  </rowItems>
  <colItems count="1">
    <i/>
  </colItems>
  <dataFields count="1">
    <dataField name="Sum of Gross Sales" fld="12"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6D1E31-3BA8-4070-996A-E23A42FCD60C}"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19">
    <pivotField showAll="0"/>
    <pivotField numFmtId="14" showAll="0">
      <items count="341">
        <item x="23"/>
        <item x="151"/>
        <item x="229"/>
        <item x="157"/>
        <item x="286"/>
        <item x="91"/>
        <item x="96"/>
        <item x="25"/>
        <item x="113"/>
        <item x="11"/>
        <item x="2"/>
        <item x="160"/>
        <item x="217"/>
        <item x="53"/>
        <item x="46"/>
        <item x="307"/>
        <item x="194"/>
        <item x="112"/>
        <item x="324"/>
        <item x="119"/>
        <item x="239"/>
        <item x="167"/>
        <item x="258"/>
        <item x="291"/>
        <item x="288"/>
        <item x="122"/>
        <item x="190"/>
        <item x="225"/>
        <item x="300"/>
        <item x="58"/>
        <item x="179"/>
        <item x="105"/>
        <item x="104"/>
        <item x="61"/>
        <item x="18"/>
        <item x="261"/>
        <item x="274"/>
        <item x="137"/>
        <item x="257"/>
        <item x="279"/>
        <item x="110"/>
        <item x="163"/>
        <item x="304"/>
        <item x="195"/>
        <item x="292"/>
        <item x="182"/>
        <item x="338"/>
        <item x="220"/>
        <item x="133"/>
        <item x="259"/>
        <item x="44"/>
        <item x="331"/>
        <item x="260"/>
        <item x="62"/>
        <item x="282"/>
        <item x="95"/>
        <item x="245"/>
        <item x="187"/>
        <item x="337"/>
        <item x="99"/>
        <item x="144"/>
        <item x="77"/>
        <item x="284"/>
        <item x="193"/>
        <item x="30"/>
        <item x="141"/>
        <item x="121"/>
        <item x="335"/>
        <item x="176"/>
        <item x="158"/>
        <item x="126"/>
        <item x="166"/>
        <item x="76"/>
        <item x="271"/>
        <item x="65"/>
        <item x="316"/>
        <item x="24"/>
        <item x="22"/>
        <item x="114"/>
        <item x="312"/>
        <item x="83"/>
        <item x="165"/>
        <item x="184"/>
        <item x="50"/>
        <item x="0"/>
        <item x="198"/>
        <item x="143"/>
        <item x="29"/>
        <item x="159"/>
        <item x="92"/>
        <item x="295"/>
        <item x="162"/>
        <item x="218"/>
        <item x="242"/>
        <item x="10"/>
        <item x="253"/>
        <item x="68"/>
        <item x="85"/>
        <item x="36"/>
        <item x="74"/>
        <item x="32"/>
        <item x="45"/>
        <item x="15"/>
        <item x="100"/>
        <item x="266"/>
        <item x="168"/>
        <item x="208"/>
        <item x="177"/>
        <item x="181"/>
        <item x="262"/>
        <item x="223"/>
        <item x="296"/>
        <item x="189"/>
        <item x="140"/>
        <item x="102"/>
        <item x="109"/>
        <item x="73"/>
        <item x="47"/>
        <item x="311"/>
        <item x="118"/>
        <item x="210"/>
        <item x="205"/>
        <item x="108"/>
        <item x="127"/>
        <item x="308"/>
        <item x="124"/>
        <item x="278"/>
        <item x="173"/>
        <item x="5"/>
        <item x="310"/>
        <item x="244"/>
        <item x="57"/>
        <item x="64"/>
        <item x="21"/>
        <item x="230"/>
        <item x="132"/>
        <item x="66"/>
        <item x="79"/>
        <item x="87"/>
        <item x="20"/>
        <item x="267"/>
        <item x="303"/>
        <item x="90"/>
        <item x="289"/>
        <item x="142"/>
        <item x="42"/>
        <item x="35"/>
        <item x="222"/>
        <item x="268"/>
        <item x="89"/>
        <item x="232"/>
        <item x="123"/>
        <item x="186"/>
        <item x="203"/>
        <item x="234"/>
        <item x="52"/>
        <item x="152"/>
        <item x="180"/>
        <item x="84"/>
        <item x="138"/>
        <item x="228"/>
        <item x="27"/>
        <item x="116"/>
        <item x="134"/>
        <item x="270"/>
        <item x="192"/>
        <item x="287"/>
        <item x="235"/>
        <item x="71"/>
        <item x="273"/>
        <item x="145"/>
        <item x="147"/>
        <item x="3"/>
        <item x="31"/>
        <item x="283"/>
        <item x="264"/>
        <item x="280"/>
        <item x="276"/>
        <item x="185"/>
        <item x="9"/>
        <item x="56"/>
        <item x="297"/>
        <item x="17"/>
        <item x="146"/>
        <item x="240"/>
        <item x="237"/>
        <item x="322"/>
        <item x="67"/>
        <item x="305"/>
        <item x="154"/>
        <item x="269"/>
        <item x="8"/>
        <item x="26"/>
        <item x="254"/>
        <item x="202"/>
        <item x="231"/>
        <item x="332"/>
        <item x="256"/>
        <item x="306"/>
        <item x="70"/>
        <item x="115"/>
        <item x="326"/>
        <item x="28"/>
        <item x="294"/>
        <item x="150"/>
        <item x="315"/>
        <item x="78"/>
        <item x="285"/>
        <item x="39"/>
        <item x="265"/>
        <item x="174"/>
        <item x="191"/>
        <item x="212"/>
        <item x="236"/>
        <item x="149"/>
        <item x="321"/>
        <item x="103"/>
        <item x="131"/>
        <item x="263"/>
        <item x="7"/>
        <item x="117"/>
        <item x="339"/>
        <item x="54"/>
        <item x="69"/>
        <item x="309"/>
        <item x="97"/>
        <item x="238"/>
        <item x="214"/>
        <item x="219"/>
        <item x="196"/>
        <item x="298"/>
        <item x="299"/>
        <item x="250"/>
        <item x="125"/>
        <item x="172"/>
        <item x="325"/>
        <item x="6"/>
        <item x="178"/>
        <item x="148"/>
        <item x="293"/>
        <item x="33"/>
        <item x="255"/>
        <item x="328"/>
        <item x="106"/>
        <item x="243"/>
        <item x="246"/>
        <item x="329"/>
        <item x="216"/>
        <item x="107"/>
        <item x="206"/>
        <item x="199"/>
        <item x="153"/>
        <item x="120"/>
        <item x="272"/>
        <item x="221"/>
        <item x="170"/>
        <item x="94"/>
        <item x="135"/>
        <item x="82"/>
        <item x="12"/>
        <item x="301"/>
        <item x="129"/>
        <item x="175"/>
        <item x="314"/>
        <item x="136"/>
        <item x="128"/>
        <item x="197"/>
        <item x="247"/>
        <item x="204"/>
        <item x="88"/>
        <item x="101"/>
        <item x="211"/>
        <item x="111"/>
        <item x="60"/>
        <item x="277"/>
        <item x="201"/>
        <item x="161"/>
        <item x="38"/>
        <item x="40"/>
        <item x="233"/>
        <item x="318"/>
        <item x="224"/>
        <item x="4"/>
        <item x="49"/>
        <item x="14"/>
        <item x="226"/>
        <item x="164"/>
        <item x="43"/>
        <item x="207"/>
        <item x="227"/>
        <item x="249"/>
        <item x="19"/>
        <item x="333"/>
        <item x="16"/>
        <item x="63"/>
        <item x="215"/>
        <item x="139"/>
        <item x="251"/>
        <item x="169"/>
        <item x="252"/>
        <item x="317"/>
        <item x="37"/>
        <item x="320"/>
        <item x="319"/>
        <item x="34"/>
        <item x="281"/>
        <item x="275"/>
        <item x="327"/>
        <item x="302"/>
        <item x="290"/>
        <item x="209"/>
        <item x="313"/>
        <item x="330"/>
        <item x="323"/>
        <item x="93"/>
        <item x="55"/>
        <item x="130"/>
        <item x="200"/>
        <item x="334"/>
        <item x="81"/>
        <item x="13"/>
        <item x="72"/>
        <item x="80"/>
        <item x="75"/>
        <item x="213"/>
        <item x="171"/>
        <item x="51"/>
        <item x="155"/>
        <item x="188"/>
        <item x="248"/>
        <item x="59"/>
        <item x="41"/>
        <item x="1"/>
        <item x="98"/>
        <item x="48"/>
        <item x="336"/>
        <item x="241"/>
        <item x="156"/>
        <item x="86"/>
        <item x="183"/>
        <item t="default"/>
      </items>
    </pivotField>
    <pivotField axis="axisRow" showAll="0">
      <items count="13">
        <item x="2"/>
        <item x="9"/>
        <item x="11"/>
        <item x="0"/>
        <item x="5"/>
        <item x="10"/>
        <item x="3"/>
        <item x="7"/>
        <item x="6"/>
        <item x="4"/>
        <item x="8"/>
        <item x="1"/>
        <item t="default"/>
      </items>
    </pivotField>
    <pivotField showAll="0"/>
    <pivotField showAll="0"/>
    <pivotField showAll="0"/>
    <pivotField showAll="0"/>
    <pivotField showAll="0">
      <items count="10">
        <item x="8"/>
        <item x="3"/>
        <item x="6"/>
        <item x="4"/>
        <item x="1"/>
        <item x="0"/>
        <item x="5"/>
        <item x="7"/>
        <item x="2"/>
        <item t="default"/>
      </items>
    </pivotField>
    <pivotField showAll="0">
      <items count="9">
        <item x="4"/>
        <item x="3"/>
        <item x="2"/>
        <item x="1"/>
        <item x="5"/>
        <item x="0"/>
        <item x="6"/>
        <item x="7"/>
        <item t="default"/>
      </items>
    </pivotField>
    <pivotField showAll="0">
      <items count="3">
        <item x="1"/>
        <item x="0"/>
        <item t="default"/>
      </items>
    </pivotField>
    <pivotField showAll="0"/>
    <pivotField showAll="0"/>
    <pivotField dataField="1" showAll="0"/>
    <pivotField showAll="0"/>
    <pivotField showAll="0"/>
    <pivotField numFmtId="9"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8"/>
    <field x="17"/>
    <field x="2"/>
  </rowFields>
  <rowItems count="13">
    <i>
      <x v="1"/>
    </i>
    <i>
      <x v="2"/>
    </i>
    <i>
      <x v="3"/>
    </i>
    <i>
      <x v="4"/>
    </i>
    <i>
      <x v="5"/>
    </i>
    <i>
      <x v="6"/>
    </i>
    <i>
      <x v="7"/>
    </i>
    <i>
      <x v="8"/>
    </i>
    <i>
      <x v="9"/>
    </i>
    <i>
      <x v="10"/>
    </i>
    <i>
      <x v="11"/>
    </i>
    <i>
      <x v="12"/>
    </i>
    <i t="grand">
      <x/>
    </i>
  </rowItems>
  <colItems count="1">
    <i/>
  </colItems>
  <dataFields count="1">
    <dataField name="Sum of Gross Sales" fld="12"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1E4958-F42C-426D-A5A4-816223166C20}"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19">
    <pivotField showAll="0"/>
    <pivotField numFmtId="14" showAll="0">
      <items count="341">
        <item x="23"/>
        <item x="151"/>
        <item x="229"/>
        <item x="157"/>
        <item x="286"/>
        <item x="91"/>
        <item x="96"/>
        <item x="25"/>
        <item x="113"/>
        <item x="11"/>
        <item x="2"/>
        <item x="160"/>
        <item x="217"/>
        <item x="53"/>
        <item x="46"/>
        <item x="307"/>
        <item x="194"/>
        <item x="112"/>
        <item x="324"/>
        <item x="119"/>
        <item x="239"/>
        <item x="167"/>
        <item x="258"/>
        <item x="291"/>
        <item x="288"/>
        <item x="122"/>
        <item x="190"/>
        <item x="225"/>
        <item x="300"/>
        <item x="58"/>
        <item x="179"/>
        <item x="105"/>
        <item x="104"/>
        <item x="61"/>
        <item x="18"/>
        <item x="261"/>
        <item x="274"/>
        <item x="137"/>
        <item x="257"/>
        <item x="279"/>
        <item x="110"/>
        <item x="163"/>
        <item x="304"/>
        <item x="195"/>
        <item x="292"/>
        <item x="182"/>
        <item x="338"/>
        <item x="220"/>
        <item x="133"/>
        <item x="259"/>
        <item x="44"/>
        <item x="331"/>
        <item x="260"/>
        <item x="62"/>
        <item x="282"/>
        <item x="95"/>
        <item x="245"/>
        <item x="187"/>
        <item x="337"/>
        <item x="99"/>
        <item x="144"/>
        <item x="77"/>
        <item x="284"/>
        <item x="193"/>
        <item x="30"/>
        <item x="141"/>
        <item x="121"/>
        <item x="335"/>
        <item x="176"/>
        <item x="158"/>
        <item x="126"/>
        <item x="166"/>
        <item x="76"/>
        <item x="271"/>
        <item x="65"/>
        <item x="316"/>
        <item x="24"/>
        <item x="22"/>
        <item x="114"/>
        <item x="312"/>
        <item x="83"/>
        <item x="165"/>
        <item x="184"/>
        <item x="50"/>
        <item x="0"/>
        <item x="198"/>
        <item x="143"/>
        <item x="29"/>
        <item x="159"/>
        <item x="92"/>
        <item x="295"/>
        <item x="162"/>
        <item x="218"/>
        <item x="242"/>
        <item x="10"/>
        <item x="253"/>
        <item x="68"/>
        <item x="85"/>
        <item x="36"/>
        <item x="74"/>
        <item x="32"/>
        <item x="45"/>
        <item x="15"/>
        <item x="100"/>
        <item x="266"/>
        <item x="168"/>
        <item x="208"/>
        <item x="177"/>
        <item x="181"/>
        <item x="262"/>
        <item x="223"/>
        <item x="296"/>
        <item x="189"/>
        <item x="140"/>
        <item x="102"/>
        <item x="109"/>
        <item x="73"/>
        <item x="47"/>
        <item x="311"/>
        <item x="118"/>
        <item x="210"/>
        <item x="205"/>
        <item x="108"/>
        <item x="127"/>
        <item x="308"/>
        <item x="124"/>
        <item x="278"/>
        <item x="173"/>
        <item x="5"/>
        <item x="310"/>
        <item x="244"/>
        <item x="57"/>
        <item x="64"/>
        <item x="21"/>
        <item x="230"/>
        <item x="132"/>
        <item x="66"/>
        <item x="79"/>
        <item x="87"/>
        <item x="20"/>
        <item x="267"/>
        <item x="303"/>
        <item x="90"/>
        <item x="289"/>
        <item x="142"/>
        <item x="42"/>
        <item x="35"/>
        <item x="222"/>
        <item x="268"/>
        <item x="89"/>
        <item x="232"/>
        <item x="123"/>
        <item x="186"/>
        <item x="203"/>
        <item x="234"/>
        <item x="52"/>
        <item x="152"/>
        <item x="180"/>
        <item x="84"/>
        <item x="138"/>
        <item x="228"/>
        <item x="27"/>
        <item x="116"/>
        <item x="134"/>
        <item x="270"/>
        <item x="192"/>
        <item x="287"/>
        <item x="235"/>
        <item x="71"/>
        <item x="273"/>
        <item x="145"/>
        <item x="147"/>
        <item x="3"/>
        <item x="31"/>
        <item x="283"/>
        <item x="264"/>
        <item x="280"/>
        <item x="276"/>
        <item x="185"/>
        <item x="9"/>
        <item x="56"/>
        <item x="297"/>
        <item x="17"/>
        <item x="146"/>
        <item x="240"/>
        <item x="237"/>
        <item x="322"/>
        <item x="67"/>
        <item x="305"/>
        <item x="154"/>
        <item x="269"/>
        <item x="8"/>
        <item x="26"/>
        <item x="254"/>
        <item x="202"/>
        <item x="231"/>
        <item x="332"/>
        <item x="256"/>
        <item x="306"/>
        <item x="70"/>
        <item x="115"/>
        <item x="326"/>
        <item x="28"/>
        <item x="294"/>
        <item x="150"/>
        <item x="315"/>
        <item x="78"/>
        <item x="285"/>
        <item x="39"/>
        <item x="265"/>
        <item x="174"/>
        <item x="191"/>
        <item x="212"/>
        <item x="236"/>
        <item x="149"/>
        <item x="321"/>
        <item x="103"/>
        <item x="131"/>
        <item x="263"/>
        <item x="7"/>
        <item x="117"/>
        <item x="339"/>
        <item x="54"/>
        <item x="69"/>
        <item x="309"/>
        <item x="97"/>
        <item x="238"/>
        <item x="214"/>
        <item x="219"/>
        <item x="196"/>
        <item x="298"/>
        <item x="299"/>
        <item x="250"/>
        <item x="125"/>
        <item x="172"/>
        <item x="325"/>
        <item x="6"/>
        <item x="178"/>
        <item x="148"/>
        <item x="293"/>
        <item x="33"/>
        <item x="255"/>
        <item x="328"/>
        <item x="106"/>
        <item x="243"/>
        <item x="246"/>
        <item x="329"/>
        <item x="216"/>
        <item x="107"/>
        <item x="206"/>
        <item x="199"/>
        <item x="153"/>
        <item x="120"/>
        <item x="272"/>
        <item x="221"/>
        <item x="170"/>
        <item x="94"/>
        <item x="135"/>
        <item x="82"/>
        <item x="12"/>
        <item x="301"/>
        <item x="129"/>
        <item x="175"/>
        <item x="314"/>
        <item x="136"/>
        <item x="128"/>
        <item x="197"/>
        <item x="247"/>
        <item x="204"/>
        <item x="88"/>
        <item x="101"/>
        <item x="211"/>
        <item x="111"/>
        <item x="60"/>
        <item x="277"/>
        <item x="201"/>
        <item x="161"/>
        <item x="38"/>
        <item x="40"/>
        <item x="233"/>
        <item x="318"/>
        <item x="224"/>
        <item x="4"/>
        <item x="49"/>
        <item x="14"/>
        <item x="226"/>
        <item x="164"/>
        <item x="43"/>
        <item x="207"/>
        <item x="227"/>
        <item x="249"/>
        <item x="19"/>
        <item x="333"/>
        <item x="16"/>
        <item x="63"/>
        <item x="215"/>
        <item x="139"/>
        <item x="251"/>
        <item x="169"/>
        <item x="252"/>
        <item x="317"/>
        <item x="37"/>
        <item x="320"/>
        <item x="319"/>
        <item x="34"/>
        <item x="281"/>
        <item x="275"/>
        <item x="327"/>
        <item x="302"/>
        <item x="290"/>
        <item x="209"/>
        <item x="313"/>
        <item x="330"/>
        <item x="323"/>
        <item x="93"/>
        <item x="55"/>
        <item x="130"/>
        <item x="200"/>
        <item x="334"/>
        <item x="81"/>
        <item x="13"/>
        <item x="72"/>
        <item x="80"/>
        <item x="75"/>
        <item x="213"/>
        <item x="171"/>
        <item x="51"/>
        <item x="155"/>
        <item x="188"/>
        <item x="248"/>
        <item x="59"/>
        <item x="41"/>
        <item x="1"/>
        <item x="98"/>
        <item x="48"/>
        <item x="336"/>
        <item x="241"/>
        <item x="156"/>
        <item x="86"/>
        <item x="183"/>
        <item t="default"/>
      </items>
    </pivotField>
    <pivotField axis="axisRow" showAll="0">
      <items count="13">
        <item x="2"/>
        <item x="9"/>
        <item x="11"/>
        <item x="0"/>
        <item x="5"/>
        <item x="10"/>
        <item x="3"/>
        <item x="7"/>
        <item x="6"/>
        <item x="4"/>
        <item x="8"/>
        <item x="1"/>
        <item t="default"/>
      </items>
    </pivotField>
    <pivotField showAll="0"/>
    <pivotField showAll="0"/>
    <pivotField showAll="0"/>
    <pivotField showAll="0"/>
    <pivotField showAll="0">
      <items count="10">
        <item x="8"/>
        <item x="3"/>
        <item x="6"/>
        <item x="4"/>
        <item x="1"/>
        <item x="0"/>
        <item x="5"/>
        <item x="7"/>
        <item x="2"/>
        <item t="default"/>
      </items>
    </pivotField>
    <pivotField showAll="0">
      <items count="9">
        <item x="4"/>
        <item x="3"/>
        <item x="2"/>
        <item x="1"/>
        <item x="5"/>
        <item x="0"/>
        <item x="6"/>
        <item x="7"/>
        <item t="default"/>
      </items>
    </pivotField>
    <pivotField showAll="0">
      <items count="3">
        <item x="1"/>
        <item x="0"/>
        <item t="default"/>
      </items>
    </pivotField>
    <pivotField showAll="0"/>
    <pivotField showAll="0"/>
    <pivotField showAll="0"/>
    <pivotField showAll="0"/>
    <pivotField dataField="1" showAll="0"/>
    <pivotField numFmtId="9"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18"/>
    <field x="17"/>
    <field x="2"/>
  </rowFields>
  <rowItems count="13">
    <i>
      <x v="1"/>
    </i>
    <i>
      <x v="2"/>
    </i>
    <i>
      <x v="3"/>
    </i>
    <i>
      <x v="4"/>
    </i>
    <i>
      <x v="5"/>
    </i>
    <i>
      <x v="6"/>
    </i>
    <i>
      <x v="7"/>
    </i>
    <i>
      <x v="8"/>
    </i>
    <i>
      <x v="9"/>
    </i>
    <i>
      <x v="10"/>
    </i>
    <i>
      <x v="11"/>
    </i>
    <i>
      <x v="12"/>
    </i>
    <i t="grand">
      <x/>
    </i>
  </rowItems>
  <colItems count="1">
    <i/>
  </colItems>
  <dataFields count="1">
    <dataField name="Sum of Profit " fld="14"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F6DA96-B38A-43ED-BE44-56441CCCE732}"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19">
    <pivotField showAll="0"/>
    <pivotField numFmtId="14" showAll="0">
      <items count="341">
        <item x="23"/>
        <item x="151"/>
        <item x="229"/>
        <item x="157"/>
        <item x="286"/>
        <item x="91"/>
        <item x="96"/>
        <item x="25"/>
        <item x="113"/>
        <item x="11"/>
        <item x="2"/>
        <item x="160"/>
        <item x="217"/>
        <item x="53"/>
        <item x="46"/>
        <item x="307"/>
        <item x="194"/>
        <item x="112"/>
        <item x="324"/>
        <item x="119"/>
        <item x="239"/>
        <item x="167"/>
        <item x="258"/>
        <item x="291"/>
        <item x="288"/>
        <item x="122"/>
        <item x="190"/>
        <item x="225"/>
        <item x="300"/>
        <item x="58"/>
        <item x="179"/>
        <item x="105"/>
        <item x="104"/>
        <item x="61"/>
        <item x="18"/>
        <item x="261"/>
        <item x="274"/>
        <item x="137"/>
        <item x="257"/>
        <item x="279"/>
        <item x="110"/>
        <item x="163"/>
        <item x="304"/>
        <item x="195"/>
        <item x="292"/>
        <item x="182"/>
        <item x="338"/>
        <item x="220"/>
        <item x="133"/>
        <item x="259"/>
        <item x="44"/>
        <item x="331"/>
        <item x="260"/>
        <item x="62"/>
        <item x="282"/>
        <item x="95"/>
        <item x="245"/>
        <item x="187"/>
        <item x="337"/>
        <item x="99"/>
        <item x="144"/>
        <item x="77"/>
        <item x="284"/>
        <item x="193"/>
        <item x="30"/>
        <item x="141"/>
        <item x="121"/>
        <item x="335"/>
        <item x="176"/>
        <item x="158"/>
        <item x="126"/>
        <item x="166"/>
        <item x="76"/>
        <item x="271"/>
        <item x="65"/>
        <item x="316"/>
        <item x="24"/>
        <item x="22"/>
        <item x="114"/>
        <item x="312"/>
        <item x="83"/>
        <item x="165"/>
        <item x="184"/>
        <item x="50"/>
        <item x="0"/>
        <item x="198"/>
        <item x="143"/>
        <item x="29"/>
        <item x="159"/>
        <item x="92"/>
        <item x="295"/>
        <item x="162"/>
        <item x="218"/>
        <item x="242"/>
        <item x="10"/>
        <item x="253"/>
        <item x="68"/>
        <item x="85"/>
        <item x="36"/>
        <item x="74"/>
        <item x="32"/>
        <item x="45"/>
        <item x="15"/>
        <item x="100"/>
        <item x="266"/>
        <item x="168"/>
        <item x="208"/>
        <item x="177"/>
        <item x="181"/>
        <item x="262"/>
        <item x="223"/>
        <item x="296"/>
        <item x="189"/>
        <item x="140"/>
        <item x="102"/>
        <item x="109"/>
        <item x="73"/>
        <item x="47"/>
        <item x="311"/>
        <item x="118"/>
        <item x="210"/>
        <item x="205"/>
        <item x="108"/>
        <item x="127"/>
        <item x="308"/>
        <item x="124"/>
        <item x="278"/>
        <item x="173"/>
        <item x="5"/>
        <item x="310"/>
        <item x="244"/>
        <item x="57"/>
        <item x="64"/>
        <item x="21"/>
        <item x="230"/>
        <item x="132"/>
        <item x="66"/>
        <item x="79"/>
        <item x="87"/>
        <item x="20"/>
        <item x="267"/>
        <item x="303"/>
        <item x="90"/>
        <item x="289"/>
        <item x="142"/>
        <item x="42"/>
        <item x="35"/>
        <item x="222"/>
        <item x="268"/>
        <item x="89"/>
        <item x="232"/>
        <item x="123"/>
        <item x="186"/>
        <item x="203"/>
        <item x="234"/>
        <item x="52"/>
        <item x="152"/>
        <item x="180"/>
        <item x="84"/>
        <item x="138"/>
        <item x="228"/>
        <item x="27"/>
        <item x="116"/>
        <item x="134"/>
        <item x="270"/>
        <item x="192"/>
        <item x="287"/>
        <item x="235"/>
        <item x="71"/>
        <item x="273"/>
        <item x="145"/>
        <item x="147"/>
        <item x="3"/>
        <item x="31"/>
        <item x="283"/>
        <item x="264"/>
        <item x="280"/>
        <item x="276"/>
        <item x="185"/>
        <item x="9"/>
        <item x="56"/>
        <item x="297"/>
        <item x="17"/>
        <item x="146"/>
        <item x="240"/>
        <item x="237"/>
        <item x="322"/>
        <item x="67"/>
        <item x="305"/>
        <item x="154"/>
        <item x="269"/>
        <item x="8"/>
        <item x="26"/>
        <item x="254"/>
        <item x="202"/>
        <item x="231"/>
        <item x="332"/>
        <item x="256"/>
        <item x="306"/>
        <item x="70"/>
        <item x="115"/>
        <item x="326"/>
        <item x="28"/>
        <item x="294"/>
        <item x="150"/>
        <item x="315"/>
        <item x="78"/>
        <item x="285"/>
        <item x="39"/>
        <item x="265"/>
        <item x="174"/>
        <item x="191"/>
        <item x="212"/>
        <item x="236"/>
        <item x="149"/>
        <item x="321"/>
        <item x="103"/>
        <item x="131"/>
        <item x="263"/>
        <item x="7"/>
        <item x="117"/>
        <item x="339"/>
        <item x="54"/>
        <item x="69"/>
        <item x="309"/>
        <item x="97"/>
        <item x="238"/>
        <item x="214"/>
        <item x="219"/>
        <item x="196"/>
        <item x="298"/>
        <item x="299"/>
        <item x="250"/>
        <item x="125"/>
        <item x="172"/>
        <item x="325"/>
        <item x="6"/>
        <item x="178"/>
        <item x="148"/>
        <item x="293"/>
        <item x="33"/>
        <item x="255"/>
        <item x="328"/>
        <item x="106"/>
        <item x="243"/>
        <item x="246"/>
        <item x="329"/>
        <item x="216"/>
        <item x="107"/>
        <item x="206"/>
        <item x="199"/>
        <item x="153"/>
        <item x="120"/>
        <item x="272"/>
        <item x="221"/>
        <item x="170"/>
        <item x="94"/>
        <item x="135"/>
        <item x="82"/>
        <item x="12"/>
        <item x="301"/>
        <item x="129"/>
        <item x="175"/>
        <item x="314"/>
        <item x="136"/>
        <item x="128"/>
        <item x="197"/>
        <item x="247"/>
        <item x="204"/>
        <item x="88"/>
        <item x="101"/>
        <item x="211"/>
        <item x="111"/>
        <item x="60"/>
        <item x="277"/>
        <item x="201"/>
        <item x="161"/>
        <item x="38"/>
        <item x="40"/>
        <item x="233"/>
        <item x="318"/>
        <item x="224"/>
        <item x="4"/>
        <item x="49"/>
        <item x="14"/>
        <item x="226"/>
        <item x="164"/>
        <item x="43"/>
        <item x="207"/>
        <item x="227"/>
        <item x="249"/>
        <item x="19"/>
        <item x="333"/>
        <item x="16"/>
        <item x="63"/>
        <item x="215"/>
        <item x="139"/>
        <item x="251"/>
        <item x="169"/>
        <item x="252"/>
        <item x="317"/>
        <item x="37"/>
        <item x="320"/>
        <item x="319"/>
        <item x="34"/>
        <item x="281"/>
        <item x="275"/>
        <item x="327"/>
        <item x="302"/>
        <item x="290"/>
        <item x="209"/>
        <item x="313"/>
        <item x="330"/>
        <item x="323"/>
        <item x="93"/>
        <item x="55"/>
        <item x="130"/>
        <item x="200"/>
        <item x="334"/>
        <item x="81"/>
        <item x="13"/>
        <item x="72"/>
        <item x="80"/>
        <item x="75"/>
        <item x="213"/>
        <item x="171"/>
        <item x="51"/>
        <item x="155"/>
        <item x="188"/>
        <item x="248"/>
        <item x="59"/>
        <item x="41"/>
        <item x="1"/>
        <item x="98"/>
        <item x="48"/>
        <item x="336"/>
        <item x="241"/>
        <item x="156"/>
        <item x="86"/>
        <item x="183"/>
        <item t="default"/>
      </items>
    </pivotField>
    <pivotField showAll="0">
      <items count="13">
        <item x="2"/>
        <item x="9"/>
        <item x="11"/>
        <item x="0"/>
        <item x="5"/>
        <item x="10"/>
        <item x="3"/>
        <item x="7"/>
        <item x="6"/>
        <item x="4"/>
        <item x="8"/>
        <item x="1"/>
        <item t="default"/>
      </items>
    </pivotField>
    <pivotField showAll="0"/>
    <pivotField showAll="0"/>
    <pivotField showAll="0"/>
    <pivotField axis="axisRow" showAll="0" measureFilter="1" sortType="descending">
      <items count="14">
        <item x="10"/>
        <item x="9"/>
        <item x="4"/>
        <item x="7"/>
        <item x="1"/>
        <item x="12"/>
        <item x="3"/>
        <item x="8"/>
        <item x="5"/>
        <item x="2"/>
        <item x="0"/>
        <item x="11"/>
        <item x="6"/>
        <item t="default"/>
      </items>
      <autoSortScope>
        <pivotArea dataOnly="0" outline="0" fieldPosition="0">
          <references count="1">
            <reference field="4294967294" count="1" selected="0">
              <x v="0"/>
            </reference>
          </references>
        </pivotArea>
      </autoSortScope>
    </pivotField>
    <pivotField showAll="0">
      <items count="10">
        <item x="8"/>
        <item x="3"/>
        <item x="6"/>
        <item x="4"/>
        <item x="1"/>
        <item x="0"/>
        <item x="5"/>
        <item x="7"/>
        <item x="2"/>
        <item t="default"/>
      </items>
    </pivotField>
    <pivotField showAll="0">
      <items count="9">
        <item x="4"/>
        <item x="3"/>
        <item x="2"/>
        <item x="1"/>
        <item x="5"/>
        <item x="0"/>
        <item x="6"/>
        <item x="7"/>
        <item t="default"/>
      </items>
    </pivotField>
    <pivotField showAll="0">
      <items count="3">
        <item x="1"/>
        <item x="0"/>
        <item t="default"/>
      </items>
    </pivotField>
    <pivotField showAll="0"/>
    <pivotField showAll="0"/>
    <pivotField dataField="1" showAll="0"/>
    <pivotField showAll="0"/>
    <pivotField showAll="0"/>
    <pivotField numFmtId="9"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11">
    <i>
      <x v="10"/>
    </i>
    <i>
      <x v="11"/>
    </i>
    <i>
      <x v="4"/>
    </i>
    <i>
      <x v="2"/>
    </i>
    <i>
      <x v="9"/>
    </i>
    <i>
      <x/>
    </i>
    <i>
      <x v="12"/>
    </i>
    <i>
      <x v="5"/>
    </i>
    <i>
      <x v="1"/>
    </i>
    <i>
      <x v="7"/>
    </i>
    <i t="grand">
      <x/>
    </i>
  </rowItems>
  <colItems count="1">
    <i/>
  </colItems>
  <dataFields count="1">
    <dataField name="Sum of Gross Sales" fld="12"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ABDB4D-4685-4B26-9010-4EE43C03C3E1}"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6" firstHeaderRow="1" firstDataRow="1" firstDataCol="1"/>
  <pivotFields count="19">
    <pivotField showAll="0"/>
    <pivotField numFmtId="14" showAll="0">
      <items count="341">
        <item x="23"/>
        <item x="151"/>
        <item x="229"/>
        <item x="157"/>
        <item x="286"/>
        <item x="91"/>
        <item x="96"/>
        <item x="25"/>
        <item x="113"/>
        <item x="11"/>
        <item x="2"/>
        <item x="160"/>
        <item x="217"/>
        <item x="53"/>
        <item x="46"/>
        <item x="307"/>
        <item x="194"/>
        <item x="112"/>
        <item x="324"/>
        <item x="119"/>
        <item x="239"/>
        <item x="167"/>
        <item x="258"/>
        <item x="291"/>
        <item x="288"/>
        <item x="122"/>
        <item x="190"/>
        <item x="225"/>
        <item x="300"/>
        <item x="58"/>
        <item x="179"/>
        <item x="105"/>
        <item x="104"/>
        <item x="61"/>
        <item x="18"/>
        <item x="261"/>
        <item x="274"/>
        <item x="137"/>
        <item x="257"/>
        <item x="279"/>
        <item x="110"/>
        <item x="163"/>
        <item x="304"/>
        <item x="195"/>
        <item x="292"/>
        <item x="182"/>
        <item x="338"/>
        <item x="220"/>
        <item x="133"/>
        <item x="259"/>
        <item x="44"/>
        <item x="331"/>
        <item x="260"/>
        <item x="62"/>
        <item x="282"/>
        <item x="95"/>
        <item x="245"/>
        <item x="187"/>
        <item x="337"/>
        <item x="99"/>
        <item x="144"/>
        <item x="77"/>
        <item x="284"/>
        <item x="193"/>
        <item x="30"/>
        <item x="141"/>
        <item x="121"/>
        <item x="335"/>
        <item x="176"/>
        <item x="158"/>
        <item x="126"/>
        <item x="166"/>
        <item x="76"/>
        <item x="271"/>
        <item x="65"/>
        <item x="316"/>
        <item x="24"/>
        <item x="22"/>
        <item x="114"/>
        <item x="312"/>
        <item x="83"/>
        <item x="165"/>
        <item x="184"/>
        <item x="50"/>
        <item x="0"/>
        <item x="198"/>
        <item x="143"/>
        <item x="29"/>
        <item x="159"/>
        <item x="92"/>
        <item x="295"/>
        <item x="162"/>
        <item x="218"/>
        <item x="242"/>
        <item x="10"/>
        <item x="253"/>
        <item x="68"/>
        <item x="85"/>
        <item x="36"/>
        <item x="74"/>
        <item x="32"/>
        <item x="45"/>
        <item x="15"/>
        <item x="100"/>
        <item x="266"/>
        <item x="168"/>
        <item x="208"/>
        <item x="177"/>
        <item x="181"/>
        <item x="262"/>
        <item x="223"/>
        <item x="296"/>
        <item x="189"/>
        <item x="140"/>
        <item x="102"/>
        <item x="109"/>
        <item x="73"/>
        <item x="47"/>
        <item x="311"/>
        <item x="118"/>
        <item x="210"/>
        <item x="205"/>
        <item x="108"/>
        <item x="127"/>
        <item x="308"/>
        <item x="124"/>
        <item x="278"/>
        <item x="173"/>
        <item x="5"/>
        <item x="310"/>
        <item x="244"/>
        <item x="57"/>
        <item x="64"/>
        <item x="21"/>
        <item x="230"/>
        <item x="132"/>
        <item x="66"/>
        <item x="79"/>
        <item x="87"/>
        <item x="20"/>
        <item x="267"/>
        <item x="303"/>
        <item x="90"/>
        <item x="289"/>
        <item x="142"/>
        <item x="42"/>
        <item x="35"/>
        <item x="222"/>
        <item x="268"/>
        <item x="89"/>
        <item x="232"/>
        <item x="123"/>
        <item x="186"/>
        <item x="203"/>
        <item x="234"/>
        <item x="52"/>
        <item x="152"/>
        <item x="180"/>
        <item x="84"/>
        <item x="138"/>
        <item x="228"/>
        <item x="27"/>
        <item x="116"/>
        <item x="134"/>
        <item x="270"/>
        <item x="192"/>
        <item x="287"/>
        <item x="235"/>
        <item x="71"/>
        <item x="273"/>
        <item x="145"/>
        <item x="147"/>
        <item x="3"/>
        <item x="31"/>
        <item x="283"/>
        <item x="264"/>
        <item x="280"/>
        <item x="276"/>
        <item x="185"/>
        <item x="9"/>
        <item x="56"/>
        <item x="297"/>
        <item x="17"/>
        <item x="146"/>
        <item x="240"/>
        <item x="237"/>
        <item x="322"/>
        <item x="67"/>
        <item x="305"/>
        <item x="154"/>
        <item x="269"/>
        <item x="8"/>
        <item x="26"/>
        <item x="254"/>
        <item x="202"/>
        <item x="231"/>
        <item x="332"/>
        <item x="256"/>
        <item x="306"/>
        <item x="70"/>
        <item x="115"/>
        <item x="326"/>
        <item x="28"/>
        <item x="294"/>
        <item x="150"/>
        <item x="315"/>
        <item x="78"/>
        <item x="285"/>
        <item x="39"/>
        <item x="265"/>
        <item x="174"/>
        <item x="191"/>
        <item x="212"/>
        <item x="236"/>
        <item x="149"/>
        <item x="321"/>
        <item x="103"/>
        <item x="131"/>
        <item x="263"/>
        <item x="7"/>
        <item x="117"/>
        <item x="339"/>
        <item x="54"/>
        <item x="69"/>
        <item x="309"/>
        <item x="97"/>
        <item x="238"/>
        <item x="214"/>
        <item x="219"/>
        <item x="196"/>
        <item x="298"/>
        <item x="299"/>
        <item x="250"/>
        <item x="125"/>
        <item x="172"/>
        <item x="325"/>
        <item x="6"/>
        <item x="178"/>
        <item x="148"/>
        <item x="293"/>
        <item x="33"/>
        <item x="255"/>
        <item x="328"/>
        <item x="106"/>
        <item x="243"/>
        <item x="246"/>
        <item x="329"/>
        <item x="216"/>
        <item x="107"/>
        <item x="206"/>
        <item x="199"/>
        <item x="153"/>
        <item x="120"/>
        <item x="272"/>
        <item x="221"/>
        <item x="170"/>
        <item x="94"/>
        <item x="135"/>
        <item x="82"/>
        <item x="12"/>
        <item x="301"/>
        <item x="129"/>
        <item x="175"/>
        <item x="314"/>
        <item x="136"/>
        <item x="128"/>
        <item x="197"/>
        <item x="247"/>
        <item x="204"/>
        <item x="88"/>
        <item x="101"/>
        <item x="211"/>
        <item x="111"/>
        <item x="60"/>
        <item x="277"/>
        <item x="201"/>
        <item x="161"/>
        <item x="38"/>
        <item x="40"/>
        <item x="233"/>
        <item x="318"/>
        <item x="224"/>
        <item x="4"/>
        <item x="49"/>
        <item x="14"/>
        <item x="226"/>
        <item x="164"/>
        <item x="43"/>
        <item x="207"/>
        <item x="227"/>
        <item x="249"/>
        <item x="19"/>
        <item x="333"/>
        <item x="16"/>
        <item x="63"/>
        <item x="215"/>
        <item x="139"/>
        <item x="251"/>
        <item x="169"/>
        <item x="252"/>
        <item x="317"/>
        <item x="37"/>
        <item x="320"/>
        <item x="319"/>
        <item x="34"/>
        <item x="281"/>
        <item x="275"/>
        <item x="327"/>
        <item x="302"/>
        <item x="290"/>
        <item x="209"/>
        <item x="313"/>
        <item x="330"/>
        <item x="323"/>
        <item x="93"/>
        <item x="55"/>
        <item x="130"/>
        <item x="200"/>
        <item x="334"/>
        <item x="81"/>
        <item x="13"/>
        <item x="72"/>
        <item x="80"/>
        <item x="75"/>
        <item x="213"/>
        <item x="171"/>
        <item x="51"/>
        <item x="155"/>
        <item x="188"/>
        <item x="248"/>
        <item x="59"/>
        <item x="41"/>
        <item x="1"/>
        <item x="98"/>
        <item x="48"/>
        <item x="336"/>
        <item x="241"/>
        <item x="156"/>
        <item x="86"/>
        <item x="183"/>
        <item t="default"/>
      </items>
    </pivotField>
    <pivotField showAll="0">
      <items count="13">
        <item x="2"/>
        <item x="9"/>
        <item x="11"/>
        <item x="0"/>
        <item x="5"/>
        <item x="10"/>
        <item x="3"/>
        <item x="7"/>
        <item x="6"/>
        <item x="4"/>
        <item x="8"/>
        <item x="1"/>
        <item t="default"/>
      </items>
    </pivotField>
    <pivotField showAll="0"/>
    <pivotField showAll="0"/>
    <pivotField showAll="0"/>
    <pivotField showAll="0"/>
    <pivotField showAll="0">
      <items count="10">
        <item x="8"/>
        <item x="3"/>
        <item x="6"/>
        <item x="4"/>
        <item x="1"/>
        <item x="0"/>
        <item x="5"/>
        <item x="7"/>
        <item x="2"/>
        <item t="default"/>
      </items>
    </pivotField>
    <pivotField showAll="0">
      <items count="9">
        <item x="4"/>
        <item x="3"/>
        <item x="2"/>
        <item x="1"/>
        <item x="5"/>
        <item x="0"/>
        <item x="6"/>
        <item x="7"/>
        <item t="default"/>
      </items>
    </pivotField>
    <pivotField axis="axisRow" showAll="0">
      <items count="3">
        <item x="1"/>
        <item x="0"/>
        <item t="default"/>
      </items>
    </pivotField>
    <pivotField showAll="0"/>
    <pivotField showAll="0"/>
    <pivotField showAll="0"/>
    <pivotField showAll="0"/>
    <pivotField dataField="1" showAll="0">
      <items count="25">
        <item x="7"/>
        <item x="5"/>
        <item x="19"/>
        <item x="21"/>
        <item x="4"/>
        <item x="16"/>
        <item x="13"/>
        <item x="22"/>
        <item x="17"/>
        <item x="12"/>
        <item x="20"/>
        <item x="10"/>
        <item x="0"/>
        <item x="18"/>
        <item x="11"/>
        <item x="2"/>
        <item x="1"/>
        <item x="6"/>
        <item x="23"/>
        <item x="9"/>
        <item x="14"/>
        <item x="15"/>
        <item x="8"/>
        <item x="3"/>
        <item t="default"/>
      </items>
    </pivotField>
    <pivotField numFmtId="9"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3">
    <i>
      <x/>
    </i>
    <i>
      <x v="1"/>
    </i>
    <i t="grand">
      <x/>
    </i>
  </rowItems>
  <colItems count="1">
    <i/>
  </colItems>
  <dataFields count="1">
    <dataField name="Sum of Profit " fld="14" baseField="0" baseItem="0"/>
  </dataFields>
  <chartFormats count="3">
    <chartFormat chart="15" format="17" series="1">
      <pivotArea type="data" outline="0" fieldPosition="0">
        <references count="1">
          <reference field="4294967294" count="1" selected="0">
            <x v="0"/>
          </reference>
        </references>
      </pivotArea>
    </chartFormat>
    <chartFormat chart="15" format="18">
      <pivotArea type="data" outline="0" fieldPosition="0">
        <references count="2">
          <reference field="4294967294" count="1" selected="0">
            <x v="0"/>
          </reference>
          <reference field="9" count="1" selected="0">
            <x v="0"/>
          </reference>
        </references>
      </pivotArea>
    </chartFormat>
    <chartFormat chart="15" format="19">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10AC3B6-9B56-4093-B3B1-461B0A7BC2F9}" sourceName="Month">
  <pivotTables>
    <pivotTable tabId="17" name="PivotTable4"/>
    <pivotTable tabId="14" name="PivotTable1"/>
    <pivotTable tabId="15" name="PivotTable2"/>
    <pivotTable tabId="16" name="PivotTable3"/>
    <pivotTable tabId="18" name="PivotTable5"/>
    <pivotTable tabId="19" name="PivotTable6"/>
    <pivotTable tabId="20" name="PivotTable7"/>
  </pivotTables>
  <data>
    <tabular pivotCacheId="1729447121">
      <items count="12">
        <i x="2" s="1"/>
        <i x="9" s="1"/>
        <i x="11" s="1"/>
        <i x="0" s="1"/>
        <i x="5" s="1"/>
        <i x="10" s="1"/>
        <i x="3" s="1"/>
        <i x="7" s="1"/>
        <i x="6" s="1"/>
        <i x="4" s="1"/>
        <i x="8"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8C20885-50D9-41BF-B105-0FF5B4643F38}" sourceName="City">
  <pivotTables>
    <pivotTable tabId="17" name="PivotTable4"/>
    <pivotTable tabId="14" name="PivotTable1"/>
    <pivotTable tabId="15" name="PivotTable2"/>
    <pivotTable tabId="16" name="PivotTable3"/>
    <pivotTable tabId="18" name="PivotTable5"/>
    <pivotTable tabId="19" name="PivotTable6"/>
    <pivotTable tabId="20" name="PivotTable7"/>
  </pivotTables>
  <data>
    <tabular pivotCacheId="1729447121">
      <items count="9">
        <i x="8" s="1"/>
        <i x="3" s="1"/>
        <i x="6" s="1"/>
        <i x="4" s="1"/>
        <i x="1" s="1"/>
        <i x="0" s="1"/>
        <i x="5" s="1"/>
        <i x="7"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F46F3355-6A22-436E-8A6D-E8DEC23E5684}" sourceName="Product name">
  <pivotTables>
    <pivotTable tabId="17" name="PivotTable4"/>
    <pivotTable tabId="14" name="PivotTable1"/>
    <pivotTable tabId="15" name="PivotTable2"/>
    <pivotTable tabId="16" name="PivotTable3"/>
    <pivotTable tabId="18" name="PivotTable5"/>
    <pivotTable tabId="19" name="PivotTable6"/>
    <pivotTable tabId="20" name="PivotTable7"/>
  </pivotTables>
  <data>
    <tabular pivotCacheId="1729447121">
      <items count="8">
        <i x="4" s="1"/>
        <i x="3" s="1"/>
        <i x="2" s="1"/>
        <i x="1" s="1"/>
        <i x="5" s="1"/>
        <i x="0" s="1"/>
        <i x="6"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8BB862C-F551-48DD-AA98-FD21A1EBB405}" sourceName="Category">
  <pivotTables>
    <pivotTable tabId="17" name="PivotTable4"/>
    <pivotTable tabId="14" name="PivotTable1"/>
    <pivotTable tabId="15" name="PivotTable2"/>
    <pivotTable tabId="16" name="PivotTable3"/>
    <pivotTable tabId="18" name="PivotTable5"/>
    <pivotTable tabId="19" name="PivotTable6"/>
    <pivotTable tabId="20" name="PivotTable7"/>
  </pivotTables>
  <data>
    <tabular pivotCacheId="172944712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514900C5-7658-485A-A429-CBBA8E77536D}" cache="Slicer_Month" caption="Month" rowHeight="234950"/>
  <slicer name="City" xr10:uid="{B10699BA-7FC9-4915-82EC-A64E8E513F1B}" cache="Slicer_City" caption="City" startItem="5" rowHeight="234950"/>
  <slicer name="Product name" xr10:uid="{843F30EA-488B-4674-B60D-58A4887F3818}" cache="Slicer_Product_name" caption="Product name" rowHeight="234950"/>
  <slicer name="Category" xr10:uid="{9E315F68-2ECF-4C15-A248-42265E755BE5}"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1"/>
  <sheetViews>
    <sheetView workbookViewId="0">
      <selection activeCell="G8" sqref="G8"/>
    </sheetView>
  </sheetViews>
  <sheetFormatPr defaultRowHeight="14.4" x14ac:dyDescent="0.3"/>
  <cols>
    <col min="1" max="1" width="11.109375" bestFit="1" customWidth="1"/>
    <col min="2" max="2" width="14.33203125" bestFit="1" customWidth="1"/>
    <col min="3" max="3" width="10.6640625" bestFit="1" customWidth="1"/>
    <col min="7" max="7" width="12.44140625" customWidth="1"/>
  </cols>
  <sheetData>
    <row r="1" spans="1:3" x14ac:dyDescent="0.3">
      <c r="A1" t="s">
        <v>0</v>
      </c>
      <c r="B1" t="s">
        <v>1</v>
      </c>
      <c r="C1" t="s">
        <v>2</v>
      </c>
    </row>
    <row r="2" spans="1:3" x14ac:dyDescent="0.3">
      <c r="A2" t="s">
        <v>3</v>
      </c>
      <c r="B2" t="s">
        <v>4</v>
      </c>
      <c r="C2" t="s">
        <v>5</v>
      </c>
    </row>
    <row r="3" spans="1:3" x14ac:dyDescent="0.3">
      <c r="A3" t="s">
        <v>6</v>
      </c>
      <c r="B3" t="s">
        <v>7</v>
      </c>
      <c r="C3" t="s">
        <v>8</v>
      </c>
    </row>
    <row r="4" spans="1:3" x14ac:dyDescent="0.3">
      <c r="A4" t="s">
        <v>9</v>
      </c>
      <c r="B4" t="s">
        <v>10</v>
      </c>
      <c r="C4" t="s">
        <v>8</v>
      </c>
    </row>
    <row r="5" spans="1:3" x14ac:dyDescent="0.3">
      <c r="A5" t="s">
        <v>11</v>
      </c>
      <c r="B5" t="s">
        <v>12</v>
      </c>
      <c r="C5" t="s">
        <v>8</v>
      </c>
    </row>
    <row r="6" spans="1:3" x14ac:dyDescent="0.3">
      <c r="A6" t="s">
        <v>13</v>
      </c>
      <c r="B6" t="s">
        <v>4</v>
      </c>
      <c r="C6" t="s">
        <v>14</v>
      </c>
    </row>
    <row r="7" spans="1:3" x14ac:dyDescent="0.3">
      <c r="A7" t="s">
        <v>15</v>
      </c>
      <c r="B7" t="s">
        <v>16</v>
      </c>
      <c r="C7" t="s">
        <v>17</v>
      </c>
    </row>
    <row r="8" spans="1:3" x14ac:dyDescent="0.3">
      <c r="A8" t="s">
        <v>18</v>
      </c>
      <c r="B8" t="s">
        <v>19</v>
      </c>
      <c r="C8" t="s">
        <v>20</v>
      </c>
    </row>
    <row r="9" spans="1:3" x14ac:dyDescent="0.3">
      <c r="A9" t="s">
        <v>21</v>
      </c>
      <c r="B9" t="s">
        <v>22</v>
      </c>
      <c r="C9" t="s">
        <v>20</v>
      </c>
    </row>
    <row r="10" spans="1:3" x14ac:dyDescent="0.3">
      <c r="A10" t="s">
        <v>23</v>
      </c>
      <c r="B10" t="s">
        <v>24</v>
      </c>
      <c r="C10" t="s">
        <v>8</v>
      </c>
    </row>
    <row r="11" spans="1:3" x14ac:dyDescent="0.3">
      <c r="A11" t="s">
        <v>25</v>
      </c>
      <c r="B11" t="s">
        <v>10</v>
      </c>
      <c r="C11" t="s">
        <v>8</v>
      </c>
    </row>
    <row r="12" spans="1:3" x14ac:dyDescent="0.3">
      <c r="A12" t="s">
        <v>26</v>
      </c>
      <c r="B12" t="s">
        <v>16</v>
      </c>
      <c r="C12" t="s">
        <v>27</v>
      </c>
    </row>
    <row r="13" spans="1:3" x14ac:dyDescent="0.3">
      <c r="A13" t="s">
        <v>28</v>
      </c>
      <c r="B13" t="s">
        <v>29</v>
      </c>
      <c r="C13" t="s">
        <v>17</v>
      </c>
    </row>
    <row r="14" spans="1:3" x14ac:dyDescent="0.3">
      <c r="A14" t="s">
        <v>30</v>
      </c>
      <c r="B14" t="s">
        <v>24</v>
      </c>
      <c r="C14" t="s">
        <v>31</v>
      </c>
    </row>
    <row r="15" spans="1:3" x14ac:dyDescent="0.3">
      <c r="A15" t="s">
        <v>32</v>
      </c>
      <c r="B15" t="s">
        <v>4</v>
      </c>
      <c r="C15" t="s">
        <v>14</v>
      </c>
    </row>
    <row r="16" spans="1:3" x14ac:dyDescent="0.3">
      <c r="A16" t="s">
        <v>33</v>
      </c>
      <c r="B16" t="s">
        <v>4</v>
      </c>
    </row>
    <row r="17" spans="1:3" x14ac:dyDescent="0.3">
      <c r="A17" t="s">
        <v>34</v>
      </c>
      <c r="B17" t="s">
        <v>29</v>
      </c>
      <c r="C17" t="s">
        <v>14</v>
      </c>
    </row>
    <row r="18" spans="1:3" x14ac:dyDescent="0.3">
      <c r="A18" t="s">
        <v>35</v>
      </c>
      <c r="B18" t="s">
        <v>16</v>
      </c>
      <c r="C18" t="s">
        <v>5</v>
      </c>
    </row>
    <row r="19" spans="1:3" x14ac:dyDescent="0.3">
      <c r="A19" t="s">
        <v>36</v>
      </c>
      <c r="B19" t="s">
        <v>37</v>
      </c>
      <c r="C19" t="s">
        <v>8</v>
      </c>
    </row>
    <row r="20" spans="1:3" x14ac:dyDescent="0.3">
      <c r="A20" t="s">
        <v>38</v>
      </c>
      <c r="B20" t="s">
        <v>10</v>
      </c>
      <c r="C20" t="s">
        <v>39</v>
      </c>
    </row>
    <row r="21" spans="1:3" x14ac:dyDescent="0.3">
      <c r="A21" t="s">
        <v>40</v>
      </c>
      <c r="B21" t="s">
        <v>4</v>
      </c>
      <c r="C21" t="s">
        <v>20</v>
      </c>
    </row>
    <row r="22" spans="1:3" x14ac:dyDescent="0.3">
      <c r="A22" t="s">
        <v>41</v>
      </c>
      <c r="B22" t="s">
        <v>37</v>
      </c>
      <c r="C22" t="s">
        <v>31</v>
      </c>
    </row>
    <row r="23" spans="1:3" x14ac:dyDescent="0.3">
      <c r="A23" t="s">
        <v>42</v>
      </c>
      <c r="B23" t="s">
        <v>10</v>
      </c>
      <c r="C23" t="s">
        <v>27</v>
      </c>
    </row>
    <row r="24" spans="1:3" x14ac:dyDescent="0.3">
      <c r="A24" t="s">
        <v>43</v>
      </c>
      <c r="B24" t="s">
        <v>24</v>
      </c>
      <c r="C24" t="s">
        <v>31</v>
      </c>
    </row>
    <row r="25" spans="1:3" x14ac:dyDescent="0.3">
      <c r="A25" t="s">
        <v>44</v>
      </c>
      <c r="B25" t="s">
        <v>45</v>
      </c>
      <c r="C25" t="s">
        <v>27</v>
      </c>
    </row>
    <row r="26" spans="1:3" x14ac:dyDescent="0.3">
      <c r="A26" t="s">
        <v>46</v>
      </c>
      <c r="B26" t="s">
        <v>47</v>
      </c>
      <c r="C26" t="s">
        <v>5</v>
      </c>
    </row>
    <row r="27" spans="1:3" x14ac:dyDescent="0.3">
      <c r="A27" t="s">
        <v>48</v>
      </c>
      <c r="B27" t="s">
        <v>10</v>
      </c>
      <c r="C27" t="s">
        <v>8</v>
      </c>
    </row>
    <row r="28" spans="1:3" x14ac:dyDescent="0.3">
      <c r="A28" t="s">
        <v>49</v>
      </c>
      <c r="B28" t="s">
        <v>19</v>
      </c>
      <c r="C28" t="s">
        <v>31</v>
      </c>
    </row>
    <row r="29" spans="1:3" x14ac:dyDescent="0.3">
      <c r="A29" t="s">
        <v>50</v>
      </c>
      <c r="B29" t="s">
        <v>16</v>
      </c>
      <c r="C29" t="s">
        <v>8</v>
      </c>
    </row>
    <row r="30" spans="1:3" x14ac:dyDescent="0.3">
      <c r="A30" t="s">
        <v>51</v>
      </c>
      <c r="B30" t="s">
        <v>7</v>
      </c>
      <c r="C30" t="s">
        <v>27</v>
      </c>
    </row>
    <row r="31" spans="1:3" x14ac:dyDescent="0.3">
      <c r="A31" t="s">
        <v>52</v>
      </c>
      <c r="B31" t="s">
        <v>47</v>
      </c>
      <c r="C31" t="s">
        <v>39</v>
      </c>
    </row>
    <row r="32" spans="1:3" x14ac:dyDescent="0.3">
      <c r="A32" t="s">
        <v>53</v>
      </c>
      <c r="B32" t="s">
        <v>7</v>
      </c>
      <c r="C32" t="s">
        <v>31</v>
      </c>
    </row>
    <row r="33" spans="1:3" x14ac:dyDescent="0.3">
      <c r="A33" t="s">
        <v>54</v>
      </c>
      <c r="B33" t="s">
        <v>45</v>
      </c>
      <c r="C33" t="s">
        <v>5</v>
      </c>
    </row>
    <row r="34" spans="1:3" x14ac:dyDescent="0.3">
      <c r="A34" t="s">
        <v>55</v>
      </c>
      <c r="B34" t="s">
        <v>37</v>
      </c>
      <c r="C34" t="s">
        <v>8</v>
      </c>
    </row>
    <row r="35" spans="1:3" x14ac:dyDescent="0.3">
      <c r="A35" t="s">
        <v>56</v>
      </c>
      <c r="B35" t="s">
        <v>29</v>
      </c>
      <c r="C35" t="s">
        <v>39</v>
      </c>
    </row>
    <row r="36" spans="1:3" x14ac:dyDescent="0.3">
      <c r="A36" t="s">
        <v>57</v>
      </c>
      <c r="B36" t="s">
        <v>19</v>
      </c>
      <c r="C36" t="s">
        <v>14</v>
      </c>
    </row>
    <row r="37" spans="1:3" x14ac:dyDescent="0.3">
      <c r="A37" t="s">
        <v>58</v>
      </c>
      <c r="B37" t="s">
        <v>45</v>
      </c>
      <c r="C37" t="s">
        <v>14</v>
      </c>
    </row>
    <row r="38" spans="1:3" x14ac:dyDescent="0.3">
      <c r="A38" t="s">
        <v>59</v>
      </c>
      <c r="B38" t="s">
        <v>4</v>
      </c>
      <c r="C38" t="s">
        <v>39</v>
      </c>
    </row>
    <row r="39" spans="1:3" x14ac:dyDescent="0.3">
      <c r="A39" t="s">
        <v>60</v>
      </c>
      <c r="B39" t="s">
        <v>29</v>
      </c>
      <c r="C39" t="s">
        <v>20</v>
      </c>
    </row>
    <row r="40" spans="1:3" x14ac:dyDescent="0.3">
      <c r="A40" t="s">
        <v>61</v>
      </c>
      <c r="B40" t="s">
        <v>7</v>
      </c>
      <c r="C40" t="s">
        <v>5</v>
      </c>
    </row>
    <row r="41" spans="1:3" x14ac:dyDescent="0.3">
      <c r="A41" t="s">
        <v>62</v>
      </c>
      <c r="B41" t="s">
        <v>37</v>
      </c>
      <c r="C41" t="s">
        <v>8</v>
      </c>
    </row>
    <row r="42" spans="1:3" x14ac:dyDescent="0.3">
      <c r="A42" t="s">
        <v>63</v>
      </c>
      <c r="B42" t="s">
        <v>12</v>
      </c>
      <c r="C42" t="s">
        <v>20</v>
      </c>
    </row>
    <row r="43" spans="1:3" x14ac:dyDescent="0.3">
      <c r="A43" t="s">
        <v>64</v>
      </c>
      <c r="B43" t="s">
        <v>37</v>
      </c>
      <c r="C43" t="s">
        <v>14</v>
      </c>
    </row>
    <row r="44" spans="1:3" x14ac:dyDescent="0.3">
      <c r="A44" t="s">
        <v>65</v>
      </c>
      <c r="B44" t="s">
        <v>7</v>
      </c>
      <c r="C44" t="s">
        <v>27</v>
      </c>
    </row>
    <row r="45" spans="1:3" x14ac:dyDescent="0.3">
      <c r="A45" t="s">
        <v>66</v>
      </c>
      <c r="B45" t="s">
        <v>24</v>
      </c>
      <c r="C45" t="s">
        <v>27</v>
      </c>
    </row>
    <row r="46" spans="1:3" x14ac:dyDescent="0.3">
      <c r="A46" t="s">
        <v>67</v>
      </c>
      <c r="B46" t="s">
        <v>4</v>
      </c>
      <c r="C46" t="s">
        <v>20</v>
      </c>
    </row>
    <row r="47" spans="1:3" x14ac:dyDescent="0.3">
      <c r="A47" t="s">
        <v>68</v>
      </c>
      <c r="B47" t="s">
        <v>29</v>
      </c>
      <c r="C47" t="s">
        <v>27</v>
      </c>
    </row>
    <row r="48" spans="1:3" x14ac:dyDescent="0.3">
      <c r="A48" t="s">
        <v>69</v>
      </c>
      <c r="B48" t="s">
        <v>45</v>
      </c>
      <c r="C48" t="s">
        <v>8</v>
      </c>
    </row>
    <row r="49" spans="1:3" x14ac:dyDescent="0.3">
      <c r="A49" t="s">
        <v>70</v>
      </c>
      <c r="B49" t="s">
        <v>22</v>
      </c>
      <c r="C49" t="s">
        <v>14</v>
      </c>
    </row>
    <row r="50" spans="1:3" x14ac:dyDescent="0.3">
      <c r="A50" t="s">
        <v>71</v>
      </c>
      <c r="B50" t="s">
        <v>19</v>
      </c>
      <c r="C50" t="s">
        <v>17</v>
      </c>
    </row>
    <row r="51" spans="1:3" x14ac:dyDescent="0.3">
      <c r="A51" t="s">
        <v>72</v>
      </c>
      <c r="B51" t="s">
        <v>37</v>
      </c>
      <c r="C51" t="s">
        <v>39</v>
      </c>
    </row>
    <row r="52" spans="1:3" x14ac:dyDescent="0.3">
      <c r="A52" t="s">
        <v>73</v>
      </c>
      <c r="B52" t="s">
        <v>7</v>
      </c>
      <c r="C52" t="s">
        <v>20</v>
      </c>
    </row>
    <row r="53" spans="1:3" x14ac:dyDescent="0.3">
      <c r="A53" t="s">
        <v>74</v>
      </c>
      <c r="B53" t="s">
        <v>19</v>
      </c>
      <c r="C53" t="s">
        <v>14</v>
      </c>
    </row>
    <row r="54" spans="1:3" x14ac:dyDescent="0.3">
      <c r="A54" t="s">
        <v>75</v>
      </c>
      <c r="B54" t="s">
        <v>29</v>
      </c>
      <c r="C54" t="s">
        <v>31</v>
      </c>
    </row>
    <row r="55" spans="1:3" x14ac:dyDescent="0.3">
      <c r="A55" t="s">
        <v>76</v>
      </c>
      <c r="B55" t="s">
        <v>7</v>
      </c>
      <c r="C55" t="s">
        <v>27</v>
      </c>
    </row>
    <row r="56" spans="1:3" x14ac:dyDescent="0.3">
      <c r="A56" t="s">
        <v>77</v>
      </c>
      <c r="B56" t="s">
        <v>37</v>
      </c>
      <c r="C56" t="s">
        <v>31</v>
      </c>
    </row>
    <row r="57" spans="1:3" x14ac:dyDescent="0.3">
      <c r="A57" t="s">
        <v>78</v>
      </c>
      <c r="B57" t="s">
        <v>7</v>
      </c>
      <c r="C57" t="s">
        <v>39</v>
      </c>
    </row>
    <row r="58" spans="1:3" x14ac:dyDescent="0.3">
      <c r="A58" t="s">
        <v>79</v>
      </c>
      <c r="B58" t="s">
        <v>47</v>
      </c>
      <c r="C58" t="s">
        <v>20</v>
      </c>
    </row>
    <row r="59" spans="1:3" x14ac:dyDescent="0.3">
      <c r="A59" t="s">
        <v>80</v>
      </c>
      <c r="B59" t="s">
        <v>37</v>
      </c>
      <c r="C59" t="s">
        <v>27</v>
      </c>
    </row>
    <row r="60" spans="1:3" x14ac:dyDescent="0.3">
      <c r="A60" t="s">
        <v>81</v>
      </c>
      <c r="B60" t="s">
        <v>4</v>
      </c>
      <c r="C60" t="s">
        <v>27</v>
      </c>
    </row>
    <row r="61" spans="1:3" x14ac:dyDescent="0.3">
      <c r="A61" t="s">
        <v>82</v>
      </c>
      <c r="B61" t="s">
        <v>16</v>
      </c>
      <c r="C61" t="s">
        <v>39</v>
      </c>
    </row>
    <row r="62" spans="1:3" x14ac:dyDescent="0.3">
      <c r="A62" t="s">
        <v>83</v>
      </c>
      <c r="B62" t="s">
        <v>7</v>
      </c>
      <c r="C62" t="s">
        <v>8</v>
      </c>
    </row>
    <row r="63" spans="1:3" x14ac:dyDescent="0.3">
      <c r="A63" t="s">
        <v>84</v>
      </c>
      <c r="B63" t="s">
        <v>22</v>
      </c>
      <c r="C63" t="s">
        <v>17</v>
      </c>
    </row>
    <row r="64" spans="1:3" x14ac:dyDescent="0.3">
      <c r="A64" t="s">
        <v>85</v>
      </c>
      <c r="B64" t="s">
        <v>24</v>
      </c>
      <c r="C64" t="s">
        <v>20</v>
      </c>
    </row>
    <row r="65" spans="1:3" x14ac:dyDescent="0.3">
      <c r="A65" t="s">
        <v>86</v>
      </c>
      <c r="B65" t="s">
        <v>19</v>
      </c>
      <c r="C65" t="s">
        <v>39</v>
      </c>
    </row>
    <row r="66" spans="1:3" x14ac:dyDescent="0.3">
      <c r="A66" t="s">
        <v>87</v>
      </c>
      <c r="B66" t="s">
        <v>47</v>
      </c>
      <c r="C66" t="s">
        <v>20</v>
      </c>
    </row>
    <row r="67" spans="1:3" x14ac:dyDescent="0.3">
      <c r="A67" t="s">
        <v>88</v>
      </c>
      <c r="B67" t="s">
        <v>45</v>
      </c>
      <c r="C67" t="s">
        <v>14</v>
      </c>
    </row>
    <row r="68" spans="1:3" x14ac:dyDescent="0.3">
      <c r="A68" t="s">
        <v>89</v>
      </c>
      <c r="B68" t="s">
        <v>19</v>
      </c>
    </row>
    <row r="69" spans="1:3" x14ac:dyDescent="0.3">
      <c r="A69" t="s">
        <v>90</v>
      </c>
      <c r="B69" t="s">
        <v>7</v>
      </c>
      <c r="C69" t="s">
        <v>14</v>
      </c>
    </row>
    <row r="70" spans="1:3" x14ac:dyDescent="0.3">
      <c r="A70" t="s">
        <v>91</v>
      </c>
      <c r="B70" t="s">
        <v>12</v>
      </c>
      <c r="C70" t="s">
        <v>27</v>
      </c>
    </row>
    <row r="71" spans="1:3" x14ac:dyDescent="0.3">
      <c r="A71" t="s">
        <v>92</v>
      </c>
      <c r="B71" t="s">
        <v>24</v>
      </c>
      <c r="C71" t="s">
        <v>17</v>
      </c>
    </row>
    <row r="72" spans="1:3" x14ac:dyDescent="0.3">
      <c r="A72" t="s">
        <v>93</v>
      </c>
      <c r="B72" t="s">
        <v>45</v>
      </c>
      <c r="C72" t="s">
        <v>14</v>
      </c>
    </row>
    <row r="73" spans="1:3" x14ac:dyDescent="0.3">
      <c r="A73" t="s">
        <v>94</v>
      </c>
      <c r="B73" t="s">
        <v>7</v>
      </c>
      <c r="C73" t="s">
        <v>17</v>
      </c>
    </row>
    <row r="74" spans="1:3" x14ac:dyDescent="0.3">
      <c r="A74" t="s">
        <v>95</v>
      </c>
      <c r="B74" t="s">
        <v>24</v>
      </c>
      <c r="C74" t="s">
        <v>5</v>
      </c>
    </row>
    <row r="75" spans="1:3" x14ac:dyDescent="0.3">
      <c r="A75" t="s">
        <v>96</v>
      </c>
      <c r="B75" t="s">
        <v>4</v>
      </c>
      <c r="C75" t="s">
        <v>31</v>
      </c>
    </row>
    <row r="76" spans="1:3" x14ac:dyDescent="0.3">
      <c r="A76" t="s">
        <v>97</v>
      </c>
      <c r="B76" t="s">
        <v>12</v>
      </c>
      <c r="C76" t="s">
        <v>14</v>
      </c>
    </row>
    <row r="77" spans="1:3" x14ac:dyDescent="0.3">
      <c r="A77" t="s">
        <v>98</v>
      </c>
      <c r="B77" t="s">
        <v>29</v>
      </c>
      <c r="C77" t="s">
        <v>14</v>
      </c>
    </row>
    <row r="78" spans="1:3" x14ac:dyDescent="0.3">
      <c r="A78" t="s">
        <v>99</v>
      </c>
      <c r="B78" t="s">
        <v>45</v>
      </c>
      <c r="C78" t="s">
        <v>39</v>
      </c>
    </row>
    <row r="79" spans="1:3" x14ac:dyDescent="0.3">
      <c r="A79" t="s">
        <v>100</v>
      </c>
      <c r="B79" t="s">
        <v>47</v>
      </c>
      <c r="C79" t="s">
        <v>14</v>
      </c>
    </row>
    <row r="80" spans="1:3" x14ac:dyDescent="0.3">
      <c r="A80" t="s">
        <v>101</v>
      </c>
      <c r="B80" t="s">
        <v>16</v>
      </c>
      <c r="C80" t="s">
        <v>8</v>
      </c>
    </row>
    <row r="81" spans="1:3" x14ac:dyDescent="0.3">
      <c r="A81" t="s">
        <v>102</v>
      </c>
      <c r="B81" t="s">
        <v>19</v>
      </c>
      <c r="C81" t="s">
        <v>20</v>
      </c>
    </row>
    <row r="82" spans="1:3" x14ac:dyDescent="0.3">
      <c r="A82" t="s">
        <v>103</v>
      </c>
      <c r="B82" t="s">
        <v>12</v>
      </c>
      <c r="C82" t="s">
        <v>39</v>
      </c>
    </row>
    <row r="83" spans="1:3" x14ac:dyDescent="0.3">
      <c r="A83" t="s">
        <v>104</v>
      </c>
      <c r="B83" t="s">
        <v>10</v>
      </c>
      <c r="C83" t="s">
        <v>14</v>
      </c>
    </row>
    <row r="84" spans="1:3" x14ac:dyDescent="0.3">
      <c r="A84" t="s">
        <v>105</v>
      </c>
      <c r="B84" t="s">
        <v>12</v>
      </c>
      <c r="C84" t="s">
        <v>31</v>
      </c>
    </row>
    <row r="85" spans="1:3" x14ac:dyDescent="0.3">
      <c r="A85" t="s">
        <v>106</v>
      </c>
      <c r="B85" t="s">
        <v>45</v>
      </c>
      <c r="C85" t="s">
        <v>31</v>
      </c>
    </row>
    <row r="86" spans="1:3" x14ac:dyDescent="0.3">
      <c r="A86" t="s">
        <v>107</v>
      </c>
      <c r="B86" t="s">
        <v>37</v>
      </c>
      <c r="C86" t="s">
        <v>31</v>
      </c>
    </row>
    <row r="87" spans="1:3" x14ac:dyDescent="0.3">
      <c r="A87" t="s">
        <v>108</v>
      </c>
      <c r="B87" t="s">
        <v>22</v>
      </c>
      <c r="C87" t="s">
        <v>27</v>
      </c>
    </row>
    <row r="88" spans="1:3" x14ac:dyDescent="0.3">
      <c r="A88" t="s">
        <v>109</v>
      </c>
      <c r="B88" t="s">
        <v>47</v>
      </c>
      <c r="C88" t="s">
        <v>27</v>
      </c>
    </row>
    <row r="89" spans="1:3" x14ac:dyDescent="0.3">
      <c r="A89" t="s">
        <v>110</v>
      </c>
      <c r="B89" t="s">
        <v>10</v>
      </c>
      <c r="C89" t="s">
        <v>27</v>
      </c>
    </row>
    <row r="90" spans="1:3" x14ac:dyDescent="0.3">
      <c r="A90" t="s">
        <v>111</v>
      </c>
      <c r="B90" t="s">
        <v>10</v>
      </c>
      <c r="C90" t="s">
        <v>31</v>
      </c>
    </row>
    <row r="91" spans="1:3" x14ac:dyDescent="0.3">
      <c r="A91" t="s">
        <v>112</v>
      </c>
      <c r="B91" t="s">
        <v>29</v>
      </c>
      <c r="C91" t="s">
        <v>14</v>
      </c>
    </row>
    <row r="92" spans="1:3" x14ac:dyDescent="0.3">
      <c r="A92" t="s">
        <v>113</v>
      </c>
      <c r="B92" t="s">
        <v>22</v>
      </c>
      <c r="C92" t="s">
        <v>20</v>
      </c>
    </row>
    <row r="93" spans="1:3" x14ac:dyDescent="0.3">
      <c r="A93" t="s">
        <v>114</v>
      </c>
      <c r="B93" t="s">
        <v>12</v>
      </c>
      <c r="C93" t="s">
        <v>14</v>
      </c>
    </row>
    <row r="94" spans="1:3" x14ac:dyDescent="0.3">
      <c r="A94" t="s">
        <v>115</v>
      </c>
      <c r="B94" t="s">
        <v>4</v>
      </c>
      <c r="C94" t="s">
        <v>5</v>
      </c>
    </row>
    <row r="95" spans="1:3" x14ac:dyDescent="0.3">
      <c r="A95" t="s">
        <v>116</v>
      </c>
      <c r="B95" t="s">
        <v>7</v>
      </c>
      <c r="C95" t="s">
        <v>14</v>
      </c>
    </row>
    <row r="96" spans="1:3" x14ac:dyDescent="0.3">
      <c r="A96" t="s">
        <v>117</v>
      </c>
      <c r="B96" t="s">
        <v>47</v>
      </c>
      <c r="C96" t="s">
        <v>8</v>
      </c>
    </row>
    <row r="97" spans="1:3" x14ac:dyDescent="0.3">
      <c r="A97" t="s">
        <v>118</v>
      </c>
      <c r="B97" t="s">
        <v>22</v>
      </c>
      <c r="C97" t="s">
        <v>27</v>
      </c>
    </row>
    <row r="98" spans="1:3" x14ac:dyDescent="0.3">
      <c r="A98" t="s">
        <v>119</v>
      </c>
      <c r="B98" t="s">
        <v>24</v>
      </c>
      <c r="C98" t="s">
        <v>14</v>
      </c>
    </row>
    <row r="99" spans="1:3" x14ac:dyDescent="0.3">
      <c r="A99" t="s">
        <v>120</v>
      </c>
      <c r="B99" t="s">
        <v>19</v>
      </c>
    </row>
    <row r="100" spans="1:3" x14ac:dyDescent="0.3">
      <c r="A100" t="s">
        <v>121</v>
      </c>
      <c r="B100" t="s">
        <v>4</v>
      </c>
      <c r="C100" t="s">
        <v>17</v>
      </c>
    </row>
    <row r="101" spans="1:3" x14ac:dyDescent="0.3">
      <c r="A101" t="s">
        <v>122</v>
      </c>
      <c r="B101" t="s">
        <v>45</v>
      </c>
      <c r="C101" t="s">
        <v>5</v>
      </c>
    </row>
    <row r="102" spans="1:3" x14ac:dyDescent="0.3">
      <c r="A102" t="s">
        <v>123</v>
      </c>
      <c r="B102" t="s">
        <v>22</v>
      </c>
      <c r="C102" t="s">
        <v>27</v>
      </c>
    </row>
    <row r="103" spans="1:3" x14ac:dyDescent="0.3">
      <c r="A103" t="s">
        <v>124</v>
      </c>
      <c r="B103" t="s">
        <v>10</v>
      </c>
      <c r="C103" t="s">
        <v>14</v>
      </c>
    </row>
    <row r="104" spans="1:3" x14ac:dyDescent="0.3">
      <c r="A104" t="s">
        <v>125</v>
      </c>
      <c r="B104" t="s">
        <v>12</v>
      </c>
      <c r="C104" t="s">
        <v>8</v>
      </c>
    </row>
    <row r="105" spans="1:3" x14ac:dyDescent="0.3">
      <c r="A105" t="s">
        <v>126</v>
      </c>
      <c r="B105" t="s">
        <v>19</v>
      </c>
      <c r="C105" t="s">
        <v>17</v>
      </c>
    </row>
    <row r="106" spans="1:3" x14ac:dyDescent="0.3">
      <c r="A106" t="s">
        <v>127</v>
      </c>
      <c r="B106" t="s">
        <v>37</v>
      </c>
      <c r="C106" t="s">
        <v>17</v>
      </c>
    </row>
    <row r="107" spans="1:3" x14ac:dyDescent="0.3">
      <c r="A107" t="s">
        <v>128</v>
      </c>
      <c r="B107" t="s">
        <v>24</v>
      </c>
      <c r="C107" t="s">
        <v>27</v>
      </c>
    </row>
    <row r="108" spans="1:3" x14ac:dyDescent="0.3">
      <c r="A108" t="s">
        <v>129</v>
      </c>
      <c r="B108" t="s">
        <v>16</v>
      </c>
      <c r="C108" t="s">
        <v>20</v>
      </c>
    </row>
    <row r="109" spans="1:3" x14ac:dyDescent="0.3">
      <c r="A109" t="s">
        <v>130</v>
      </c>
      <c r="B109" t="s">
        <v>47</v>
      </c>
      <c r="C109" t="s">
        <v>20</v>
      </c>
    </row>
    <row r="110" spans="1:3" x14ac:dyDescent="0.3">
      <c r="A110" t="s">
        <v>131</v>
      </c>
      <c r="B110" t="s">
        <v>19</v>
      </c>
      <c r="C110" t="s">
        <v>27</v>
      </c>
    </row>
    <row r="111" spans="1:3" x14ac:dyDescent="0.3">
      <c r="A111" t="s">
        <v>132</v>
      </c>
      <c r="B111" t="s">
        <v>47</v>
      </c>
      <c r="C111" t="s">
        <v>39</v>
      </c>
    </row>
    <row r="112" spans="1:3" x14ac:dyDescent="0.3">
      <c r="A112" t="s">
        <v>133</v>
      </c>
      <c r="B112" t="s">
        <v>29</v>
      </c>
      <c r="C112" t="s">
        <v>39</v>
      </c>
    </row>
    <row r="113" spans="1:3" x14ac:dyDescent="0.3">
      <c r="A113" t="s">
        <v>134</v>
      </c>
      <c r="B113" t="s">
        <v>10</v>
      </c>
      <c r="C113" t="s">
        <v>17</v>
      </c>
    </row>
    <row r="114" spans="1:3" x14ac:dyDescent="0.3">
      <c r="A114" t="s">
        <v>135</v>
      </c>
      <c r="B114" t="s">
        <v>10</v>
      </c>
      <c r="C114" t="s">
        <v>17</v>
      </c>
    </row>
    <row r="115" spans="1:3" x14ac:dyDescent="0.3">
      <c r="A115" t="s">
        <v>136</v>
      </c>
      <c r="B115" t="s">
        <v>4</v>
      </c>
      <c r="C115" t="s">
        <v>14</v>
      </c>
    </row>
    <row r="116" spans="1:3" x14ac:dyDescent="0.3">
      <c r="A116" t="s">
        <v>137</v>
      </c>
      <c r="B116" t="s">
        <v>4</v>
      </c>
      <c r="C116" t="s">
        <v>5</v>
      </c>
    </row>
    <row r="117" spans="1:3" x14ac:dyDescent="0.3">
      <c r="A117" t="s">
        <v>138</v>
      </c>
      <c r="B117" t="s">
        <v>10</v>
      </c>
      <c r="C117" t="s">
        <v>31</v>
      </c>
    </row>
    <row r="118" spans="1:3" x14ac:dyDescent="0.3">
      <c r="A118" t="s">
        <v>139</v>
      </c>
      <c r="B118" t="s">
        <v>37</v>
      </c>
      <c r="C118" t="s">
        <v>14</v>
      </c>
    </row>
    <row r="119" spans="1:3" x14ac:dyDescent="0.3">
      <c r="A119" t="s">
        <v>140</v>
      </c>
      <c r="B119" t="s">
        <v>10</v>
      </c>
      <c r="C119" t="s">
        <v>20</v>
      </c>
    </row>
    <row r="120" spans="1:3" x14ac:dyDescent="0.3">
      <c r="A120" t="s">
        <v>141</v>
      </c>
      <c r="B120" t="s">
        <v>22</v>
      </c>
      <c r="C120" t="s">
        <v>31</v>
      </c>
    </row>
    <row r="121" spans="1:3" x14ac:dyDescent="0.3">
      <c r="A121" t="s">
        <v>142</v>
      </c>
      <c r="B121" t="s">
        <v>37</v>
      </c>
      <c r="C121" t="s">
        <v>14</v>
      </c>
    </row>
    <row r="122" spans="1:3" x14ac:dyDescent="0.3">
      <c r="A122" t="s">
        <v>143</v>
      </c>
      <c r="B122" t="s">
        <v>4</v>
      </c>
      <c r="C122" t="s">
        <v>20</v>
      </c>
    </row>
    <row r="123" spans="1:3" x14ac:dyDescent="0.3">
      <c r="A123" t="s">
        <v>144</v>
      </c>
      <c r="B123" t="s">
        <v>47</v>
      </c>
      <c r="C123" t="s">
        <v>31</v>
      </c>
    </row>
    <row r="124" spans="1:3" x14ac:dyDescent="0.3">
      <c r="A124" t="s">
        <v>145</v>
      </c>
      <c r="B124" t="s">
        <v>45</v>
      </c>
      <c r="C124" t="s">
        <v>17</v>
      </c>
    </row>
    <row r="125" spans="1:3" x14ac:dyDescent="0.3">
      <c r="A125" t="s">
        <v>146</v>
      </c>
      <c r="B125" t="s">
        <v>7</v>
      </c>
      <c r="C125" t="s">
        <v>14</v>
      </c>
    </row>
    <row r="126" spans="1:3" x14ac:dyDescent="0.3">
      <c r="A126" t="s">
        <v>147</v>
      </c>
      <c r="B126" t="s">
        <v>10</v>
      </c>
      <c r="C126" t="s">
        <v>20</v>
      </c>
    </row>
    <row r="127" spans="1:3" x14ac:dyDescent="0.3">
      <c r="A127" t="s">
        <v>148</v>
      </c>
      <c r="B127" t="s">
        <v>4</v>
      </c>
      <c r="C127" t="s">
        <v>5</v>
      </c>
    </row>
    <row r="128" spans="1:3" x14ac:dyDescent="0.3">
      <c r="A128" t="s">
        <v>149</v>
      </c>
      <c r="B128" t="s">
        <v>7</v>
      </c>
      <c r="C128" t="s">
        <v>14</v>
      </c>
    </row>
    <row r="129" spans="1:3" x14ac:dyDescent="0.3">
      <c r="A129" t="s">
        <v>150</v>
      </c>
      <c r="B129" t="s">
        <v>12</v>
      </c>
      <c r="C129" t="s">
        <v>17</v>
      </c>
    </row>
    <row r="130" spans="1:3" x14ac:dyDescent="0.3">
      <c r="A130" t="s">
        <v>151</v>
      </c>
      <c r="B130" t="s">
        <v>22</v>
      </c>
      <c r="C130" t="s">
        <v>39</v>
      </c>
    </row>
    <row r="131" spans="1:3" x14ac:dyDescent="0.3">
      <c r="A131" t="s">
        <v>152</v>
      </c>
      <c r="B131" t="s">
        <v>29</v>
      </c>
      <c r="C131" t="s">
        <v>5</v>
      </c>
    </row>
    <row r="132" spans="1:3" x14ac:dyDescent="0.3">
      <c r="A132" t="s">
        <v>153</v>
      </c>
      <c r="B132" t="s">
        <v>4</v>
      </c>
      <c r="C132" t="s">
        <v>27</v>
      </c>
    </row>
    <row r="133" spans="1:3" x14ac:dyDescent="0.3">
      <c r="A133" t="s">
        <v>154</v>
      </c>
      <c r="B133" t="s">
        <v>47</v>
      </c>
      <c r="C133" t="s">
        <v>20</v>
      </c>
    </row>
    <row r="134" spans="1:3" x14ac:dyDescent="0.3">
      <c r="A134" t="s">
        <v>155</v>
      </c>
      <c r="B134" t="s">
        <v>4</v>
      </c>
      <c r="C134" t="s">
        <v>20</v>
      </c>
    </row>
    <row r="135" spans="1:3" x14ac:dyDescent="0.3">
      <c r="A135" t="s">
        <v>156</v>
      </c>
      <c r="B135" t="s">
        <v>4</v>
      </c>
      <c r="C135" t="s">
        <v>20</v>
      </c>
    </row>
    <row r="136" spans="1:3" x14ac:dyDescent="0.3">
      <c r="A136" t="s">
        <v>157</v>
      </c>
      <c r="B136" t="s">
        <v>19</v>
      </c>
      <c r="C136" t="s">
        <v>14</v>
      </c>
    </row>
    <row r="137" spans="1:3" x14ac:dyDescent="0.3">
      <c r="A137" t="s">
        <v>158</v>
      </c>
      <c r="B137" t="s">
        <v>12</v>
      </c>
      <c r="C137" t="s">
        <v>39</v>
      </c>
    </row>
    <row r="138" spans="1:3" x14ac:dyDescent="0.3">
      <c r="A138" t="s">
        <v>159</v>
      </c>
      <c r="B138" t="s">
        <v>45</v>
      </c>
      <c r="C138" t="s">
        <v>20</v>
      </c>
    </row>
    <row r="139" spans="1:3" x14ac:dyDescent="0.3">
      <c r="A139" t="s">
        <v>160</v>
      </c>
      <c r="B139" t="s">
        <v>7</v>
      </c>
      <c r="C139" t="s">
        <v>31</v>
      </c>
    </row>
    <row r="140" spans="1:3" x14ac:dyDescent="0.3">
      <c r="A140" t="s">
        <v>161</v>
      </c>
      <c r="B140" t="s">
        <v>45</v>
      </c>
      <c r="C140" t="s">
        <v>31</v>
      </c>
    </row>
    <row r="141" spans="1:3" x14ac:dyDescent="0.3">
      <c r="A141" t="s">
        <v>162</v>
      </c>
      <c r="B141" t="s">
        <v>7</v>
      </c>
      <c r="C141" t="s">
        <v>8</v>
      </c>
    </row>
    <row r="142" spans="1:3" x14ac:dyDescent="0.3">
      <c r="A142" t="s">
        <v>163</v>
      </c>
      <c r="B142" t="s">
        <v>24</v>
      </c>
      <c r="C142" t="s">
        <v>31</v>
      </c>
    </row>
    <row r="143" spans="1:3" x14ac:dyDescent="0.3">
      <c r="A143" t="s">
        <v>164</v>
      </c>
      <c r="B143" t="s">
        <v>45</v>
      </c>
      <c r="C143" t="s">
        <v>14</v>
      </c>
    </row>
    <row r="144" spans="1:3" x14ac:dyDescent="0.3">
      <c r="A144" t="s">
        <v>165</v>
      </c>
      <c r="B144" t="s">
        <v>22</v>
      </c>
      <c r="C144" t="s">
        <v>17</v>
      </c>
    </row>
    <row r="145" spans="1:3" x14ac:dyDescent="0.3">
      <c r="A145" t="s">
        <v>166</v>
      </c>
      <c r="B145" t="s">
        <v>29</v>
      </c>
      <c r="C145" t="s">
        <v>27</v>
      </c>
    </row>
    <row r="146" spans="1:3" x14ac:dyDescent="0.3">
      <c r="A146" t="s">
        <v>167</v>
      </c>
      <c r="B146" t="s">
        <v>37</v>
      </c>
      <c r="C146" t="s">
        <v>17</v>
      </c>
    </row>
    <row r="147" spans="1:3" x14ac:dyDescent="0.3">
      <c r="A147" t="s">
        <v>168</v>
      </c>
      <c r="B147" t="s">
        <v>45</v>
      </c>
      <c r="C147" t="s">
        <v>14</v>
      </c>
    </row>
    <row r="148" spans="1:3" x14ac:dyDescent="0.3">
      <c r="A148" t="s">
        <v>169</v>
      </c>
      <c r="B148" t="s">
        <v>10</v>
      </c>
      <c r="C148" t="s">
        <v>5</v>
      </c>
    </row>
    <row r="149" spans="1:3" x14ac:dyDescent="0.3">
      <c r="A149" t="s">
        <v>170</v>
      </c>
      <c r="B149" t="s">
        <v>16</v>
      </c>
      <c r="C149" t="s">
        <v>14</v>
      </c>
    </row>
    <row r="150" spans="1:3" x14ac:dyDescent="0.3">
      <c r="A150" t="s">
        <v>171</v>
      </c>
      <c r="B150" t="s">
        <v>19</v>
      </c>
      <c r="C150" t="s">
        <v>14</v>
      </c>
    </row>
    <row r="151" spans="1:3" x14ac:dyDescent="0.3">
      <c r="A151" t="s">
        <v>172</v>
      </c>
      <c r="B151" t="s">
        <v>10</v>
      </c>
      <c r="C151" t="s">
        <v>39</v>
      </c>
    </row>
    <row r="152" spans="1:3" x14ac:dyDescent="0.3">
      <c r="A152" t="s">
        <v>173</v>
      </c>
      <c r="B152" t="s">
        <v>24</v>
      </c>
      <c r="C152" t="s">
        <v>31</v>
      </c>
    </row>
    <row r="153" spans="1:3" x14ac:dyDescent="0.3">
      <c r="A153" t="s">
        <v>174</v>
      </c>
      <c r="B153" t="s">
        <v>24</v>
      </c>
      <c r="C153" t="s">
        <v>39</v>
      </c>
    </row>
    <row r="154" spans="1:3" x14ac:dyDescent="0.3">
      <c r="A154" t="s">
        <v>175</v>
      </c>
      <c r="B154" t="s">
        <v>45</v>
      </c>
    </row>
    <row r="155" spans="1:3" x14ac:dyDescent="0.3">
      <c r="A155" t="s">
        <v>176</v>
      </c>
      <c r="B155" t="s">
        <v>45</v>
      </c>
      <c r="C155" t="s">
        <v>20</v>
      </c>
    </row>
    <row r="156" spans="1:3" x14ac:dyDescent="0.3">
      <c r="A156" t="s">
        <v>177</v>
      </c>
      <c r="B156" t="s">
        <v>22</v>
      </c>
      <c r="C156" t="s">
        <v>27</v>
      </c>
    </row>
    <row r="157" spans="1:3" x14ac:dyDescent="0.3">
      <c r="A157" t="s">
        <v>178</v>
      </c>
      <c r="B157" t="s">
        <v>37</v>
      </c>
      <c r="C157" t="s">
        <v>20</v>
      </c>
    </row>
    <row r="158" spans="1:3" x14ac:dyDescent="0.3">
      <c r="A158" t="s">
        <v>179</v>
      </c>
      <c r="B158" t="s">
        <v>4</v>
      </c>
      <c r="C158" t="s">
        <v>27</v>
      </c>
    </row>
    <row r="159" spans="1:3" x14ac:dyDescent="0.3">
      <c r="A159" t="s">
        <v>180</v>
      </c>
      <c r="B159" t="s">
        <v>16</v>
      </c>
      <c r="C159" t="s">
        <v>14</v>
      </c>
    </row>
    <row r="160" spans="1:3" x14ac:dyDescent="0.3">
      <c r="A160" t="s">
        <v>181</v>
      </c>
      <c r="B160" t="s">
        <v>10</v>
      </c>
      <c r="C160" t="s">
        <v>20</v>
      </c>
    </row>
    <row r="161" spans="1:3" x14ac:dyDescent="0.3">
      <c r="A161" t="s">
        <v>182</v>
      </c>
      <c r="B161" t="s">
        <v>37</v>
      </c>
      <c r="C161" t="s">
        <v>8</v>
      </c>
    </row>
    <row r="162" spans="1:3" x14ac:dyDescent="0.3">
      <c r="A162" t="s">
        <v>183</v>
      </c>
      <c r="B162" t="s">
        <v>37</v>
      </c>
      <c r="C162" t="s">
        <v>14</v>
      </c>
    </row>
    <row r="163" spans="1:3" x14ac:dyDescent="0.3">
      <c r="A163" t="s">
        <v>184</v>
      </c>
      <c r="B163" t="s">
        <v>4</v>
      </c>
      <c r="C163" t="s">
        <v>39</v>
      </c>
    </row>
    <row r="164" spans="1:3" x14ac:dyDescent="0.3">
      <c r="A164" t="s">
        <v>185</v>
      </c>
      <c r="B164" t="s">
        <v>37</v>
      </c>
      <c r="C164" t="s">
        <v>20</v>
      </c>
    </row>
    <row r="165" spans="1:3" x14ac:dyDescent="0.3">
      <c r="A165" t="s">
        <v>186</v>
      </c>
      <c r="B165" t="s">
        <v>7</v>
      </c>
      <c r="C165" t="s">
        <v>17</v>
      </c>
    </row>
    <row r="166" spans="1:3" x14ac:dyDescent="0.3">
      <c r="A166" t="s">
        <v>187</v>
      </c>
      <c r="B166" t="s">
        <v>37</v>
      </c>
    </row>
    <row r="167" spans="1:3" x14ac:dyDescent="0.3">
      <c r="A167" t="s">
        <v>188</v>
      </c>
      <c r="B167" t="s">
        <v>45</v>
      </c>
      <c r="C167" t="s">
        <v>27</v>
      </c>
    </row>
    <row r="168" spans="1:3" x14ac:dyDescent="0.3">
      <c r="A168" t="s">
        <v>189</v>
      </c>
      <c r="B168" t="s">
        <v>16</v>
      </c>
      <c r="C168" t="s">
        <v>8</v>
      </c>
    </row>
    <row r="169" spans="1:3" x14ac:dyDescent="0.3">
      <c r="A169" t="s">
        <v>190</v>
      </c>
      <c r="B169" t="s">
        <v>24</v>
      </c>
      <c r="C169" t="s">
        <v>20</v>
      </c>
    </row>
    <row r="170" spans="1:3" x14ac:dyDescent="0.3">
      <c r="A170" t="s">
        <v>191</v>
      </c>
      <c r="B170" t="s">
        <v>16</v>
      </c>
      <c r="C170" t="s">
        <v>31</v>
      </c>
    </row>
    <row r="171" spans="1:3" x14ac:dyDescent="0.3">
      <c r="A171" t="s">
        <v>192</v>
      </c>
      <c r="B171" t="s">
        <v>10</v>
      </c>
      <c r="C171" t="s">
        <v>17</v>
      </c>
    </row>
    <row r="172" spans="1:3" x14ac:dyDescent="0.3">
      <c r="A172" t="s">
        <v>193</v>
      </c>
      <c r="B172" t="s">
        <v>4</v>
      </c>
      <c r="C172" t="s">
        <v>8</v>
      </c>
    </row>
    <row r="173" spans="1:3" x14ac:dyDescent="0.3">
      <c r="A173" t="s">
        <v>194</v>
      </c>
      <c r="B173" t="s">
        <v>47</v>
      </c>
      <c r="C173" t="s">
        <v>5</v>
      </c>
    </row>
    <row r="174" spans="1:3" x14ac:dyDescent="0.3">
      <c r="A174" t="s">
        <v>195</v>
      </c>
      <c r="B174" t="s">
        <v>12</v>
      </c>
      <c r="C174" t="s">
        <v>17</v>
      </c>
    </row>
    <row r="175" spans="1:3" x14ac:dyDescent="0.3">
      <c r="A175" t="s">
        <v>196</v>
      </c>
      <c r="B175" t="s">
        <v>37</v>
      </c>
      <c r="C175" t="s">
        <v>5</v>
      </c>
    </row>
    <row r="176" spans="1:3" x14ac:dyDescent="0.3">
      <c r="A176" t="s">
        <v>197</v>
      </c>
      <c r="B176" t="s">
        <v>29</v>
      </c>
      <c r="C176" t="s">
        <v>27</v>
      </c>
    </row>
    <row r="177" spans="1:3" x14ac:dyDescent="0.3">
      <c r="A177" t="s">
        <v>198</v>
      </c>
      <c r="B177" t="s">
        <v>45</v>
      </c>
      <c r="C177" t="s">
        <v>27</v>
      </c>
    </row>
    <row r="178" spans="1:3" x14ac:dyDescent="0.3">
      <c r="A178" t="s">
        <v>199</v>
      </c>
      <c r="B178" t="s">
        <v>7</v>
      </c>
      <c r="C178" t="s">
        <v>14</v>
      </c>
    </row>
    <row r="179" spans="1:3" x14ac:dyDescent="0.3">
      <c r="A179" t="s">
        <v>200</v>
      </c>
      <c r="B179" t="s">
        <v>24</v>
      </c>
      <c r="C179" t="s">
        <v>17</v>
      </c>
    </row>
    <row r="180" spans="1:3" x14ac:dyDescent="0.3">
      <c r="A180" t="s">
        <v>201</v>
      </c>
      <c r="B180" t="s">
        <v>7</v>
      </c>
      <c r="C180" t="s">
        <v>27</v>
      </c>
    </row>
    <row r="181" spans="1:3" x14ac:dyDescent="0.3">
      <c r="A181" t="s">
        <v>202</v>
      </c>
      <c r="B181" t="s">
        <v>4</v>
      </c>
      <c r="C181" t="s">
        <v>20</v>
      </c>
    </row>
    <row r="182" spans="1:3" x14ac:dyDescent="0.3">
      <c r="A182" t="s">
        <v>203</v>
      </c>
      <c r="B182" t="s">
        <v>10</v>
      </c>
      <c r="C182" t="s">
        <v>20</v>
      </c>
    </row>
    <row r="183" spans="1:3" x14ac:dyDescent="0.3">
      <c r="A183" t="s">
        <v>204</v>
      </c>
      <c r="B183" t="s">
        <v>16</v>
      </c>
      <c r="C183" t="s">
        <v>27</v>
      </c>
    </row>
    <row r="184" spans="1:3" x14ac:dyDescent="0.3">
      <c r="A184" t="s">
        <v>205</v>
      </c>
      <c r="B184" t="s">
        <v>16</v>
      </c>
      <c r="C184" t="s">
        <v>17</v>
      </c>
    </row>
    <row r="185" spans="1:3" x14ac:dyDescent="0.3">
      <c r="A185" t="s">
        <v>206</v>
      </c>
      <c r="B185" t="s">
        <v>29</v>
      </c>
      <c r="C185" t="s">
        <v>31</v>
      </c>
    </row>
    <row r="186" spans="1:3" x14ac:dyDescent="0.3">
      <c r="A186" t="s">
        <v>207</v>
      </c>
      <c r="B186" t="s">
        <v>37</v>
      </c>
      <c r="C186" t="s">
        <v>27</v>
      </c>
    </row>
    <row r="187" spans="1:3" x14ac:dyDescent="0.3">
      <c r="A187" t="s">
        <v>208</v>
      </c>
      <c r="B187" t="s">
        <v>22</v>
      </c>
      <c r="C187" t="s">
        <v>17</v>
      </c>
    </row>
    <row r="188" spans="1:3" x14ac:dyDescent="0.3">
      <c r="A188" t="s">
        <v>209</v>
      </c>
      <c r="B188" t="s">
        <v>22</v>
      </c>
      <c r="C188" t="s">
        <v>20</v>
      </c>
    </row>
    <row r="189" spans="1:3" x14ac:dyDescent="0.3">
      <c r="A189" t="s">
        <v>210</v>
      </c>
      <c r="B189" t="s">
        <v>45</v>
      </c>
      <c r="C189" t="s">
        <v>27</v>
      </c>
    </row>
    <row r="190" spans="1:3" x14ac:dyDescent="0.3">
      <c r="A190" t="s">
        <v>211</v>
      </c>
      <c r="B190" t="s">
        <v>29</v>
      </c>
      <c r="C190" t="s">
        <v>20</v>
      </c>
    </row>
    <row r="191" spans="1:3" x14ac:dyDescent="0.3">
      <c r="A191" t="s">
        <v>212</v>
      </c>
      <c r="B191" t="s">
        <v>4</v>
      </c>
      <c r="C191" t="s">
        <v>39</v>
      </c>
    </row>
    <row r="192" spans="1:3" x14ac:dyDescent="0.3">
      <c r="A192" t="s">
        <v>213</v>
      </c>
      <c r="B192" t="s">
        <v>45</v>
      </c>
      <c r="C192" t="s">
        <v>5</v>
      </c>
    </row>
    <row r="193" spans="1:3" x14ac:dyDescent="0.3">
      <c r="A193" t="s">
        <v>214</v>
      </c>
      <c r="B193" t="s">
        <v>37</v>
      </c>
      <c r="C193" t="s">
        <v>39</v>
      </c>
    </row>
    <row r="194" spans="1:3" x14ac:dyDescent="0.3">
      <c r="A194" t="s">
        <v>215</v>
      </c>
      <c r="B194" t="s">
        <v>45</v>
      </c>
      <c r="C194" t="s">
        <v>8</v>
      </c>
    </row>
    <row r="195" spans="1:3" x14ac:dyDescent="0.3">
      <c r="A195" t="s">
        <v>216</v>
      </c>
      <c r="B195" t="s">
        <v>12</v>
      </c>
    </row>
    <row r="196" spans="1:3" x14ac:dyDescent="0.3">
      <c r="A196" t="s">
        <v>217</v>
      </c>
      <c r="B196" t="s">
        <v>10</v>
      </c>
      <c r="C196" t="s">
        <v>31</v>
      </c>
    </row>
    <row r="197" spans="1:3" x14ac:dyDescent="0.3">
      <c r="A197" t="s">
        <v>218</v>
      </c>
      <c r="B197" t="s">
        <v>22</v>
      </c>
      <c r="C197" t="s">
        <v>27</v>
      </c>
    </row>
    <row r="198" spans="1:3" x14ac:dyDescent="0.3">
      <c r="A198" t="s">
        <v>219</v>
      </c>
      <c r="B198" t="s">
        <v>7</v>
      </c>
      <c r="C198" t="s">
        <v>14</v>
      </c>
    </row>
    <row r="199" spans="1:3" x14ac:dyDescent="0.3">
      <c r="A199" t="s">
        <v>220</v>
      </c>
      <c r="B199" t="s">
        <v>10</v>
      </c>
      <c r="C199" t="s">
        <v>27</v>
      </c>
    </row>
    <row r="200" spans="1:3" x14ac:dyDescent="0.3">
      <c r="A200" t="s">
        <v>221</v>
      </c>
      <c r="B200" t="s">
        <v>22</v>
      </c>
      <c r="C200" t="s">
        <v>31</v>
      </c>
    </row>
    <row r="201" spans="1:3" x14ac:dyDescent="0.3">
      <c r="A201" t="s">
        <v>222</v>
      </c>
      <c r="B201" t="s">
        <v>10</v>
      </c>
      <c r="C201" t="s">
        <v>14</v>
      </c>
    </row>
    <row r="202" spans="1:3" x14ac:dyDescent="0.3">
      <c r="A202" t="s">
        <v>223</v>
      </c>
      <c r="B202" t="s">
        <v>37</v>
      </c>
      <c r="C202" t="s">
        <v>8</v>
      </c>
    </row>
    <row r="203" spans="1:3" x14ac:dyDescent="0.3">
      <c r="A203" t="s">
        <v>224</v>
      </c>
      <c r="B203" t="s">
        <v>7</v>
      </c>
      <c r="C203" t="s">
        <v>5</v>
      </c>
    </row>
    <row r="204" spans="1:3" x14ac:dyDescent="0.3">
      <c r="A204" t="s">
        <v>225</v>
      </c>
      <c r="B204" t="s">
        <v>10</v>
      </c>
      <c r="C204" t="s">
        <v>20</v>
      </c>
    </row>
    <row r="205" spans="1:3" x14ac:dyDescent="0.3">
      <c r="A205" t="s">
        <v>226</v>
      </c>
      <c r="B205" t="s">
        <v>10</v>
      </c>
      <c r="C205" t="s">
        <v>14</v>
      </c>
    </row>
    <row r="206" spans="1:3" x14ac:dyDescent="0.3">
      <c r="A206" t="s">
        <v>227</v>
      </c>
      <c r="B206" t="s">
        <v>24</v>
      </c>
      <c r="C206" t="s">
        <v>39</v>
      </c>
    </row>
    <row r="207" spans="1:3" x14ac:dyDescent="0.3">
      <c r="A207" t="s">
        <v>228</v>
      </c>
      <c r="B207" t="s">
        <v>47</v>
      </c>
      <c r="C207" t="s">
        <v>20</v>
      </c>
    </row>
    <row r="208" spans="1:3" x14ac:dyDescent="0.3">
      <c r="A208" t="s">
        <v>229</v>
      </c>
      <c r="B208" t="s">
        <v>37</v>
      </c>
      <c r="C208" t="s">
        <v>14</v>
      </c>
    </row>
    <row r="209" spans="1:3" x14ac:dyDescent="0.3">
      <c r="A209" t="s">
        <v>230</v>
      </c>
      <c r="B209" t="s">
        <v>22</v>
      </c>
      <c r="C209" t="s">
        <v>17</v>
      </c>
    </row>
    <row r="210" spans="1:3" x14ac:dyDescent="0.3">
      <c r="A210" t="s">
        <v>231</v>
      </c>
      <c r="B210" t="s">
        <v>16</v>
      </c>
      <c r="C210" t="s">
        <v>31</v>
      </c>
    </row>
    <row r="211" spans="1:3" x14ac:dyDescent="0.3">
      <c r="A211" t="s">
        <v>232</v>
      </c>
      <c r="B211" t="s">
        <v>24</v>
      </c>
      <c r="C211" t="s">
        <v>20</v>
      </c>
    </row>
    <row r="212" spans="1:3" x14ac:dyDescent="0.3">
      <c r="A212" t="s">
        <v>233</v>
      </c>
      <c r="B212" t="s">
        <v>45</v>
      </c>
      <c r="C212" t="s">
        <v>27</v>
      </c>
    </row>
    <row r="213" spans="1:3" x14ac:dyDescent="0.3">
      <c r="A213" t="s">
        <v>234</v>
      </c>
      <c r="B213" t="s">
        <v>16</v>
      </c>
      <c r="C213" t="s">
        <v>8</v>
      </c>
    </row>
    <row r="214" spans="1:3" x14ac:dyDescent="0.3">
      <c r="A214" t="s">
        <v>235</v>
      </c>
      <c r="B214" t="s">
        <v>19</v>
      </c>
      <c r="C214" t="s">
        <v>14</v>
      </c>
    </row>
    <row r="215" spans="1:3" x14ac:dyDescent="0.3">
      <c r="A215" t="s">
        <v>236</v>
      </c>
      <c r="B215" t="s">
        <v>47</v>
      </c>
    </row>
    <row r="216" spans="1:3" x14ac:dyDescent="0.3">
      <c r="A216" t="s">
        <v>237</v>
      </c>
      <c r="B216" t="s">
        <v>47</v>
      </c>
      <c r="C216" t="s">
        <v>8</v>
      </c>
    </row>
    <row r="217" spans="1:3" x14ac:dyDescent="0.3">
      <c r="A217" t="s">
        <v>238</v>
      </c>
      <c r="B217" t="s">
        <v>45</v>
      </c>
      <c r="C217" t="s">
        <v>27</v>
      </c>
    </row>
    <row r="218" spans="1:3" x14ac:dyDescent="0.3">
      <c r="A218" t="s">
        <v>239</v>
      </c>
      <c r="B218" t="s">
        <v>22</v>
      </c>
      <c r="C218" t="s">
        <v>39</v>
      </c>
    </row>
    <row r="219" spans="1:3" x14ac:dyDescent="0.3">
      <c r="A219" t="s">
        <v>240</v>
      </c>
      <c r="B219" t="s">
        <v>47</v>
      </c>
      <c r="C219" t="s">
        <v>39</v>
      </c>
    </row>
    <row r="220" spans="1:3" x14ac:dyDescent="0.3">
      <c r="A220" t="s">
        <v>241</v>
      </c>
      <c r="B220" t="s">
        <v>4</v>
      </c>
      <c r="C220" t="s">
        <v>20</v>
      </c>
    </row>
    <row r="221" spans="1:3" x14ac:dyDescent="0.3">
      <c r="A221" t="s">
        <v>242</v>
      </c>
      <c r="B221" t="s">
        <v>10</v>
      </c>
      <c r="C221" t="s">
        <v>14</v>
      </c>
    </row>
    <row r="222" spans="1:3" x14ac:dyDescent="0.3">
      <c r="A222" t="s">
        <v>243</v>
      </c>
      <c r="B222" t="s">
        <v>19</v>
      </c>
      <c r="C222" t="s">
        <v>39</v>
      </c>
    </row>
    <row r="223" spans="1:3" x14ac:dyDescent="0.3">
      <c r="A223" t="s">
        <v>244</v>
      </c>
      <c r="B223" t="s">
        <v>29</v>
      </c>
      <c r="C223" t="s">
        <v>39</v>
      </c>
    </row>
    <row r="224" spans="1:3" x14ac:dyDescent="0.3">
      <c r="A224" t="s">
        <v>245</v>
      </c>
      <c r="B224" t="s">
        <v>37</v>
      </c>
      <c r="C224" t="s">
        <v>20</v>
      </c>
    </row>
    <row r="225" spans="1:3" x14ac:dyDescent="0.3">
      <c r="A225" t="s">
        <v>246</v>
      </c>
      <c r="B225" t="s">
        <v>4</v>
      </c>
      <c r="C225" t="s">
        <v>17</v>
      </c>
    </row>
    <row r="226" spans="1:3" x14ac:dyDescent="0.3">
      <c r="A226" t="s">
        <v>247</v>
      </c>
      <c r="B226" t="s">
        <v>7</v>
      </c>
    </row>
    <row r="227" spans="1:3" x14ac:dyDescent="0.3">
      <c r="A227" t="s">
        <v>248</v>
      </c>
      <c r="B227" t="s">
        <v>19</v>
      </c>
      <c r="C227" t="s">
        <v>27</v>
      </c>
    </row>
    <row r="228" spans="1:3" x14ac:dyDescent="0.3">
      <c r="A228" t="s">
        <v>249</v>
      </c>
      <c r="B228" t="s">
        <v>4</v>
      </c>
      <c r="C228" t="s">
        <v>8</v>
      </c>
    </row>
    <row r="229" spans="1:3" x14ac:dyDescent="0.3">
      <c r="A229" t="s">
        <v>250</v>
      </c>
      <c r="B229" t="s">
        <v>47</v>
      </c>
      <c r="C229" t="s">
        <v>5</v>
      </c>
    </row>
    <row r="230" spans="1:3" x14ac:dyDescent="0.3">
      <c r="A230" t="s">
        <v>251</v>
      </c>
      <c r="B230" t="s">
        <v>4</v>
      </c>
      <c r="C230" t="s">
        <v>5</v>
      </c>
    </row>
    <row r="231" spans="1:3" x14ac:dyDescent="0.3">
      <c r="A231" t="s">
        <v>252</v>
      </c>
      <c r="B231" t="s">
        <v>19</v>
      </c>
      <c r="C231" t="s">
        <v>27</v>
      </c>
    </row>
    <row r="232" spans="1:3" x14ac:dyDescent="0.3">
      <c r="A232" t="s">
        <v>253</v>
      </c>
      <c r="B232" t="s">
        <v>29</v>
      </c>
      <c r="C232" t="s">
        <v>20</v>
      </c>
    </row>
    <row r="233" spans="1:3" x14ac:dyDescent="0.3">
      <c r="A233" t="s">
        <v>254</v>
      </c>
      <c r="B233" t="s">
        <v>24</v>
      </c>
      <c r="C233" t="s">
        <v>20</v>
      </c>
    </row>
    <row r="234" spans="1:3" x14ac:dyDescent="0.3">
      <c r="A234" t="s">
        <v>255</v>
      </c>
      <c r="B234" t="s">
        <v>29</v>
      </c>
      <c r="C234" t="s">
        <v>20</v>
      </c>
    </row>
    <row r="235" spans="1:3" x14ac:dyDescent="0.3">
      <c r="A235" t="s">
        <v>256</v>
      </c>
      <c r="B235" t="s">
        <v>37</v>
      </c>
      <c r="C235" t="s">
        <v>20</v>
      </c>
    </row>
    <row r="236" spans="1:3" x14ac:dyDescent="0.3">
      <c r="A236" t="s">
        <v>257</v>
      </c>
      <c r="B236" t="s">
        <v>19</v>
      </c>
      <c r="C236" t="s">
        <v>5</v>
      </c>
    </row>
    <row r="237" spans="1:3" x14ac:dyDescent="0.3">
      <c r="A237" t="s">
        <v>258</v>
      </c>
      <c r="B237" t="s">
        <v>16</v>
      </c>
      <c r="C237" t="s">
        <v>14</v>
      </c>
    </row>
    <row r="238" spans="1:3" x14ac:dyDescent="0.3">
      <c r="A238" t="s">
        <v>259</v>
      </c>
      <c r="B238" t="s">
        <v>7</v>
      </c>
      <c r="C238" t="s">
        <v>14</v>
      </c>
    </row>
    <row r="239" spans="1:3" x14ac:dyDescent="0.3">
      <c r="A239" t="s">
        <v>260</v>
      </c>
      <c r="B239" t="s">
        <v>10</v>
      </c>
      <c r="C239" t="s">
        <v>17</v>
      </c>
    </row>
    <row r="240" spans="1:3" x14ac:dyDescent="0.3">
      <c r="A240" t="s">
        <v>261</v>
      </c>
      <c r="B240" t="s">
        <v>12</v>
      </c>
      <c r="C240" t="s">
        <v>31</v>
      </c>
    </row>
    <row r="241" spans="1:3" x14ac:dyDescent="0.3">
      <c r="A241" t="s">
        <v>262</v>
      </c>
      <c r="B241" t="s">
        <v>12</v>
      </c>
      <c r="C241" t="s">
        <v>20</v>
      </c>
    </row>
    <row r="242" spans="1:3" x14ac:dyDescent="0.3">
      <c r="A242" t="s">
        <v>263</v>
      </c>
      <c r="B242" t="s">
        <v>4</v>
      </c>
      <c r="C242" t="s">
        <v>20</v>
      </c>
    </row>
    <row r="243" spans="1:3" x14ac:dyDescent="0.3">
      <c r="A243" t="s">
        <v>264</v>
      </c>
      <c r="B243" t="s">
        <v>12</v>
      </c>
      <c r="C243" t="s">
        <v>8</v>
      </c>
    </row>
    <row r="244" spans="1:3" x14ac:dyDescent="0.3">
      <c r="A244" t="s">
        <v>265</v>
      </c>
      <c r="B244" t="s">
        <v>10</v>
      </c>
      <c r="C244" t="s">
        <v>39</v>
      </c>
    </row>
    <row r="245" spans="1:3" x14ac:dyDescent="0.3">
      <c r="A245" t="s">
        <v>266</v>
      </c>
      <c r="B245" t="s">
        <v>16</v>
      </c>
      <c r="C245" t="s">
        <v>8</v>
      </c>
    </row>
    <row r="246" spans="1:3" x14ac:dyDescent="0.3">
      <c r="A246" t="s">
        <v>267</v>
      </c>
      <c r="B246" t="s">
        <v>47</v>
      </c>
      <c r="C246" t="s">
        <v>27</v>
      </c>
    </row>
    <row r="247" spans="1:3" x14ac:dyDescent="0.3">
      <c r="A247" t="s">
        <v>268</v>
      </c>
      <c r="B247" t="s">
        <v>10</v>
      </c>
      <c r="C247" t="s">
        <v>17</v>
      </c>
    </row>
    <row r="248" spans="1:3" x14ac:dyDescent="0.3">
      <c r="A248" t="s">
        <v>269</v>
      </c>
      <c r="B248" t="s">
        <v>24</v>
      </c>
      <c r="C248" t="s">
        <v>39</v>
      </c>
    </row>
    <row r="249" spans="1:3" x14ac:dyDescent="0.3">
      <c r="A249" t="s">
        <v>270</v>
      </c>
      <c r="B249" t="s">
        <v>16</v>
      </c>
      <c r="C249" t="s">
        <v>5</v>
      </c>
    </row>
    <row r="250" spans="1:3" x14ac:dyDescent="0.3">
      <c r="A250" t="s">
        <v>271</v>
      </c>
      <c r="B250" t="s">
        <v>45</v>
      </c>
      <c r="C250" t="s">
        <v>20</v>
      </c>
    </row>
    <row r="251" spans="1:3" x14ac:dyDescent="0.3">
      <c r="A251" t="s">
        <v>272</v>
      </c>
      <c r="B251" t="s">
        <v>7</v>
      </c>
      <c r="C251" t="s">
        <v>17</v>
      </c>
    </row>
    <row r="252" spans="1:3" x14ac:dyDescent="0.3">
      <c r="A252" t="s">
        <v>273</v>
      </c>
      <c r="B252" t="s">
        <v>24</v>
      </c>
    </row>
    <row r="253" spans="1:3" x14ac:dyDescent="0.3">
      <c r="A253" t="s">
        <v>274</v>
      </c>
      <c r="B253" t="s">
        <v>22</v>
      </c>
      <c r="C253" t="s">
        <v>5</v>
      </c>
    </row>
    <row r="254" spans="1:3" x14ac:dyDescent="0.3">
      <c r="A254" t="s">
        <v>275</v>
      </c>
      <c r="B254" t="s">
        <v>22</v>
      </c>
      <c r="C254" t="s">
        <v>27</v>
      </c>
    </row>
    <row r="255" spans="1:3" x14ac:dyDescent="0.3">
      <c r="A255" t="s">
        <v>276</v>
      </c>
      <c r="B255" t="s">
        <v>24</v>
      </c>
      <c r="C255" t="s">
        <v>20</v>
      </c>
    </row>
    <row r="256" spans="1:3" x14ac:dyDescent="0.3">
      <c r="A256" t="s">
        <v>277</v>
      </c>
      <c r="B256" t="s">
        <v>16</v>
      </c>
      <c r="C256" t="s">
        <v>31</v>
      </c>
    </row>
    <row r="257" spans="1:3" x14ac:dyDescent="0.3">
      <c r="A257" t="s">
        <v>278</v>
      </c>
      <c r="B257" t="s">
        <v>37</v>
      </c>
      <c r="C257" t="s">
        <v>8</v>
      </c>
    </row>
    <row r="258" spans="1:3" x14ac:dyDescent="0.3">
      <c r="A258" t="s">
        <v>279</v>
      </c>
      <c r="B258" t="s">
        <v>22</v>
      </c>
      <c r="C258" t="s">
        <v>31</v>
      </c>
    </row>
    <row r="259" spans="1:3" x14ac:dyDescent="0.3">
      <c r="A259" t="s">
        <v>280</v>
      </c>
      <c r="B259" t="s">
        <v>10</v>
      </c>
      <c r="C259" t="s">
        <v>31</v>
      </c>
    </row>
    <row r="260" spans="1:3" x14ac:dyDescent="0.3">
      <c r="A260" t="s">
        <v>281</v>
      </c>
      <c r="B260" t="s">
        <v>47</v>
      </c>
      <c r="C260" t="s">
        <v>14</v>
      </c>
    </row>
    <row r="261" spans="1:3" x14ac:dyDescent="0.3">
      <c r="A261" t="s">
        <v>282</v>
      </c>
      <c r="B261" t="s">
        <v>12</v>
      </c>
      <c r="C261" t="s">
        <v>20</v>
      </c>
    </row>
    <row r="262" spans="1:3" x14ac:dyDescent="0.3">
      <c r="A262" t="s">
        <v>283</v>
      </c>
      <c r="B262" t="s">
        <v>29</v>
      </c>
      <c r="C262" t="s">
        <v>8</v>
      </c>
    </row>
    <row r="263" spans="1:3" x14ac:dyDescent="0.3">
      <c r="A263" t="s">
        <v>284</v>
      </c>
      <c r="B263" t="s">
        <v>7</v>
      </c>
      <c r="C263" t="s">
        <v>5</v>
      </c>
    </row>
    <row r="264" spans="1:3" x14ac:dyDescent="0.3">
      <c r="A264" t="s">
        <v>285</v>
      </c>
      <c r="B264" t="s">
        <v>19</v>
      </c>
    </row>
    <row r="265" spans="1:3" x14ac:dyDescent="0.3">
      <c r="A265" t="s">
        <v>286</v>
      </c>
      <c r="B265" t="s">
        <v>45</v>
      </c>
      <c r="C265" t="s">
        <v>27</v>
      </c>
    </row>
    <row r="266" spans="1:3" x14ac:dyDescent="0.3">
      <c r="A266" t="s">
        <v>287</v>
      </c>
      <c r="B266" t="s">
        <v>10</v>
      </c>
      <c r="C266" t="s">
        <v>8</v>
      </c>
    </row>
    <row r="267" spans="1:3" x14ac:dyDescent="0.3">
      <c r="A267" t="s">
        <v>288</v>
      </c>
      <c r="B267" t="s">
        <v>29</v>
      </c>
      <c r="C267" t="s">
        <v>20</v>
      </c>
    </row>
    <row r="268" spans="1:3" x14ac:dyDescent="0.3">
      <c r="A268" t="s">
        <v>289</v>
      </c>
      <c r="B268" t="s">
        <v>37</v>
      </c>
      <c r="C268" t="s">
        <v>39</v>
      </c>
    </row>
    <row r="269" spans="1:3" x14ac:dyDescent="0.3">
      <c r="A269" t="s">
        <v>290</v>
      </c>
      <c r="B269" t="s">
        <v>16</v>
      </c>
      <c r="C269" t="s">
        <v>27</v>
      </c>
    </row>
    <row r="270" spans="1:3" x14ac:dyDescent="0.3">
      <c r="A270" t="s">
        <v>291</v>
      </c>
      <c r="B270" t="s">
        <v>19</v>
      </c>
      <c r="C270" t="s">
        <v>31</v>
      </c>
    </row>
    <row r="271" spans="1:3" x14ac:dyDescent="0.3">
      <c r="A271" t="s">
        <v>292</v>
      </c>
      <c r="B271" t="s">
        <v>45</v>
      </c>
      <c r="C271" t="s">
        <v>8</v>
      </c>
    </row>
    <row r="272" spans="1:3" x14ac:dyDescent="0.3">
      <c r="A272" t="s">
        <v>293</v>
      </c>
      <c r="B272" t="s">
        <v>4</v>
      </c>
    </row>
    <row r="273" spans="1:3" x14ac:dyDescent="0.3">
      <c r="A273" t="s">
        <v>294</v>
      </c>
      <c r="B273" t="s">
        <v>4</v>
      </c>
      <c r="C273" t="s">
        <v>27</v>
      </c>
    </row>
    <row r="274" spans="1:3" x14ac:dyDescent="0.3">
      <c r="A274" t="s">
        <v>295</v>
      </c>
      <c r="B274" t="s">
        <v>10</v>
      </c>
      <c r="C274" t="s">
        <v>8</v>
      </c>
    </row>
    <row r="275" spans="1:3" x14ac:dyDescent="0.3">
      <c r="A275" t="s">
        <v>296</v>
      </c>
      <c r="B275" t="s">
        <v>37</v>
      </c>
      <c r="C275" t="s">
        <v>14</v>
      </c>
    </row>
    <row r="276" spans="1:3" x14ac:dyDescent="0.3">
      <c r="A276" t="s">
        <v>297</v>
      </c>
      <c r="B276" t="s">
        <v>7</v>
      </c>
    </row>
    <row r="277" spans="1:3" x14ac:dyDescent="0.3">
      <c r="A277" t="s">
        <v>298</v>
      </c>
      <c r="B277" t="s">
        <v>22</v>
      </c>
      <c r="C277" t="s">
        <v>31</v>
      </c>
    </row>
    <row r="278" spans="1:3" x14ac:dyDescent="0.3">
      <c r="A278" t="s">
        <v>299</v>
      </c>
      <c r="B278" t="s">
        <v>7</v>
      </c>
      <c r="C278" t="s">
        <v>39</v>
      </c>
    </row>
    <row r="279" spans="1:3" x14ac:dyDescent="0.3">
      <c r="A279" t="s">
        <v>300</v>
      </c>
      <c r="B279" t="s">
        <v>16</v>
      </c>
      <c r="C279" t="s">
        <v>20</v>
      </c>
    </row>
    <row r="280" spans="1:3" x14ac:dyDescent="0.3">
      <c r="A280" t="s">
        <v>301</v>
      </c>
      <c r="B280" t="s">
        <v>22</v>
      </c>
      <c r="C280" t="s">
        <v>5</v>
      </c>
    </row>
    <row r="281" spans="1:3" x14ac:dyDescent="0.3">
      <c r="A281" t="s">
        <v>302</v>
      </c>
      <c r="B281" t="s">
        <v>16</v>
      </c>
      <c r="C281" t="s">
        <v>17</v>
      </c>
    </row>
    <row r="282" spans="1:3" x14ac:dyDescent="0.3">
      <c r="A282" t="s">
        <v>303</v>
      </c>
      <c r="B282" t="s">
        <v>7</v>
      </c>
      <c r="C282" t="s">
        <v>5</v>
      </c>
    </row>
    <row r="283" spans="1:3" x14ac:dyDescent="0.3">
      <c r="A283" t="s">
        <v>304</v>
      </c>
      <c r="B283" t="s">
        <v>45</v>
      </c>
      <c r="C283" t="s">
        <v>8</v>
      </c>
    </row>
    <row r="284" spans="1:3" x14ac:dyDescent="0.3">
      <c r="A284" t="s">
        <v>305</v>
      </c>
      <c r="B284" t="s">
        <v>4</v>
      </c>
      <c r="C284" t="s">
        <v>27</v>
      </c>
    </row>
    <row r="285" spans="1:3" x14ac:dyDescent="0.3">
      <c r="A285" t="s">
        <v>306</v>
      </c>
      <c r="B285" t="s">
        <v>24</v>
      </c>
      <c r="C285" t="s">
        <v>31</v>
      </c>
    </row>
    <row r="286" spans="1:3" x14ac:dyDescent="0.3">
      <c r="A286" t="s">
        <v>307</v>
      </c>
      <c r="B286" t="s">
        <v>22</v>
      </c>
      <c r="C286" t="s">
        <v>5</v>
      </c>
    </row>
    <row r="287" spans="1:3" x14ac:dyDescent="0.3">
      <c r="A287" t="s">
        <v>308</v>
      </c>
      <c r="B287" t="s">
        <v>10</v>
      </c>
      <c r="C287" t="s">
        <v>17</v>
      </c>
    </row>
    <row r="288" spans="1:3" x14ac:dyDescent="0.3">
      <c r="A288" t="s">
        <v>309</v>
      </c>
      <c r="B288" t="s">
        <v>4</v>
      </c>
      <c r="C288" t="s">
        <v>39</v>
      </c>
    </row>
    <row r="289" spans="1:3" x14ac:dyDescent="0.3">
      <c r="A289" t="s">
        <v>310</v>
      </c>
      <c r="B289" t="s">
        <v>12</v>
      </c>
      <c r="C289" t="s">
        <v>20</v>
      </c>
    </row>
    <row r="290" spans="1:3" x14ac:dyDescent="0.3">
      <c r="A290" t="s">
        <v>311</v>
      </c>
      <c r="B290" t="s">
        <v>47</v>
      </c>
      <c r="C290" t="s">
        <v>8</v>
      </c>
    </row>
    <row r="291" spans="1:3" x14ac:dyDescent="0.3">
      <c r="A291" t="s">
        <v>312</v>
      </c>
      <c r="B291" t="s">
        <v>4</v>
      </c>
      <c r="C291" t="s">
        <v>5</v>
      </c>
    </row>
    <row r="292" spans="1:3" x14ac:dyDescent="0.3">
      <c r="A292" t="s">
        <v>313</v>
      </c>
      <c r="B292" t="s">
        <v>4</v>
      </c>
      <c r="C292" t="s">
        <v>8</v>
      </c>
    </row>
    <row r="293" spans="1:3" x14ac:dyDescent="0.3">
      <c r="A293" t="s">
        <v>314</v>
      </c>
      <c r="B293" t="s">
        <v>22</v>
      </c>
      <c r="C293" t="s">
        <v>8</v>
      </c>
    </row>
    <row r="294" spans="1:3" x14ac:dyDescent="0.3">
      <c r="A294" t="s">
        <v>315</v>
      </c>
      <c r="B294" t="s">
        <v>29</v>
      </c>
      <c r="C294" t="s">
        <v>14</v>
      </c>
    </row>
    <row r="295" spans="1:3" x14ac:dyDescent="0.3">
      <c r="A295" t="s">
        <v>316</v>
      </c>
      <c r="B295" t="s">
        <v>12</v>
      </c>
      <c r="C295" t="s">
        <v>31</v>
      </c>
    </row>
    <row r="296" spans="1:3" x14ac:dyDescent="0.3">
      <c r="A296" t="s">
        <v>317</v>
      </c>
      <c r="B296" t="s">
        <v>12</v>
      </c>
      <c r="C296" t="s">
        <v>14</v>
      </c>
    </row>
    <row r="297" spans="1:3" x14ac:dyDescent="0.3">
      <c r="A297" t="s">
        <v>318</v>
      </c>
      <c r="B297" t="s">
        <v>16</v>
      </c>
      <c r="C297" t="s">
        <v>31</v>
      </c>
    </row>
    <row r="298" spans="1:3" x14ac:dyDescent="0.3">
      <c r="A298" t="s">
        <v>319</v>
      </c>
      <c r="B298" t="s">
        <v>12</v>
      </c>
      <c r="C298" t="s">
        <v>20</v>
      </c>
    </row>
    <row r="299" spans="1:3" x14ac:dyDescent="0.3">
      <c r="A299" t="s">
        <v>320</v>
      </c>
      <c r="B299" t="s">
        <v>12</v>
      </c>
      <c r="C299" t="s">
        <v>20</v>
      </c>
    </row>
    <row r="300" spans="1:3" x14ac:dyDescent="0.3">
      <c r="A300" t="s">
        <v>321</v>
      </c>
      <c r="B300" t="s">
        <v>12</v>
      </c>
    </row>
    <row r="301" spans="1:3" x14ac:dyDescent="0.3">
      <c r="A301" t="s">
        <v>322</v>
      </c>
      <c r="B301" t="s">
        <v>29</v>
      </c>
      <c r="C301"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1"/>
  <sheetViews>
    <sheetView topLeftCell="A16" workbookViewId="0">
      <selection activeCell="C18" sqref="C18"/>
    </sheetView>
  </sheetViews>
  <sheetFormatPr defaultRowHeight="14.4" x14ac:dyDescent="0.3"/>
  <cols>
    <col min="1" max="1" width="9.5546875" bestFit="1" customWidth="1"/>
    <col min="2" max="2" width="12.6640625" bestFit="1" customWidth="1"/>
    <col min="3" max="3" width="10.44140625" bestFit="1" customWidth="1"/>
    <col min="4" max="4" width="9.109375" bestFit="1" customWidth="1"/>
    <col min="5" max="5" width="10.5546875" bestFit="1" customWidth="1"/>
  </cols>
  <sheetData>
    <row r="1" spans="1:5" x14ac:dyDescent="0.3">
      <c r="A1" t="s">
        <v>323</v>
      </c>
      <c r="B1" t="s">
        <v>324</v>
      </c>
      <c r="C1" t="s">
        <v>325</v>
      </c>
      <c r="D1" t="s">
        <v>326</v>
      </c>
      <c r="E1" t="s">
        <v>327</v>
      </c>
    </row>
    <row r="2" spans="1:5" x14ac:dyDescent="0.3">
      <c r="A2" t="s">
        <v>328</v>
      </c>
      <c r="B2" t="s">
        <v>329</v>
      </c>
      <c r="C2" t="s">
        <v>330</v>
      </c>
      <c r="D2">
        <v>20000</v>
      </c>
      <c r="E2">
        <v>25000</v>
      </c>
    </row>
    <row r="3" spans="1:5" x14ac:dyDescent="0.3">
      <c r="A3" t="s">
        <v>331</v>
      </c>
      <c r="B3" t="s">
        <v>332</v>
      </c>
      <c r="C3" t="s">
        <v>333</v>
      </c>
      <c r="D3">
        <v>500</v>
      </c>
      <c r="E3">
        <v>800</v>
      </c>
    </row>
    <row r="4" spans="1:5" x14ac:dyDescent="0.3">
      <c r="A4" t="s">
        <v>334</v>
      </c>
      <c r="B4" t="s">
        <v>335</v>
      </c>
      <c r="C4" t="s">
        <v>333</v>
      </c>
      <c r="D4">
        <v>900</v>
      </c>
      <c r="E4">
        <v>1500</v>
      </c>
    </row>
    <row r="5" spans="1:5" x14ac:dyDescent="0.3">
      <c r="A5" t="s">
        <v>336</v>
      </c>
      <c r="B5" t="s">
        <v>337</v>
      </c>
      <c r="C5" t="s">
        <v>330</v>
      </c>
      <c r="D5">
        <v>15000</v>
      </c>
      <c r="E5">
        <v>18000</v>
      </c>
    </row>
    <row r="6" spans="1:5" x14ac:dyDescent="0.3">
      <c r="A6" t="s">
        <v>338</v>
      </c>
      <c r="B6" t="s">
        <v>332</v>
      </c>
      <c r="C6" t="s">
        <v>333</v>
      </c>
      <c r="D6">
        <v>500</v>
      </c>
      <c r="E6">
        <v>800</v>
      </c>
    </row>
    <row r="7" spans="1:5" x14ac:dyDescent="0.3">
      <c r="A7" t="s">
        <v>339</v>
      </c>
      <c r="B7" t="s">
        <v>340</v>
      </c>
      <c r="C7" t="s">
        <v>330</v>
      </c>
      <c r="D7">
        <v>42000</v>
      </c>
      <c r="E7">
        <v>50000</v>
      </c>
    </row>
    <row r="8" spans="1:5" x14ac:dyDescent="0.3">
      <c r="A8" t="s">
        <v>341</v>
      </c>
      <c r="B8" t="s">
        <v>329</v>
      </c>
      <c r="C8" t="s">
        <v>330</v>
      </c>
      <c r="D8">
        <v>20000</v>
      </c>
      <c r="E8">
        <v>25000</v>
      </c>
    </row>
    <row r="9" spans="1:5" x14ac:dyDescent="0.3">
      <c r="A9" t="s">
        <v>342</v>
      </c>
      <c r="B9" t="s">
        <v>337</v>
      </c>
      <c r="C9" t="s">
        <v>330</v>
      </c>
      <c r="D9">
        <v>15000</v>
      </c>
      <c r="E9">
        <v>18000</v>
      </c>
    </row>
    <row r="10" spans="1:5" x14ac:dyDescent="0.3">
      <c r="A10" t="s">
        <v>343</v>
      </c>
      <c r="B10" t="s">
        <v>344</v>
      </c>
      <c r="C10" t="s">
        <v>333</v>
      </c>
      <c r="D10">
        <v>2000</v>
      </c>
      <c r="E10">
        <v>3000</v>
      </c>
    </row>
    <row r="11" spans="1:5" x14ac:dyDescent="0.3">
      <c r="A11" t="s">
        <v>345</v>
      </c>
      <c r="B11" t="s">
        <v>346</v>
      </c>
      <c r="C11" t="s">
        <v>333</v>
      </c>
      <c r="D11">
        <v>9000</v>
      </c>
      <c r="E11">
        <v>12000</v>
      </c>
    </row>
    <row r="12" spans="1:5" x14ac:dyDescent="0.3">
      <c r="A12" t="s">
        <v>347</v>
      </c>
      <c r="B12" t="s">
        <v>335</v>
      </c>
      <c r="C12" t="s">
        <v>333</v>
      </c>
      <c r="D12">
        <v>900</v>
      </c>
      <c r="E12">
        <v>1500</v>
      </c>
    </row>
    <row r="13" spans="1:5" x14ac:dyDescent="0.3">
      <c r="A13" t="s">
        <v>348</v>
      </c>
      <c r="B13" t="s">
        <v>335</v>
      </c>
      <c r="C13" t="s">
        <v>333</v>
      </c>
      <c r="D13">
        <v>900</v>
      </c>
      <c r="E13">
        <v>1500</v>
      </c>
    </row>
    <row r="14" spans="1:5" x14ac:dyDescent="0.3">
      <c r="A14" t="s">
        <v>349</v>
      </c>
      <c r="B14" t="s">
        <v>350</v>
      </c>
      <c r="C14" t="s">
        <v>333</v>
      </c>
      <c r="D14">
        <v>9000</v>
      </c>
      <c r="E14">
        <v>12000</v>
      </c>
    </row>
    <row r="15" spans="1:5" x14ac:dyDescent="0.3">
      <c r="A15" t="s">
        <v>351</v>
      </c>
      <c r="B15" t="s">
        <v>332</v>
      </c>
      <c r="C15" t="s">
        <v>333</v>
      </c>
      <c r="D15">
        <v>500</v>
      </c>
      <c r="E15">
        <v>800</v>
      </c>
    </row>
    <row r="16" spans="1:5" x14ac:dyDescent="0.3">
      <c r="A16" t="s">
        <v>352</v>
      </c>
      <c r="B16" t="s">
        <v>353</v>
      </c>
      <c r="C16" t="s">
        <v>330</v>
      </c>
      <c r="D16">
        <v>12000</v>
      </c>
      <c r="E16">
        <v>15000</v>
      </c>
    </row>
    <row r="17" spans="1:5" x14ac:dyDescent="0.3">
      <c r="A17" t="s">
        <v>354</v>
      </c>
      <c r="B17" t="s">
        <v>329</v>
      </c>
      <c r="C17" t="s">
        <v>330</v>
      </c>
      <c r="D17">
        <v>20000</v>
      </c>
      <c r="E17">
        <v>25000</v>
      </c>
    </row>
    <row r="18" spans="1:5" x14ac:dyDescent="0.3">
      <c r="A18" t="s">
        <v>355</v>
      </c>
      <c r="B18" t="s">
        <v>335</v>
      </c>
      <c r="C18" t="s">
        <v>333</v>
      </c>
      <c r="D18">
        <v>900</v>
      </c>
      <c r="E18">
        <v>1500</v>
      </c>
    </row>
    <row r="19" spans="1:5" x14ac:dyDescent="0.3">
      <c r="A19" t="s">
        <v>356</v>
      </c>
      <c r="B19" t="s">
        <v>340</v>
      </c>
      <c r="C19" t="s">
        <v>330</v>
      </c>
      <c r="D19">
        <v>42000</v>
      </c>
      <c r="E19">
        <v>50000</v>
      </c>
    </row>
    <row r="20" spans="1:5" x14ac:dyDescent="0.3">
      <c r="A20" t="s">
        <v>357</v>
      </c>
      <c r="B20" t="s">
        <v>340</v>
      </c>
      <c r="C20" t="s">
        <v>330</v>
      </c>
      <c r="D20">
        <v>42000</v>
      </c>
      <c r="E20">
        <v>50000</v>
      </c>
    </row>
    <row r="21" spans="1:5" x14ac:dyDescent="0.3">
      <c r="A21" t="s">
        <v>358</v>
      </c>
      <c r="B21" t="s">
        <v>332</v>
      </c>
      <c r="C21" t="s">
        <v>333</v>
      </c>
      <c r="D21">
        <v>500</v>
      </c>
      <c r="E21">
        <v>800</v>
      </c>
    </row>
    <row r="22" spans="1:5" x14ac:dyDescent="0.3">
      <c r="A22" t="s">
        <v>359</v>
      </c>
      <c r="B22" t="s">
        <v>329</v>
      </c>
      <c r="C22" t="s">
        <v>330</v>
      </c>
      <c r="D22">
        <v>20000</v>
      </c>
      <c r="E22">
        <v>25000</v>
      </c>
    </row>
    <row r="23" spans="1:5" x14ac:dyDescent="0.3">
      <c r="A23" t="s">
        <v>360</v>
      </c>
      <c r="B23" t="s">
        <v>340</v>
      </c>
      <c r="C23" t="s">
        <v>330</v>
      </c>
      <c r="D23">
        <v>42000</v>
      </c>
      <c r="E23">
        <v>50000</v>
      </c>
    </row>
    <row r="24" spans="1:5" x14ac:dyDescent="0.3">
      <c r="A24" t="s">
        <v>361</v>
      </c>
      <c r="B24" t="s">
        <v>344</v>
      </c>
      <c r="C24" t="s">
        <v>333</v>
      </c>
      <c r="D24">
        <v>2000</v>
      </c>
      <c r="E24">
        <v>3000</v>
      </c>
    </row>
    <row r="25" spans="1:5" x14ac:dyDescent="0.3">
      <c r="A25" t="s">
        <v>362</v>
      </c>
      <c r="B25" t="s">
        <v>332</v>
      </c>
      <c r="C25" t="s">
        <v>333</v>
      </c>
      <c r="D25">
        <v>500</v>
      </c>
      <c r="E25">
        <v>800</v>
      </c>
    </row>
    <row r="26" spans="1:5" x14ac:dyDescent="0.3">
      <c r="A26" t="s">
        <v>363</v>
      </c>
      <c r="B26" t="s">
        <v>346</v>
      </c>
      <c r="C26" t="s">
        <v>333</v>
      </c>
      <c r="D26">
        <v>9000</v>
      </c>
      <c r="E26">
        <v>12000</v>
      </c>
    </row>
    <row r="27" spans="1:5" x14ac:dyDescent="0.3">
      <c r="A27" t="s">
        <v>364</v>
      </c>
      <c r="B27" t="s">
        <v>346</v>
      </c>
      <c r="C27" t="s">
        <v>333</v>
      </c>
      <c r="D27">
        <v>9000</v>
      </c>
      <c r="E27">
        <v>12000</v>
      </c>
    </row>
    <row r="28" spans="1:5" x14ac:dyDescent="0.3">
      <c r="A28" t="s">
        <v>365</v>
      </c>
      <c r="B28" t="s">
        <v>340</v>
      </c>
      <c r="C28" t="s">
        <v>330</v>
      </c>
      <c r="D28">
        <v>42000</v>
      </c>
      <c r="E28">
        <v>50000</v>
      </c>
    </row>
    <row r="29" spans="1:5" x14ac:dyDescent="0.3">
      <c r="A29" t="s">
        <v>366</v>
      </c>
      <c r="B29" t="s">
        <v>340</v>
      </c>
      <c r="C29" t="s">
        <v>330</v>
      </c>
      <c r="D29">
        <v>42000</v>
      </c>
      <c r="E29">
        <v>50000</v>
      </c>
    </row>
    <row r="30" spans="1:5" x14ac:dyDescent="0.3">
      <c r="A30" t="s">
        <v>367</v>
      </c>
      <c r="B30" t="s">
        <v>368</v>
      </c>
      <c r="C30" t="s">
        <v>333</v>
      </c>
      <c r="D30">
        <v>2000</v>
      </c>
      <c r="E30">
        <v>3000</v>
      </c>
    </row>
    <row r="31" spans="1:5" x14ac:dyDescent="0.3">
      <c r="A31" t="s">
        <v>369</v>
      </c>
      <c r="B31" t="s">
        <v>329</v>
      </c>
      <c r="C31" t="s">
        <v>330</v>
      </c>
      <c r="D31">
        <v>20000</v>
      </c>
      <c r="E31">
        <v>25000</v>
      </c>
    </row>
    <row r="32" spans="1:5" x14ac:dyDescent="0.3">
      <c r="A32" t="s">
        <v>370</v>
      </c>
      <c r="B32" t="s">
        <v>335</v>
      </c>
      <c r="C32" t="s">
        <v>333</v>
      </c>
      <c r="D32">
        <v>900</v>
      </c>
      <c r="E32">
        <v>1500</v>
      </c>
    </row>
    <row r="33" spans="1:5" x14ac:dyDescent="0.3">
      <c r="A33" t="s">
        <v>371</v>
      </c>
      <c r="B33" t="s">
        <v>329</v>
      </c>
      <c r="C33" t="s">
        <v>330</v>
      </c>
      <c r="D33">
        <v>20000</v>
      </c>
      <c r="E33">
        <v>25000</v>
      </c>
    </row>
    <row r="34" spans="1:5" x14ac:dyDescent="0.3">
      <c r="A34" t="s">
        <v>372</v>
      </c>
      <c r="B34" t="s">
        <v>340</v>
      </c>
      <c r="C34" t="s">
        <v>330</v>
      </c>
      <c r="D34">
        <v>42000</v>
      </c>
      <c r="E34">
        <v>50000</v>
      </c>
    </row>
    <row r="35" spans="1:5" x14ac:dyDescent="0.3">
      <c r="A35" t="s">
        <v>373</v>
      </c>
      <c r="B35" t="s">
        <v>335</v>
      </c>
      <c r="C35" t="s">
        <v>333</v>
      </c>
      <c r="D35">
        <v>900</v>
      </c>
      <c r="E35">
        <v>1500</v>
      </c>
    </row>
    <row r="36" spans="1:5" x14ac:dyDescent="0.3">
      <c r="A36" t="s">
        <v>374</v>
      </c>
      <c r="B36" t="s">
        <v>346</v>
      </c>
      <c r="C36" t="s">
        <v>333</v>
      </c>
      <c r="D36">
        <v>9000</v>
      </c>
      <c r="E36">
        <v>12000</v>
      </c>
    </row>
    <row r="37" spans="1:5" x14ac:dyDescent="0.3">
      <c r="A37" t="s">
        <v>375</v>
      </c>
      <c r="B37" t="s">
        <v>329</v>
      </c>
      <c r="C37" t="s">
        <v>330</v>
      </c>
      <c r="D37">
        <v>20000</v>
      </c>
      <c r="E37">
        <v>25000</v>
      </c>
    </row>
    <row r="38" spans="1:5" x14ac:dyDescent="0.3">
      <c r="A38" t="s">
        <v>376</v>
      </c>
      <c r="B38" t="s">
        <v>353</v>
      </c>
      <c r="C38" t="s">
        <v>330</v>
      </c>
      <c r="D38">
        <v>12000</v>
      </c>
      <c r="E38">
        <v>15000</v>
      </c>
    </row>
    <row r="39" spans="1:5" x14ac:dyDescent="0.3">
      <c r="A39" t="s">
        <v>377</v>
      </c>
      <c r="B39" t="s">
        <v>378</v>
      </c>
      <c r="C39" t="s">
        <v>330</v>
      </c>
      <c r="D39">
        <v>15000</v>
      </c>
      <c r="E39">
        <v>18000</v>
      </c>
    </row>
    <row r="40" spans="1:5" x14ac:dyDescent="0.3">
      <c r="A40" t="s">
        <v>379</v>
      </c>
      <c r="B40" t="s">
        <v>346</v>
      </c>
      <c r="C40" t="s">
        <v>333</v>
      </c>
      <c r="D40">
        <v>9000</v>
      </c>
      <c r="E40">
        <v>12000</v>
      </c>
    </row>
    <row r="41" spans="1:5" x14ac:dyDescent="0.3">
      <c r="A41" t="s">
        <v>380</v>
      </c>
      <c r="B41" t="s">
        <v>340</v>
      </c>
      <c r="C41" t="s">
        <v>330</v>
      </c>
      <c r="D41">
        <v>42000</v>
      </c>
      <c r="E41">
        <v>50000</v>
      </c>
    </row>
    <row r="42" spans="1:5" x14ac:dyDescent="0.3">
      <c r="A42" t="s">
        <v>381</v>
      </c>
      <c r="B42" t="s">
        <v>382</v>
      </c>
      <c r="C42" t="s">
        <v>330</v>
      </c>
      <c r="D42">
        <v>20000</v>
      </c>
      <c r="E42">
        <v>25000</v>
      </c>
    </row>
    <row r="43" spans="1:5" x14ac:dyDescent="0.3">
      <c r="A43" t="s">
        <v>383</v>
      </c>
      <c r="B43" t="s">
        <v>335</v>
      </c>
      <c r="C43" t="s">
        <v>333</v>
      </c>
      <c r="D43">
        <v>900</v>
      </c>
      <c r="E43">
        <v>1500</v>
      </c>
    </row>
    <row r="44" spans="1:5" x14ac:dyDescent="0.3">
      <c r="A44" t="s">
        <v>384</v>
      </c>
      <c r="B44" t="s">
        <v>353</v>
      </c>
      <c r="C44" t="s">
        <v>330</v>
      </c>
      <c r="D44">
        <v>12000</v>
      </c>
      <c r="E44">
        <v>15000</v>
      </c>
    </row>
    <row r="45" spans="1:5" x14ac:dyDescent="0.3">
      <c r="A45" t="s">
        <v>385</v>
      </c>
      <c r="B45" t="s">
        <v>340</v>
      </c>
      <c r="C45" t="s">
        <v>330</v>
      </c>
      <c r="D45">
        <v>42000</v>
      </c>
      <c r="E45">
        <v>50000</v>
      </c>
    </row>
    <row r="46" spans="1:5" x14ac:dyDescent="0.3">
      <c r="A46" t="s">
        <v>386</v>
      </c>
      <c r="B46" t="s">
        <v>335</v>
      </c>
      <c r="C46" t="s">
        <v>333</v>
      </c>
      <c r="D46">
        <v>900</v>
      </c>
      <c r="E46">
        <v>1500</v>
      </c>
    </row>
    <row r="47" spans="1:5" x14ac:dyDescent="0.3">
      <c r="A47" t="s">
        <v>387</v>
      </c>
      <c r="B47" t="s">
        <v>332</v>
      </c>
      <c r="C47" t="s">
        <v>333</v>
      </c>
      <c r="D47">
        <v>500</v>
      </c>
      <c r="E47">
        <v>800</v>
      </c>
    </row>
    <row r="48" spans="1:5" x14ac:dyDescent="0.3">
      <c r="A48" t="s">
        <v>388</v>
      </c>
      <c r="B48" t="s">
        <v>344</v>
      </c>
      <c r="C48" t="s">
        <v>333</v>
      </c>
      <c r="D48">
        <v>2000</v>
      </c>
      <c r="E48">
        <v>3000</v>
      </c>
    </row>
    <row r="49" spans="1:5" x14ac:dyDescent="0.3">
      <c r="A49" t="s">
        <v>389</v>
      </c>
      <c r="B49" t="s">
        <v>337</v>
      </c>
      <c r="C49" t="s">
        <v>330</v>
      </c>
      <c r="D49">
        <v>15000</v>
      </c>
      <c r="E49">
        <v>18000</v>
      </c>
    </row>
    <row r="50" spans="1:5" x14ac:dyDescent="0.3">
      <c r="A50" t="s">
        <v>390</v>
      </c>
      <c r="B50" t="s">
        <v>344</v>
      </c>
      <c r="C50" t="s">
        <v>333</v>
      </c>
      <c r="D50">
        <v>2000</v>
      </c>
      <c r="E50">
        <v>3000</v>
      </c>
    </row>
    <row r="51" spans="1:5" x14ac:dyDescent="0.3">
      <c r="A51" t="s">
        <v>391</v>
      </c>
      <c r="B51" t="s">
        <v>392</v>
      </c>
      <c r="C51" t="s">
        <v>333</v>
      </c>
      <c r="D51">
        <v>500</v>
      </c>
      <c r="E51">
        <v>800</v>
      </c>
    </row>
    <row r="52" spans="1:5" x14ac:dyDescent="0.3">
      <c r="A52" t="s">
        <v>393</v>
      </c>
      <c r="B52" t="s">
        <v>344</v>
      </c>
      <c r="C52" t="s">
        <v>333</v>
      </c>
      <c r="D52">
        <v>2000</v>
      </c>
      <c r="E52">
        <v>3000</v>
      </c>
    </row>
    <row r="53" spans="1:5" x14ac:dyDescent="0.3">
      <c r="A53" t="s">
        <v>394</v>
      </c>
      <c r="B53" t="s">
        <v>332</v>
      </c>
      <c r="C53" t="s">
        <v>333</v>
      </c>
      <c r="D53">
        <v>500</v>
      </c>
      <c r="E53">
        <v>800</v>
      </c>
    </row>
    <row r="54" spans="1:5" x14ac:dyDescent="0.3">
      <c r="A54" t="s">
        <v>395</v>
      </c>
      <c r="B54" t="s">
        <v>340</v>
      </c>
      <c r="C54" t="s">
        <v>330</v>
      </c>
      <c r="D54">
        <v>42000</v>
      </c>
      <c r="E54">
        <v>50000</v>
      </c>
    </row>
    <row r="55" spans="1:5" x14ac:dyDescent="0.3">
      <c r="A55" t="s">
        <v>396</v>
      </c>
      <c r="B55" t="s">
        <v>335</v>
      </c>
      <c r="C55" t="s">
        <v>333</v>
      </c>
      <c r="D55">
        <v>900</v>
      </c>
      <c r="E55">
        <v>1500</v>
      </c>
    </row>
    <row r="56" spans="1:5" x14ac:dyDescent="0.3">
      <c r="A56" t="s">
        <v>397</v>
      </c>
      <c r="B56" t="s">
        <v>344</v>
      </c>
      <c r="C56" t="s">
        <v>333</v>
      </c>
      <c r="D56">
        <v>2000</v>
      </c>
      <c r="E56">
        <v>3000</v>
      </c>
    </row>
    <row r="57" spans="1:5" x14ac:dyDescent="0.3">
      <c r="A57" t="s">
        <v>398</v>
      </c>
      <c r="B57" t="s">
        <v>344</v>
      </c>
      <c r="C57" t="s">
        <v>333</v>
      </c>
      <c r="D57">
        <v>2000</v>
      </c>
      <c r="E57">
        <v>3000</v>
      </c>
    </row>
    <row r="58" spans="1:5" x14ac:dyDescent="0.3">
      <c r="A58" t="s">
        <v>399</v>
      </c>
      <c r="B58" t="s">
        <v>340</v>
      </c>
      <c r="C58" t="s">
        <v>330</v>
      </c>
      <c r="D58">
        <v>42000</v>
      </c>
      <c r="E58">
        <v>50000</v>
      </c>
    </row>
    <row r="59" spans="1:5" x14ac:dyDescent="0.3">
      <c r="A59" t="s">
        <v>400</v>
      </c>
      <c r="B59" t="s">
        <v>335</v>
      </c>
      <c r="C59" t="s">
        <v>333</v>
      </c>
      <c r="D59">
        <v>900</v>
      </c>
      <c r="E59">
        <v>1500</v>
      </c>
    </row>
    <row r="60" spans="1:5" x14ac:dyDescent="0.3">
      <c r="A60" t="s">
        <v>401</v>
      </c>
      <c r="B60" t="s">
        <v>335</v>
      </c>
      <c r="C60" t="s">
        <v>333</v>
      </c>
      <c r="D60">
        <v>900</v>
      </c>
      <c r="E60">
        <v>1500</v>
      </c>
    </row>
    <row r="61" spans="1:5" x14ac:dyDescent="0.3">
      <c r="A61" t="s">
        <v>402</v>
      </c>
      <c r="B61" t="s">
        <v>392</v>
      </c>
      <c r="C61" t="s">
        <v>333</v>
      </c>
      <c r="D61">
        <v>500</v>
      </c>
      <c r="E61">
        <v>800</v>
      </c>
    </row>
    <row r="62" spans="1:5" x14ac:dyDescent="0.3">
      <c r="A62" t="s">
        <v>403</v>
      </c>
      <c r="B62" t="s">
        <v>404</v>
      </c>
      <c r="C62" t="s">
        <v>330</v>
      </c>
      <c r="D62">
        <v>12000</v>
      </c>
      <c r="E62">
        <v>15000</v>
      </c>
    </row>
    <row r="63" spans="1:5" x14ac:dyDescent="0.3">
      <c r="A63" t="s">
        <v>405</v>
      </c>
      <c r="B63" t="s">
        <v>332</v>
      </c>
      <c r="C63" t="s">
        <v>333</v>
      </c>
      <c r="D63">
        <v>500</v>
      </c>
      <c r="E63">
        <v>800</v>
      </c>
    </row>
    <row r="64" spans="1:5" x14ac:dyDescent="0.3">
      <c r="A64" t="s">
        <v>406</v>
      </c>
      <c r="B64" t="s">
        <v>344</v>
      </c>
      <c r="C64" t="s">
        <v>333</v>
      </c>
      <c r="D64">
        <v>2000</v>
      </c>
      <c r="E64">
        <v>3000</v>
      </c>
    </row>
    <row r="65" spans="1:5" x14ac:dyDescent="0.3">
      <c r="A65" t="s">
        <v>407</v>
      </c>
      <c r="B65" t="s">
        <v>329</v>
      </c>
      <c r="C65" t="s">
        <v>330</v>
      </c>
      <c r="D65">
        <v>20000</v>
      </c>
      <c r="E65">
        <v>25000</v>
      </c>
    </row>
    <row r="66" spans="1:5" x14ac:dyDescent="0.3">
      <c r="A66" t="s">
        <v>408</v>
      </c>
      <c r="B66" t="s">
        <v>332</v>
      </c>
      <c r="C66" t="s">
        <v>333</v>
      </c>
      <c r="D66">
        <v>500</v>
      </c>
      <c r="E66">
        <v>800</v>
      </c>
    </row>
    <row r="67" spans="1:5" x14ac:dyDescent="0.3">
      <c r="A67" t="s">
        <v>409</v>
      </c>
      <c r="B67" t="s">
        <v>340</v>
      </c>
      <c r="C67" t="s">
        <v>330</v>
      </c>
      <c r="D67">
        <v>42000</v>
      </c>
      <c r="E67">
        <v>50000</v>
      </c>
    </row>
    <row r="68" spans="1:5" x14ac:dyDescent="0.3">
      <c r="A68" t="s">
        <v>410</v>
      </c>
      <c r="B68" t="s">
        <v>353</v>
      </c>
      <c r="C68" t="s">
        <v>330</v>
      </c>
      <c r="D68">
        <v>12000</v>
      </c>
      <c r="E68">
        <v>15000</v>
      </c>
    </row>
    <row r="69" spans="1:5" x14ac:dyDescent="0.3">
      <c r="A69" t="s">
        <v>411</v>
      </c>
      <c r="B69" t="s">
        <v>346</v>
      </c>
      <c r="C69" t="s">
        <v>333</v>
      </c>
      <c r="D69">
        <v>9000</v>
      </c>
      <c r="E69">
        <v>12000</v>
      </c>
    </row>
    <row r="70" spans="1:5" x14ac:dyDescent="0.3">
      <c r="A70" t="s">
        <v>412</v>
      </c>
      <c r="B70" t="s">
        <v>346</v>
      </c>
      <c r="C70" t="s">
        <v>333</v>
      </c>
      <c r="D70">
        <v>9000</v>
      </c>
      <c r="E70">
        <v>12000</v>
      </c>
    </row>
    <row r="71" spans="1:5" x14ac:dyDescent="0.3">
      <c r="A71" t="s">
        <v>413</v>
      </c>
      <c r="B71" t="s">
        <v>340</v>
      </c>
      <c r="C71" t="s">
        <v>330</v>
      </c>
      <c r="D71">
        <v>42000</v>
      </c>
      <c r="E71">
        <v>50000</v>
      </c>
    </row>
    <row r="72" spans="1:5" x14ac:dyDescent="0.3">
      <c r="A72" t="s">
        <v>414</v>
      </c>
      <c r="B72" t="s">
        <v>332</v>
      </c>
      <c r="C72" t="s">
        <v>333</v>
      </c>
      <c r="D72">
        <v>500</v>
      </c>
      <c r="E72">
        <v>800</v>
      </c>
    </row>
    <row r="73" spans="1:5" x14ac:dyDescent="0.3">
      <c r="A73" t="s">
        <v>415</v>
      </c>
      <c r="B73" t="s">
        <v>329</v>
      </c>
      <c r="C73" t="s">
        <v>330</v>
      </c>
      <c r="D73">
        <v>20000</v>
      </c>
      <c r="E73">
        <v>25000</v>
      </c>
    </row>
    <row r="74" spans="1:5" x14ac:dyDescent="0.3">
      <c r="A74" t="s">
        <v>416</v>
      </c>
      <c r="B74" t="s">
        <v>340</v>
      </c>
      <c r="C74" t="s">
        <v>330</v>
      </c>
      <c r="D74">
        <v>42000</v>
      </c>
      <c r="E74">
        <v>50000</v>
      </c>
    </row>
    <row r="75" spans="1:5" x14ac:dyDescent="0.3">
      <c r="A75" t="s">
        <v>417</v>
      </c>
      <c r="B75" t="s">
        <v>335</v>
      </c>
      <c r="C75" t="s">
        <v>333</v>
      </c>
      <c r="D75">
        <v>900</v>
      </c>
      <c r="E75">
        <v>1500</v>
      </c>
    </row>
    <row r="76" spans="1:5" x14ac:dyDescent="0.3">
      <c r="A76" t="s">
        <v>418</v>
      </c>
      <c r="B76" t="s">
        <v>329</v>
      </c>
      <c r="C76" t="s">
        <v>330</v>
      </c>
      <c r="D76">
        <v>20000</v>
      </c>
      <c r="E76">
        <v>25000</v>
      </c>
    </row>
    <row r="77" spans="1:5" x14ac:dyDescent="0.3">
      <c r="A77" t="s">
        <v>419</v>
      </c>
      <c r="B77" t="s">
        <v>344</v>
      </c>
      <c r="C77" t="s">
        <v>333</v>
      </c>
      <c r="D77">
        <v>2000</v>
      </c>
      <c r="E77">
        <v>3000</v>
      </c>
    </row>
    <row r="78" spans="1:5" x14ac:dyDescent="0.3">
      <c r="A78" t="s">
        <v>420</v>
      </c>
      <c r="B78" t="s">
        <v>329</v>
      </c>
      <c r="C78" t="s">
        <v>330</v>
      </c>
      <c r="D78">
        <v>20000</v>
      </c>
      <c r="E78">
        <v>25000</v>
      </c>
    </row>
    <row r="79" spans="1:5" x14ac:dyDescent="0.3">
      <c r="A79" t="s">
        <v>421</v>
      </c>
      <c r="B79" t="s">
        <v>337</v>
      </c>
      <c r="C79" t="s">
        <v>330</v>
      </c>
      <c r="D79">
        <v>15000</v>
      </c>
      <c r="E79">
        <v>18000</v>
      </c>
    </row>
    <row r="80" spans="1:5" x14ac:dyDescent="0.3">
      <c r="A80" t="s">
        <v>422</v>
      </c>
      <c r="B80" t="s">
        <v>392</v>
      </c>
      <c r="C80" t="s">
        <v>333</v>
      </c>
      <c r="D80">
        <v>500</v>
      </c>
      <c r="E80">
        <v>800</v>
      </c>
    </row>
    <row r="81" spans="1:5" x14ac:dyDescent="0.3">
      <c r="A81" t="s">
        <v>423</v>
      </c>
      <c r="B81" t="s">
        <v>335</v>
      </c>
      <c r="C81" t="s">
        <v>333</v>
      </c>
      <c r="D81">
        <v>900</v>
      </c>
      <c r="E81">
        <v>1500</v>
      </c>
    </row>
    <row r="82" spans="1:5" x14ac:dyDescent="0.3">
      <c r="A82" t="s">
        <v>424</v>
      </c>
      <c r="B82" t="s">
        <v>337</v>
      </c>
      <c r="C82" t="s">
        <v>330</v>
      </c>
      <c r="D82">
        <v>15000</v>
      </c>
      <c r="E82">
        <v>18000</v>
      </c>
    </row>
    <row r="83" spans="1:5" x14ac:dyDescent="0.3">
      <c r="A83" t="s">
        <v>425</v>
      </c>
      <c r="B83" t="s">
        <v>337</v>
      </c>
      <c r="C83" t="s">
        <v>330</v>
      </c>
      <c r="D83">
        <v>15000</v>
      </c>
      <c r="E83">
        <v>18000</v>
      </c>
    </row>
    <row r="84" spans="1:5" x14ac:dyDescent="0.3">
      <c r="A84" t="s">
        <v>426</v>
      </c>
      <c r="B84" t="s">
        <v>337</v>
      </c>
      <c r="C84" t="s">
        <v>330</v>
      </c>
      <c r="D84">
        <v>15000</v>
      </c>
      <c r="E84">
        <v>18000</v>
      </c>
    </row>
    <row r="85" spans="1:5" x14ac:dyDescent="0.3">
      <c r="A85" t="s">
        <v>427</v>
      </c>
      <c r="B85" t="s">
        <v>329</v>
      </c>
      <c r="C85" t="s">
        <v>330</v>
      </c>
      <c r="D85">
        <v>20000</v>
      </c>
      <c r="E85">
        <v>25000</v>
      </c>
    </row>
    <row r="86" spans="1:5" x14ac:dyDescent="0.3">
      <c r="A86" t="s">
        <v>428</v>
      </c>
      <c r="B86" t="s">
        <v>335</v>
      </c>
      <c r="C86" t="s">
        <v>333</v>
      </c>
      <c r="D86">
        <v>900</v>
      </c>
      <c r="E86">
        <v>1500</v>
      </c>
    </row>
    <row r="87" spans="1:5" x14ac:dyDescent="0.3">
      <c r="A87" t="s">
        <v>429</v>
      </c>
      <c r="B87" t="s">
        <v>340</v>
      </c>
      <c r="C87" t="s">
        <v>330</v>
      </c>
      <c r="D87">
        <v>42000</v>
      </c>
      <c r="E87">
        <v>50000</v>
      </c>
    </row>
    <row r="88" spans="1:5" x14ac:dyDescent="0.3">
      <c r="A88" t="s">
        <v>430</v>
      </c>
      <c r="B88" t="s">
        <v>346</v>
      </c>
      <c r="C88" t="s">
        <v>333</v>
      </c>
      <c r="D88">
        <v>9000</v>
      </c>
      <c r="E88">
        <v>12000</v>
      </c>
    </row>
    <row r="89" spans="1:5" x14ac:dyDescent="0.3">
      <c r="A89" t="s">
        <v>431</v>
      </c>
      <c r="B89" t="s">
        <v>332</v>
      </c>
      <c r="C89" t="s">
        <v>333</v>
      </c>
      <c r="D89">
        <v>500</v>
      </c>
      <c r="E89">
        <v>800</v>
      </c>
    </row>
    <row r="90" spans="1:5" x14ac:dyDescent="0.3">
      <c r="A90" t="s">
        <v>432</v>
      </c>
      <c r="B90" t="s">
        <v>344</v>
      </c>
      <c r="C90" t="s">
        <v>333</v>
      </c>
      <c r="D90">
        <v>2000</v>
      </c>
      <c r="E90">
        <v>3000</v>
      </c>
    </row>
    <row r="91" spans="1:5" x14ac:dyDescent="0.3">
      <c r="A91" t="s">
        <v>433</v>
      </c>
      <c r="B91" t="s">
        <v>353</v>
      </c>
      <c r="C91" t="s">
        <v>330</v>
      </c>
      <c r="D91">
        <v>12000</v>
      </c>
      <c r="E91">
        <v>15000</v>
      </c>
    </row>
    <row r="92" spans="1:5" x14ac:dyDescent="0.3">
      <c r="A92" t="s">
        <v>434</v>
      </c>
      <c r="B92" t="s">
        <v>346</v>
      </c>
      <c r="C92" t="s">
        <v>333</v>
      </c>
      <c r="D92">
        <v>9000</v>
      </c>
      <c r="E92">
        <v>12000</v>
      </c>
    </row>
    <row r="93" spans="1:5" x14ac:dyDescent="0.3">
      <c r="A93" t="s">
        <v>435</v>
      </c>
      <c r="B93" t="s">
        <v>346</v>
      </c>
      <c r="C93" t="s">
        <v>333</v>
      </c>
      <c r="D93">
        <v>9000</v>
      </c>
      <c r="E93">
        <v>12000</v>
      </c>
    </row>
    <row r="94" spans="1:5" x14ac:dyDescent="0.3">
      <c r="A94" t="s">
        <v>436</v>
      </c>
      <c r="B94" t="s">
        <v>353</v>
      </c>
      <c r="C94" t="s">
        <v>330</v>
      </c>
      <c r="D94">
        <v>12000</v>
      </c>
      <c r="E94">
        <v>15000</v>
      </c>
    </row>
    <row r="95" spans="1:5" x14ac:dyDescent="0.3">
      <c r="A95" t="s">
        <v>437</v>
      </c>
      <c r="B95" t="s">
        <v>344</v>
      </c>
      <c r="C95" t="s">
        <v>333</v>
      </c>
      <c r="D95">
        <v>2000</v>
      </c>
      <c r="E95">
        <v>3000</v>
      </c>
    </row>
    <row r="96" spans="1:5" x14ac:dyDescent="0.3">
      <c r="A96" t="s">
        <v>438</v>
      </c>
      <c r="B96" t="s">
        <v>329</v>
      </c>
      <c r="C96" t="s">
        <v>330</v>
      </c>
      <c r="D96">
        <v>20000</v>
      </c>
      <c r="E96">
        <v>25000</v>
      </c>
    </row>
    <row r="97" spans="1:5" x14ac:dyDescent="0.3">
      <c r="A97" t="s">
        <v>439</v>
      </c>
      <c r="B97" t="s">
        <v>353</v>
      </c>
      <c r="C97" t="s">
        <v>330</v>
      </c>
      <c r="D97">
        <v>12000</v>
      </c>
      <c r="E97">
        <v>15000</v>
      </c>
    </row>
    <row r="98" spans="1:5" x14ac:dyDescent="0.3">
      <c r="A98" t="s">
        <v>440</v>
      </c>
      <c r="B98" t="s">
        <v>346</v>
      </c>
      <c r="C98" t="s">
        <v>333</v>
      </c>
      <c r="D98">
        <v>9000</v>
      </c>
      <c r="E98">
        <v>12000</v>
      </c>
    </row>
    <row r="99" spans="1:5" x14ac:dyDescent="0.3">
      <c r="A99" t="s">
        <v>441</v>
      </c>
      <c r="B99" t="s">
        <v>346</v>
      </c>
      <c r="C99" t="s">
        <v>333</v>
      </c>
      <c r="D99">
        <v>9000</v>
      </c>
      <c r="E99">
        <v>12000</v>
      </c>
    </row>
    <row r="100" spans="1:5" x14ac:dyDescent="0.3">
      <c r="A100" t="s">
        <v>442</v>
      </c>
      <c r="B100" t="s">
        <v>335</v>
      </c>
      <c r="C100" t="s">
        <v>333</v>
      </c>
      <c r="D100">
        <v>900</v>
      </c>
      <c r="E100">
        <v>1500</v>
      </c>
    </row>
    <row r="101" spans="1:5" x14ac:dyDescent="0.3">
      <c r="A101" t="s">
        <v>443</v>
      </c>
      <c r="B101" t="s">
        <v>344</v>
      </c>
      <c r="C101" t="s">
        <v>333</v>
      </c>
      <c r="D101">
        <v>2000</v>
      </c>
      <c r="E101">
        <v>3000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01"/>
  <sheetViews>
    <sheetView workbookViewId="0">
      <selection activeCell="F21" sqref="F21"/>
    </sheetView>
  </sheetViews>
  <sheetFormatPr defaultRowHeight="14.4" x14ac:dyDescent="0.3"/>
  <cols>
    <col min="1" max="1" width="7.88671875" bestFit="1" customWidth="1"/>
    <col min="2" max="2" width="17" bestFit="1" customWidth="1"/>
    <col min="3" max="3" width="11.109375" bestFit="1" customWidth="1"/>
    <col min="4" max="4" width="9.5546875" bestFit="1" customWidth="1"/>
    <col min="5" max="5" width="8" bestFit="1" customWidth="1"/>
  </cols>
  <sheetData>
    <row r="1" spans="1:5" x14ac:dyDescent="0.3">
      <c r="A1" t="s">
        <v>444</v>
      </c>
      <c r="B1" t="s">
        <v>445</v>
      </c>
      <c r="C1" t="s">
        <v>0</v>
      </c>
      <c r="D1" t="s">
        <v>323</v>
      </c>
      <c r="E1" t="s">
        <v>446</v>
      </c>
    </row>
    <row r="2" spans="1:5" x14ac:dyDescent="0.3">
      <c r="A2" t="s">
        <v>447</v>
      </c>
      <c r="B2" s="1">
        <v>45748</v>
      </c>
      <c r="C2" t="s">
        <v>40</v>
      </c>
      <c r="D2" t="s">
        <v>433</v>
      </c>
      <c r="E2">
        <v>2</v>
      </c>
    </row>
    <row r="3" spans="1:5" x14ac:dyDescent="0.3">
      <c r="A3" t="s">
        <v>448</v>
      </c>
      <c r="B3" s="1">
        <v>46015</v>
      </c>
      <c r="C3" t="s">
        <v>164</v>
      </c>
      <c r="D3" t="s">
        <v>374</v>
      </c>
      <c r="E3">
        <v>4</v>
      </c>
    </row>
    <row r="4" spans="1:5" x14ac:dyDescent="0.3">
      <c r="A4" t="s">
        <v>449</v>
      </c>
      <c r="B4" s="1">
        <v>45668</v>
      </c>
      <c r="C4" t="s">
        <v>322</v>
      </c>
      <c r="D4" t="s">
        <v>415</v>
      </c>
      <c r="E4">
        <v>2</v>
      </c>
    </row>
    <row r="5" spans="1:5" x14ac:dyDescent="0.3">
      <c r="A5" t="s">
        <v>450</v>
      </c>
      <c r="B5" s="1">
        <v>45846</v>
      </c>
      <c r="C5" t="s">
        <v>91</v>
      </c>
      <c r="D5" t="s">
        <v>356</v>
      </c>
      <c r="E5">
        <v>5</v>
      </c>
    </row>
    <row r="6" spans="1:5" x14ac:dyDescent="0.3">
      <c r="A6" t="s">
        <v>451</v>
      </c>
      <c r="B6" s="1">
        <v>45960</v>
      </c>
      <c r="C6" t="s">
        <v>152</v>
      </c>
      <c r="D6" t="s">
        <v>400</v>
      </c>
      <c r="E6">
        <v>2</v>
      </c>
    </row>
    <row r="7" spans="1:5" x14ac:dyDescent="0.3">
      <c r="A7" t="s">
        <v>452</v>
      </c>
      <c r="B7" s="1">
        <v>45796</v>
      </c>
      <c r="C7" t="s">
        <v>304</v>
      </c>
      <c r="D7" t="s">
        <v>383</v>
      </c>
      <c r="E7">
        <v>1</v>
      </c>
    </row>
    <row r="8" spans="1:5" x14ac:dyDescent="0.3">
      <c r="A8" t="s">
        <v>453</v>
      </c>
      <c r="B8" s="1">
        <v>45913</v>
      </c>
      <c r="C8" t="s">
        <v>53</v>
      </c>
      <c r="D8" t="s">
        <v>354</v>
      </c>
      <c r="E8">
        <v>3</v>
      </c>
    </row>
    <row r="9" spans="1:5" x14ac:dyDescent="0.3">
      <c r="A9" t="s">
        <v>454</v>
      </c>
      <c r="B9" s="1">
        <v>45895</v>
      </c>
      <c r="C9" t="s">
        <v>179</v>
      </c>
      <c r="D9" t="s">
        <v>362</v>
      </c>
      <c r="E9">
        <v>1</v>
      </c>
    </row>
    <row r="10" spans="1:5" x14ac:dyDescent="0.3">
      <c r="A10" t="s">
        <v>455</v>
      </c>
      <c r="B10" s="1">
        <v>45866</v>
      </c>
      <c r="C10" t="s">
        <v>136</v>
      </c>
      <c r="D10" t="s">
        <v>365</v>
      </c>
      <c r="E10">
        <v>4</v>
      </c>
    </row>
    <row r="11" spans="1:5" x14ac:dyDescent="0.3">
      <c r="A11" t="s">
        <v>456</v>
      </c>
      <c r="B11" s="1">
        <v>45853</v>
      </c>
      <c r="C11" t="s">
        <v>240</v>
      </c>
      <c r="D11" t="s">
        <v>374</v>
      </c>
      <c r="E11">
        <v>5</v>
      </c>
    </row>
    <row r="12" spans="1:5" x14ac:dyDescent="0.3">
      <c r="A12" t="s">
        <v>457</v>
      </c>
      <c r="B12" s="1">
        <v>45758</v>
      </c>
      <c r="C12" t="s">
        <v>85</v>
      </c>
      <c r="D12" t="s">
        <v>371</v>
      </c>
      <c r="E12">
        <v>4</v>
      </c>
    </row>
    <row r="13" spans="1:5" x14ac:dyDescent="0.3">
      <c r="A13" t="s">
        <v>458</v>
      </c>
      <c r="B13" s="1">
        <v>45667</v>
      </c>
      <c r="C13" t="s">
        <v>459</v>
      </c>
      <c r="D13" t="s">
        <v>418</v>
      </c>
      <c r="E13">
        <v>1</v>
      </c>
    </row>
    <row r="14" spans="1:5" x14ac:dyDescent="0.3">
      <c r="A14" t="s">
        <v>460</v>
      </c>
      <c r="B14" s="1">
        <v>45937</v>
      </c>
      <c r="C14" t="s">
        <v>184</v>
      </c>
      <c r="D14" t="s">
        <v>338</v>
      </c>
      <c r="E14">
        <v>2</v>
      </c>
    </row>
    <row r="15" spans="1:5" x14ac:dyDescent="0.3">
      <c r="A15" t="s">
        <v>461</v>
      </c>
      <c r="B15" s="1">
        <v>46003</v>
      </c>
      <c r="C15" t="s">
        <v>194</v>
      </c>
      <c r="D15" t="s">
        <v>351</v>
      </c>
      <c r="E15">
        <v>1</v>
      </c>
    </row>
    <row r="16" spans="1:5" x14ac:dyDescent="0.3">
      <c r="A16" t="s">
        <v>462</v>
      </c>
      <c r="B16" s="1">
        <v>45962</v>
      </c>
      <c r="C16" t="s">
        <v>99</v>
      </c>
      <c r="D16" t="s">
        <v>384</v>
      </c>
      <c r="E16">
        <v>3</v>
      </c>
    </row>
    <row r="17" spans="1:5" x14ac:dyDescent="0.3">
      <c r="A17" t="s">
        <v>463</v>
      </c>
      <c r="B17" s="1">
        <v>45767</v>
      </c>
      <c r="C17" t="s">
        <v>186</v>
      </c>
      <c r="D17" t="s">
        <v>434</v>
      </c>
      <c r="E17">
        <v>1</v>
      </c>
    </row>
    <row r="18" spans="1:5" x14ac:dyDescent="0.3">
      <c r="A18" t="s">
        <v>464</v>
      </c>
      <c r="B18" s="1">
        <v>45971</v>
      </c>
      <c r="C18" t="s">
        <v>281</v>
      </c>
      <c r="D18" t="s">
        <v>428</v>
      </c>
      <c r="E18">
        <v>3</v>
      </c>
    </row>
    <row r="19" spans="1:5" x14ac:dyDescent="0.3">
      <c r="A19" t="s">
        <v>465</v>
      </c>
      <c r="B19" s="1">
        <v>45895</v>
      </c>
      <c r="C19" t="s">
        <v>309</v>
      </c>
      <c r="D19" t="s">
        <v>443</v>
      </c>
      <c r="E19">
        <v>3</v>
      </c>
    </row>
    <row r="20" spans="1:5" x14ac:dyDescent="0.3">
      <c r="A20" t="s">
        <v>466</v>
      </c>
      <c r="B20" s="1">
        <v>45857</v>
      </c>
      <c r="C20" t="s">
        <v>99</v>
      </c>
      <c r="D20" t="s">
        <v>385</v>
      </c>
      <c r="E20">
        <v>3</v>
      </c>
    </row>
    <row r="21" spans="1:5" x14ac:dyDescent="0.3">
      <c r="A21" t="s">
        <v>467</v>
      </c>
      <c r="B21" s="1">
        <v>45693</v>
      </c>
      <c r="C21" t="s">
        <v>241</v>
      </c>
      <c r="D21" t="s">
        <v>345</v>
      </c>
      <c r="E21">
        <v>3</v>
      </c>
    </row>
    <row r="22" spans="1:5" x14ac:dyDescent="0.3">
      <c r="A22" t="s">
        <v>468</v>
      </c>
      <c r="B22" s="1">
        <v>45969</v>
      </c>
      <c r="C22" t="s">
        <v>469</v>
      </c>
      <c r="D22" t="s">
        <v>328</v>
      </c>
      <c r="E22">
        <v>5</v>
      </c>
    </row>
    <row r="23" spans="1:5" x14ac:dyDescent="0.3">
      <c r="A23" t="s">
        <v>470</v>
      </c>
      <c r="B23" s="1">
        <v>45809</v>
      </c>
      <c r="C23" t="s">
        <v>219</v>
      </c>
      <c r="D23" t="s">
        <v>362</v>
      </c>
      <c r="E23">
        <v>5</v>
      </c>
    </row>
    <row r="24" spans="1:5" x14ac:dyDescent="0.3">
      <c r="A24" t="s">
        <v>471</v>
      </c>
      <c r="B24" s="1">
        <v>45803</v>
      </c>
      <c r="C24" t="s">
        <v>285</v>
      </c>
      <c r="D24" t="s">
        <v>424</v>
      </c>
      <c r="E24">
        <v>3</v>
      </c>
    </row>
    <row r="25" spans="1:5" x14ac:dyDescent="0.3">
      <c r="A25" t="s">
        <v>472</v>
      </c>
      <c r="B25" s="1">
        <v>45739</v>
      </c>
      <c r="C25" t="s">
        <v>239</v>
      </c>
      <c r="D25" t="s">
        <v>364</v>
      </c>
      <c r="E25">
        <v>1</v>
      </c>
    </row>
    <row r="26" spans="1:5" x14ac:dyDescent="0.3">
      <c r="A26" t="s">
        <v>473</v>
      </c>
      <c r="B26" s="1">
        <v>45658</v>
      </c>
      <c r="C26" t="s">
        <v>190</v>
      </c>
      <c r="D26" t="s">
        <v>389</v>
      </c>
      <c r="E26">
        <v>3</v>
      </c>
    </row>
    <row r="27" spans="1:5" x14ac:dyDescent="0.3">
      <c r="A27" t="s">
        <v>474</v>
      </c>
      <c r="B27" s="1">
        <v>45738</v>
      </c>
      <c r="C27" t="s">
        <v>266</v>
      </c>
      <c r="D27" t="s">
        <v>361</v>
      </c>
      <c r="E27">
        <v>5</v>
      </c>
    </row>
    <row r="28" spans="1:5" x14ac:dyDescent="0.3">
      <c r="A28" t="s">
        <v>475</v>
      </c>
      <c r="B28" s="1">
        <v>45665</v>
      </c>
      <c r="C28" t="s">
        <v>141</v>
      </c>
      <c r="D28" t="s">
        <v>425</v>
      </c>
      <c r="E28">
        <v>1</v>
      </c>
    </row>
    <row r="29" spans="1:5" x14ac:dyDescent="0.3">
      <c r="A29" t="s">
        <v>476</v>
      </c>
      <c r="B29" s="1">
        <v>45867</v>
      </c>
      <c r="C29" t="s">
        <v>80</v>
      </c>
      <c r="D29" t="s">
        <v>442</v>
      </c>
      <c r="E29">
        <v>4</v>
      </c>
    </row>
    <row r="30" spans="1:5" x14ac:dyDescent="0.3">
      <c r="A30" t="s">
        <v>477</v>
      </c>
      <c r="B30" s="1">
        <v>45834</v>
      </c>
      <c r="C30" t="s">
        <v>77</v>
      </c>
      <c r="D30" t="s">
        <v>380</v>
      </c>
      <c r="E30">
        <v>1</v>
      </c>
    </row>
    <row r="31" spans="1:5" x14ac:dyDescent="0.3">
      <c r="A31" t="s">
        <v>478</v>
      </c>
      <c r="B31" s="1">
        <v>45877</v>
      </c>
      <c r="C31" t="s">
        <v>44</v>
      </c>
      <c r="D31" t="s">
        <v>429</v>
      </c>
      <c r="E31">
        <v>3</v>
      </c>
    </row>
    <row r="32" spans="1:5" x14ac:dyDescent="0.3">
      <c r="A32" t="s">
        <v>479</v>
      </c>
      <c r="B32" s="1">
        <v>45751</v>
      </c>
      <c r="C32" t="s">
        <v>32</v>
      </c>
      <c r="D32" t="s">
        <v>385</v>
      </c>
      <c r="E32">
        <v>4</v>
      </c>
    </row>
    <row r="33" spans="1:5" x14ac:dyDescent="0.3">
      <c r="A33" t="s">
        <v>480</v>
      </c>
      <c r="B33" s="1">
        <v>45724</v>
      </c>
      <c r="C33" t="s">
        <v>125</v>
      </c>
      <c r="D33" t="s">
        <v>402</v>
      </c>
      <c r="E33">
        <v>5</v>
      </c>
    </row>
    <row r="34" spans="1:5" x14ac:dyDescent="0.3">
      <c r="A34" t="s">
        <v>481</v>
      </c>
      <c r="B34" s="1">
        <v>45847</v>
      </c>
      <c r="C34" t="s">
        <v>316</v>
      </c>
      <c r="D34" t="s">
        <v>431</v>
      </c>
      <c r="E34">
        <v>3</v>
      </c>
    </row>
    <row r="35" spans="1:5" x14ac:dyDescent="0.3">
      <c r="A35" t="s">
        <v>482</v>
      </c>
      <c r="B35" s="1">
        <v>45765</v>
      </c>
      <c r="C35" t="s">
        <v>204</v>
      </c>
      <c r="D35" t="s">
        <v>354</v>
      </c>
      <c r="E35">
        <v>4</v>
      </c>
    </row>
    <row r="36" spans="1:5" x14ac:dyDescent="0.3">
      <c r="A36" t="s">
        <v>483</v>
      </c>
      <c r="B36" s="1">
        <v>45918</v>
      </c>
      <c r="C36" t="s">
        <v>302</v>
      </c>
      <c r="D36" t="s">
        <v>418</v>
      </c>
      <c r="E36">
        <v>2</v>
      </c>
    </row>
    <row r="37" spans="1:5" x14ac:dyDescent="0.3">
      <c r="A37" t="s">
        <v>484</v>
      </c>
      <c r="B37" s="1">
        <v>45748</v>
      </c>
      <c r="C37" t="s">
        <v>112</v>
      </c>
      <c r="D37" t="s">
        <v>443</v>
      </c>
      <c r="E37">
        <v>4</v>
      </c>
    </row>
    <row r="38" spans="1:5" x14ac:dyDescent="0.3">
      <c r="A38" t="s">
        <v>485</v>
      </c>
      <c r="B38" s="1">
        <v>45983</v>
      </c>
      <c r="C38" t="s">
        <v>317</v>
      </c>
      <c r="D38" t="s">
        <v>390</v>
      </c>
      <c r="E38">
        <v>1</v>
      </c>
    </row>
    <row r="39" spans="1:5" x14ac:dyDescent="0.3">
      <c r="A39" t="s">
        <v>486</v>
      </c>
      <c r="B39" s="1">
        <v>45819</v>
      </c>
      <c r="C39" t="s">
        <v>108</v>
      </c>
      <c r="D39" t="s">
        <v>426</v>
      </c>
      <c r="E39">
        <v>2</v>
      </c>
    </row>
    <row r="40" spans="1:5" x14ac:dyDescent="0.3">
      <c r="A40" t="s">
        <v>487</v>
      </c>
      <c r="B40" s="1">
        <v>45765</v>
      </c>
      <c r="C40" t="s">
        <v>129</v>
      </c>
      <c r="D40" t="s">
        <v>349</v>
      </c>
      <c r="E40">
        <v>5</v>
      </c>
    </row>
    <row r="41" spans="1:5" x14ac:dyDescent="0.3">
      <c r="A41" t="s">
        <v>488</v>
      </c>
      <c r="B41" s="1">
        <v>45762</v>
      </c>
      <c r="C41" t="s">
        <v>32</v>
      </c>
      <c r="D41" t="s">
        <v>370</v>
      </c>
      <c r="E41">
        <v>1</v>
      </c>
    </row>
    <row r="42" spans="1:5" x14ac:dyDescent="0.3">
      <c r="A42" t="s">
        <v>489</v>
      </c>
      <c r="B42" s="1">
        <v>45980</v>
      </c>
      <c r="C42" t="s">
        <v>227</v>
      </c>
      <c r="D42" t="s">
        <v>418</v>
      </c>
      <c r="E42">
        <v>2</v>
      </c>
    </row>
    <row r="43" spans="1:5" x14ac:dyDescent="0.3">
      <c r="A43" t="s">
        <v>490</v>
      </c>
      <c r="B43" s="1">
        <v>45955</v>
      </c>
      <c r="C43" t="s">
        <v>138</v>
      </c>
      <c r="D43" t="s">
        <v>383</v>
      </c>
      <c r="E43">
        <v>5</v>
      </c>
    </row>
    <row r="44" spans="1:5" x14ac:dyDescent="0.3">
      <c r="A44" t="s">
        <v>491</v>
      </c>
      <c r="B44" s="1">
        <v>45803</v>
      </c>
      <c r="C44" t="s">
        <v>239</v>
      </c>
      <c r="D44" t="s">
        <v>379</v>
      </c>
      <c r="E44">
        <v>4</v>
      </c>
    </row>
    <row r="45" spans="1:5" x14ac:dyDescent="0.3">
      <c r="A45" t="s">
        <v>492</v>
      </c>
      <c r="B45" s="1">
        <v>45884</v>
      </c>
      <c r="C45" t="s">
        <v>191</v>
      </c>
      <c r="D45" t="s">
        <v>415</v>
      </c>
      <c r="E45">
        <v>5</v>
      </c>
    </row>
    <row r="46" spans="1:5" x14ac:dyDescent="0.3">
      <c r="A46" t="s">
        <v>493</v>
      </c>
      <c r="B46" s="1">
        <v>45956</v>
      </c>
      <c r="C46" t="s">
        <v>215</v>
      </c>
      <c r="D46" t="s">
        <v>405</v>
      </c>
      <c r="E46">
        <v>5</v>
      </c>
    </row>
    <row r="47" spans="1:5" x14ac:dyDescent="0.3">
      <c r="A47" t="s">
        <v>494</v>
      </c>
      <c r="B47" s="1">
        <v>45877</v>
      </c>
      <c r="C47" t="s">
        <v>122</v>
      </c>
      <c r="D47" t="s">
        <v>374</v>
      </c>
      <c r="E47">
        <v>1</v>
      </c>
    </row>
    <row r="48" spans="1:5" x14ac:dyDescent="0.3">
      <c r="A48" t="s">
        <v>495</v>
      </c>
      <c r="B48" s="1">
        <v>46014</v>
      </c>
      <c r="C48" t="s">
        <v>239</v>
      </c>
      <c r="D48" t="s">
        <v>372</v>
      </c>
      <c r="E48">
        <v>4</v>
      </c>
    </row>
    <row r="49" spans="1:5" x14ac:dyDescent="0.3">
      <c r="A49" t="s">
        <v>496</v>
      </c>
      <c r="B49" s="1">
        <v>45818</v>
      </c>
      <c r="C49" t="s">
        <v>240</v>
      </c>
      <c r="D49" t="s">
        <v>334</v>
      </c>
      <c r="E49">
        <v>3</v>
      </c>
    </row>
    <row r="50" spans="1:5" x14ac:dyDescent="0.3">
      <c r="A50" t="s">
        <v>497</v>
      </c>
      <c r="B50" s="1">
        <v>45965</v>
      </c>
      <c r="C50" t="s">
        <v>167</v>
      </c>
      <c r="D50" t="s">
        <v>423</v>
      </c>
      <c r="E50">
        <v>3</v>
      </c>
    </row>
    <row r="51" spans="1:5" x14ac:dyDescent="0.3">
      <c r="A51" t="s">
        <v>498</v>
      </c>
      <c r="B51" s="1">
        <v>45710</v>
      </c>
      <c r="C51" t="s">
        <v>271</v>
      </c>
      <c r="D51" t="s">
        <v>405</v>
      </c>
      <c r="E51">
        <v>4</v>
      </c>
    </row>
    <row r="52" spans="1:5" x14ac:dyDescent="0.3">
      <c r="A52" t="s">
        <v>499</v>
      </c>
      <c r="B52" s="1">
        <v>45766</v>
      </c>
      <c r="C52" t="s">
        <v>176</v>
      </c>
      <c r="D52" t="s">
        <v>328</v>
      </c>
      <c r="E52">
        <v>1</v>
      </c>
    </row>
    <row r="53" spans="1:5" x14ac:dyDescent="0.3">
      <c r="A53" t="s">
        <v>500</v>
      </c>
      <c r="B53" s="1">
        <v>45673</v>
      </c>
      <c r="C53" t="s">
        <v>107</v>
      </c>
      <c r="D53" t="s">
        <v>371</v>
      </c>
      <c r="E53">
        <v>2</v>
      </c>
    </row>
    <row r="54" spans="1:5" x14ac:dyDescent="0.3">
      <c r="A54" t="s">
        <v>501</v>
      </c>
      <c r="B54" s="1">
        <v>45784</v>
      </c>
      <c r="C54" t="s">
        <v>123</v>
      </c>
      <c r="D54" t="s">
        <v>369</v>
      </c>
      <c r="E54">
        <v>2</v>
      </c>
    </row>
    <row r="55" spans="1:5" x14ac:dyDescent="0.3">
      <c r="A55" t="s">
        <v>502</v>
      </c>
      <c r="B55" s="1">
        <v>46017</v>
      </c>
      <c r="C55" t="s">
        <v>58</v>
      </c>
      <c r="D55" t="s">
        <v>380</v>
      </c>
      <c r="E55">
        <v>5</v>
      </c>
    </row>
    <row r="56" spans="1:5" x14ac:dyDescent="0.3">
      <c r="A56" t="s">
        <v>503</v>
      </c>
      <c r="B56" s="1">
        <v>45853</v>
      </c>
      <c r="C56" t="s">
        <v>223</v>
      </c>
      <c r="D56" t="s">
        <v>441</v>
      </c>
      <c r="E56">
        <v>5</v>
      </c>
    </row>
    <row r="57" spans="1:5" x14ac:dyDescent="0.3">
      <c r="A57" t="s">
        <v>504</v>
      </c>
      <c r="B57" s="1">
        <v>45961</v>
      </c>
      <c r="C57" t="s">
        <v>249</v>
      </c>
      <c r="D57" t="s">
        <v>354</v>
      </c>
      <c r="E57">
        <v>3</v>
      </c>
    </row>
    <row r="58" spans="1:5" x14ac:dyDescent="0.3">
      <c r="A58" t="s">
        <v>505</v>
      </c>
      <c r="B58" s="1">
        <v>45747</v>
      </c>
      <c r="C58" t="s">
        <v>152</v>
      </c>
      <c r="D58" t="s">
        <v>410</v>
      </c>
      <c r="E58">
        <v>2</v>
      </c>
    </row>
    <row r="59" spans="1:5" x14ac:dyDescent="0.3">
      <c r="A59" t="s">
        <v>506</v>
      </c>
      <c r="B59" s="1">
        <v>46009</v>
      </c>
      <c r="C59" t="s">
        <v>66</v>
      </c>
      <c r="D59" t="s">
        <v>438</v>
      </c>
      <c r="E59">
        <v>4</v>
      </c>
    </row>
    <row r="60" spans="1:5" x14ac:dyDescent="0.3">
      <c r="A60" t="s">
        <v>507</v>
      </c>
      <c r="B60" s="1">
        <v>45980</v>
      </c>
      <c r="C60" t="s">
        <v>142</v>
      </c>
      <c r="D60" t="s">
        <v>435</v>
      </c>
      <c r="E60">
        <v>4</v>
      </c>
    </row>
    <row r="61" spans="1:5" x14ac:dyDescent="0.3">
      <c r="A61" t="s">
        <v>508</v>
      </c>
      <c r="B61" s="1">
        <v>45828</v>
      </c>
      <c r="C61" t="s">
        <v>165</v>
      </c>
      <c r="D61" t="s">
        <v>424</v>
      </c>
      <c r="E61">
        <v>3</v>
      </c>
    </row>
    <row r="62" spans="1:5" x14ac:dyDescent="0.3">
      <c r="A62" t="s">
        <v>509</v>
      </c>
      <c r="B62" s="1">
        <v>45672</v>
      </c>
      <c r="C62" t="s">
        <v>229</v>
      </c>
      <c r="D62" t="s">
        <v>438</v>
      </c>
      <c r="E62">
        <v>5</v>
      </c>
    </row>
    <row r="63" spans="1:5" x14ac:dyDescent="0.3">
      <c r="A63" t="s">
        <v>510</v>
      </c>
      <c r="B63" s="1">
        <v>45898</v>
      </c>
      <c r="C63" t="s">
        <v>177</v>
      </c>
      <c r="D63" t="s">
        <v>434</v>
      </c>
      <c r="E63">
        <v>4</v>
      </c>
    </row>
    <row r="64" spans="1:5" x14ac:dyDescent="0.3">
      <c r="A64" t="s">
        <v>511</v>
      </c>
      <c r="B64" s="1">
        <v>45998</v>
      </c>
      <c r="C64" t="s">
        <v>28</v>
      </c>
      <c r="D64" t="s">
        <v>343</v>
      </c>
      <c r="E64">
        <v>1</v>
      </c>
    </row>
    <row r="65" spans="1:5" x14ac:dyDescent="0.3">
      <c r="A65" t="s">
        <v>512</v>
      </c>
      <c r="B65" s="1">
        <v>45747</v>
      </c>
      <c r="C65" t="s">
        <v>225</v>
      </c>
      <c r="D65" t="s">
        <v>394</v>
      </c>
      <c r="E65">
        <v>3</v>
      </c>
    </row>
    <row r="66" spans="1:5" x14ac:dyDescent="0.3">
      <c r="A66" t="s">
        <v>513</v>
      </c>
      <c r="B66" s="1">
        <v>45854</v>
      </c>
      <c r="C66" t="s">
        <v>270</v>
      </c>
      <c r="D66" t="s">
        <v>399</v>
      </c>
      <c r="E66">
        <v>5</v>
      </c>
    </row>
    <row r="67" spans="1:5" x14ac:dyDescent="0.3">
      <c r="A67" t="s">
        <v>514</v>
      </c>
      <c r="B67" s="1">
        <v>45799</v>
      </c>
      <c r="C67" t="s">
        <v>469</v>
      </c>
      <c r="D67" t="s">
        <v>399</v>
      </c>
      <c r="E67">
        <v>1</v>
      </c>
    </row>
    <row r="68" spans="1:5" x14ac:dyDescent="0.3">
      <c r="A68" t="s">
        <v>515</v>
      </c>
      <c r="B68" s="1">
        <v>45971</v>
      </c>
      <c r="C68" t="s">
        <v>97</v>
      </c>
      <c r="D68" t="s">
        <v>433</v>
      </c>
      <c r="E68">
        <v>2</v>
      </c>
    </row>
    <row r="69" spans="1:5" x14ac:dyDescent="0.3">
      <c r="A69" t="s">
        <v>516</v>
      </c>
      <c r="B69" s="1">
        <v>45688</v>
      </c>
      <c r="C69" t="s">
        <v>130</v>
      </c>
      <c r="D69" t="s">
        <v>331</v>
      </c>
      <c r="E69">
        <v>1</v>
      </c>
    </row>
    <row r="70" spans="1:5" x14ac:dyDescent="0.3">
      <c r="A70" t="s">
        <v>517</v>
      </c>
      <c r="B70" s="1">
        <v>46013</v>
      </c>
      <c r="C70" t="s">
        <v>297</v>
      </c>
      <c r="D70" t="s">
        <v>361</v>
      </c>
      <c r="E70">
        <v>2</v>
      </c>
    </row>
    <row r="71" spans="1:5" x14ac:dyDescent="0.3">
      <c r="A71" t="s">
        <v>518</v>
      </c>
      <c r="B71" s="1">
        <v>45951</v>
      </c>
      <c r="C71" t="s">
        <v>270</v>
      </c>
      <c r="D71" t="s">
        <v>357</v>
      </c>
      <c r="E71">
        <v>1</v>
      </c>
    </row>
    <row r="72" spans="1:5" x14ac:dyDescent="0.3">
      <c r="A72" t="s">
        <v>519</v>
      </c>
      <c r="B72" s="1">
        <v>45692</v>
      </c>
      <c r="C72" t="s">
        <v>58</v>
      </c>
      <c r="D72" t="s">
        <v>381</v>
      </c>
      <c r="E72">
        <v>4</v>
      </c>
    </row>
    <row r="73" spans="1:5" x14ac:dyDescent="0.3">
      <c r="A73" t="s">
        <v>520</v>
      </c>
      <c r="B73" s="1">
        <v>45713</v>
      </c>
      <c r="C73" t="s">
        <v>201</v>
      </c>
      <c r="D73" t="s">
        <v>393</v>
      </c>
      <c r="E73">
        <v>3</v>
      </c>
    </row>
    <row r="74" spans="1:5" x14ac:dyDescent="0.3">
      <c r="A74" t="s">
        <v>521</v>
      </c>
      <c r="B74" s="1">
        <v>45972</v>
      </c>
      <c r="C74" t="s">
        <v>36</v>
      </c>
      <c r="D74" t="s">
        <v>394</v>
      </c>
      <c r="E74">
        <v>4</v>
      </c>
    </row>
    <row r="75" spans="1:5" x14ac:dyDescent="0.3">
      <c r="A75" t="s">
        <v>522</v>
      </c>
      <c r="B75" s="1">
        <v>45784</v>
      </c>
      <c r="C75" t="s">
        <v>147</v>
      </c>
      <c r="D75" t="s">
        <v>371</v>
      </c>
      <c r="E75">
        <v>2</v>
      </c>
    </row>
    <row r="76" spans="1:5" x14ac:dyDescent="0.3">
      <c r="A76" t="s">
        <v>523</v>
      </c>
      <c r="B76" s="1">
        <v>45802</v>
      </c>
      <c r="C76" t="s">
        <v>164</v>
      </c>
      <c r="D76" t="s">
        <v>341</v>
      </c>
      <c r="E76">
        <v>2</v>
      </c>
    </row>
    <row r="77" spans="1:5" x14ac:dyDescent="0.3">
      <c r="A77" t="s">
        <v>524</v>
      </c>
      <c r="B77" s="1">
        <v>45748</v>
      </c>
      <c r="C77" t="s">
        <v>143</v>
      </c>
      <c r="D77" t="s">
        <v>363</v>
      </c>
      <c r="E77">
        <v>3</v>
      </c>
    </row>
    <row r="78" spans="1:5" x14ac:dyDescent="0.3">
      <c r="A78" t="s">
        <v>525</v>
      </c>
      <c r="B78" s="1">
        <v>45736</v>
      </c>
      <c r="C78" t="s">
        <v>106</v>
      </c>
      <c r="D78" t="s">
        <v>348</v>
      </c>
      <c r="E78">
        <v>1</v>
      </c>
    </row>
    <row r="79" spans="1:5" x14ac:dyDescent="0.3">
      <c r="A79" t="s">
        <v>526</v>
      </c>
      <c r="B79" s="1">
        <v>45806</v>
      </c>
      <c r="C79" t="s">
        <v>220</v>
      </c>
      <c r="D79" t="s">
        <v>355</v>
      </c>
      <c r="E79">
        <v>4</v>
      </c>
    </row>
    <row r="80" spans="1:5" x14ac:dyDescent="0.3">
      <c r="A80" t="s">
        <v>527</v>
      </c>
      <c r="B80" s="1">
        <v>45862</v>
      </c>
      <c r="C80" t="s">
        <v>156</v>
      </c>
      <c r="D80" t="s">
        <v>362</v>
      </c>
      <c r="E80">
        <v>5</v>
      </c>
    </row>
    <row r="81" spans="1:5" x14ac:dyDescent="0.3">
      <c r="A81" t="s">
        <v>528</v>
      </c>
      <c r="B81" s="1">
        <v>45736</v>
      </c>
      <c r="C81" t="s">
        <v>193</v>
      </c>
      <c r="D81" t="s">
        <v>425</v>
      </c>
      <c r="E81">
        <v>1</v>
      </c>
    </row>
    <row r="82" spans="1:5" x14ac:dyDescent="0.3">
      <c r="A82" t="s">
        <v>529</v>
      </c>
      <c r="B82" s="1">
        <v>45937</v>
      </c>
      <c r="C82" t="s">
        <v>114</v>
      </c>
      <c r="D82" t="s">
        <v>390</v>
      </c>
      <c r="E82">
        <v>3</v>
      </c>
    </row>
    <row r="83" spans="1:5" x14ac:dyDescent="0.3">
      <c r="A83" t="s">
        <v>530</v>
      </c>
      <c r="B83" s="1">
        <v>45965</v>
      </c>
      <c r="C83" t="s">
        <v>91</v>
      </c>
      <c r="D83" t="s">
        <v>418</v>
      </c>
      <c r="E83">
        <v>5</v>
      </c>
    </row>
    <row r="84" spans="1:5" x14ac:dyDescent="0.3">
      <c r="A84" t="s">
        <v>531</v>
      </c>
      <c r="B84" s="1">
        <v>45760</v>
      </c>
      <c r="C84" t="s">
        <v>215</v>
      </c>
      <c r="D84" t="s">
        <v>358</v>
      </c>
      <c r="E84">
        <v>4</v>
      </c>
    </row>
    <row r="85" spans="1:5" x14ac:dyDescent="0.3">
      <c r="A85" t="s">
        <v>532</v>
      </c>
      <c r="B85" s="1">
        <v>45899</v>
      </c>
      <c r="C85" t="s">
        <v>288</v>
      </c>
      <c r="D85" t="s">
        <v>351</v>
      </c>
      <c r="E85">
        <v>2</v>
      </c>
    </row>
    <row r="86" spans="1:5" x14ac:dyDescent="0.3">
      <c r="A86" t="s">
        <v>533</v>
      </c>
      <c r="B86" s="1">
        <v>45874</v>
      </c>
      <c r="C86" t="s">
        <v>118</v>
      </c>
      <c r="D86" t="s">
        <v>356</v>
      </c>
      <c r="E86">
        <v>2</v>
      </c>
    </row>
    <row r="87" spans="1:5" x14ac:dyDescent="0.3">
      <c r="A87" t="s">
        <v>534</v>
      </c>
      <c r="B87" s="1">
        <v>45841</v>
      </c>
      <c r="C87" t="s">
        <v>83</v>
      </c>
      <c r="D87" t="s">
        <v>369</v>
      </c>
      <c r="E87">
        <v>1</v>
      </c>
    </row>
    <row r="88" spans="1:5" x14ac:dyDescent="0.3">
      <c r="A88" t="s">
        <v>535</v>
      </c>
      <c r="B88" s="1">
        <v>46004</v>
      </c>
      <c r="C88" t="s">
        <v>256</v>
      </c>
      <c r="D88" t="s">
        <v>420</v>
      </c>
      <c r="E88">
        <v>4</v>
      </c>
    </row>
    <row r="89" spans="1:5" x14ac:dyDescent="0.3">
      <c r="A89" t="s">
        <v>536</v>
      </c>
      <c r="B89" s="1">
        <v>45783</v>
      </c>
      <c r="C89" t="s">
        <v>33</v>
      </c>
      <c r="D89" t="s">
        <v>430</v>
      </c>
      <c r="E89">
        <v>2</v>
      </c>
    </row>
    <row r="90" spans="1:5" x14ac:dyDescent="0.3">
      <c r="A90" t="s">
        <v>537</v>
      </c>
      <c r="B90" s="1">
        <v>45764</v>
      </c>
      <c r="C90" t="s">
        <v>127</v>
      </c>
      <c r="D90" t="s">
        <v>435</v>
      </c>
      <c r="E90">
        <v>5</v>
      </c>
    </row>
    <row r="91" spans="1:5" x14ac:dyDescent="0.3">
      <c r="A91" t="s">
        <v>538</v>
      </c>
      <c r="B91" s="1">
        <v>46006</v>
      </c>
      <c r="C91" t="s">
        <v>140</v>
      </c>
      <c r="D91" t="s">
        <v>418</v>
      </c>
      <c r="E91">
        <v>3</v>
      </c>
    </row>
    <row r="92" spans="1:5" x14ac:dyDescent="0.3">
      <c r="A92" t="s">
        <v>539</v>
      </c>
      <c r="B92" s="1">
        <v>45734</v>
      </c>
      <c r="C92" t="s">
        <v>216</v>
      </c>
      <c r="D92" t="s">
        <v>343</v>
      </c>
      <c r="E92">
        <v>2</v>
      </c>
    </row>
    <row r="93" spans="1:5" x14ac:dyDescent="0.3">
      <c r="A93" t="s">
        <v>540</v>
      </c>
      <c r="B93" s="1">
        <v>45721</v>
      </c>
      <c r="C93" t="s">
        <v>257</v>
      </c>
      <c r="D93" t="s">
        <v>328</v>
      </c>
      <c r="E93">
        <v>4</v>
      </c>
    </row>
    <row r="94" spans="1:5" x14ac:dyDescent="0.3">
      <c r="A94" t="s">
        <v>541</v>
      </c>
      <c r="B94" s="1">
        <v>45881</v>
      </c>
      <c r="C94" t="s">
        <v>71</v>
      </c>
      <c r="D94" t="s">
        <v>405</v>
      </c>
      <c r="E94">
        <v>1</v>
      </c>
    </row>
    <row r="95" spans="1:5" x14ac:dyDescent="0.3">
      <c r="A95" t="s">
        <v>542</v>
      </c>
      <c r="B95" s="1">
        <v>45961</v>
      </c>
      <c r="C95" t="s">
        <v>111</v>
      </c>
      <c r="D95" t="s">
        <v>400</v>
      </c>
      <c r="E95">
        <v>1</v>
      </c>
    </row>
    <row r="96" spans="1:5" x14ac:dyDescent="0.3">
      <c r="A96" t="s">
        <v>543</v>
      </c>
      <c r="B96" s="1">
        <v>45807</v>
      </c>
      <c r="C96" t="s">
        <v>297</v>
      </c>
      <c r="D96" t="s">
        <v>334</v>
      </c>
      <c r="E96">
        <v>2</v>
      </c>
    </row>
    <row r="97" spans="1:5" x14ac:dyDescent="0.3">
      <c r="A97" t="s">
        <v>544</v>
      </c>
      <c r="B97" s="1">
        <v>46005</v>
      </c>
      <c r="C97" t="s">
        <v>282</v>
      </c>
      <c r="D97" t="s">
        <v>388</v>
      </c>
      <c r="E97">
        <v>2</v>
      </c>
    </row>
    <row r="98" spans="1:5" x14ac:dyDescent="0.3">
      <c r="A98" t="s">
        <v>545</v>
      </c>
      <c r="B98" s="1">
        <v>45809</v>
      </c>
      <c r="C98" t="s">
        <v>94</v>
      </c>
      <c r="D98" t="s">
        <v>351</v>
      </c>
      <c r="E98">
        <v>5</v>
      </c>
    </row>
    <row r="99" spans="1:5" x14ac:dyDescent="0.3">
      <c r="A99" t="s">
        <v>546</v>
      </c>
      <c r="B99" s="1">
        <v>46002</v>
      </c>
      <c r="C99" t="s">
        <v>291</v>
      </c>
      <c r="D99" t="s">
        <v>338</v>
      </c>
      <c r="E99">
        <v>5</v>
      </c>
    </row>
    <row r="100" spans="1:5" x14ac:dyDescent="0.3">
      <c r="A100" t="s">
        <v>547</v>
      </c>
      <c r="B100" s="1">
        <v>45936</v>
      </c>
      <c r="C100" t="s">
        <v>162</v>
      </c>
      <c r="D100" t="s">
        <v>438</v>
      </c>
      <c r="E100">
        <v>3</v>
      </c>
    </row>
    <row r="101" spans="1:5" x14ac:dyDescent="0.3">
      <c r="A101" t="s">
        <v>548</v>
      </c>
      <c r="B101" s="1">
        <v>45742</v>
      </c>
      <c r="C101" t="s">
        <v>227</v>
      </c>
      <c r="D101" t="s">
        <v>399</v>
      </c>
      <c r="E101">
        <v>4</v>
      </c>
    </row>
    <row r="102" spans="1:5" x14ac:dyDescent="0.3">
      <c r="A102" t="s">
        <v>549</v>
      </c>
      <c r="B102" s="1">
        <v>45955</v>
      </c>
      <c r="C102" t="s">
        <v>311</v>
      </c>
      <c r="D102" t="s">
        <v>436</v>
      </c>
      <c r="E102">
        <v>1</v>
      </c>
    </row>
    <row r="103" spans="1:5" x14ac:dyDescent="0.3">
      <c r="A103" t="s">
        <v>550</v>
      </c>
      <c r="B103" s="1">
        <v>45831</v>
      </c>
      <c r="C103" t="s">
        <v>93</v>
      </c>
      <c r="D103" t="s">
        <v>390</v>
      </c>
      <c r="E103">
        <v>1</v>
      </c>
    </row>
    <row r="104" spans="1:5" x14ac:dyDescent="0.3">
      <c r="A104" t="s">
        <v>551</v>
      </c>
      <c r="B104" s="1">
        <v>45761</v>
      </c>
      <c r="C104" t="s">
        <v>241</v>
      </c>
      <c r="D104" t="s">
        <v>357</v>
      </c>
      <c r="E104">
        <v>3</v>
      </c>
    </row>
    <row r="105" spans="1:5" x14ac:dyDescent="0.3">
      <c r="A105" t="s">
        <v>552</v>
      </c>
      <c r="B105" s="1">
        <v>46021</v>
      </c>
      <c r="C105" t="s">
        <v>226</v>
      </c>
      <c r="D105" t="s">
        <v>338</v>
      </c>
      <c r="E105">
        <v>5</v>
      </c>
    </row>
    <row r="106" spans="1:5" x14ac:dyDescent="0.3">
      <c r="A106" t="s">
        <v>553</v>
      </c>
      <c r="B106" s="1">
        <v>45808</v>
      </c>
      <c r="C106" t="s">
        <v>154</v>
      </c>
      <c r="D106" t="s">
        <v>406</v>
      </c>
      <c r="E106">
        <v>4</v>
      </c>
    </row>
    <row r="107" spans="1:5" x14ac:dyDescent="0.3">
      <c r="A107" t="s">
        <v>554</v>
      </c>
      <c r="B107" s="1">
        <v>45947</v>
      </c>
      <c r="C107" t="s">
        <v>314</v>
      </c>
      <c r="D107" t="s">
        <v>431</v>
      </c>
      <c r="E107">
        <v>1</v>
      </c>
    </row>
    <row r="108" spans="1:5" x14ac:dyDescent="0.3">
      <c r="A108" t="s">
        <v>555</v>
      </c>
      <c r="B108" s="1">
        <v>45962</v>
      </c>
      <c r="C108" t="s">
        <v>109</v>
      </c>
      <c r="D108" t="s">
        <v>372</v>
      </c>
      <c r="E108">
        <v>1</v>
      </c>
    </row>
    <row r="109" spans="1:5" x14ac:dyDescent="0.3">
      <c r="A109" t="s">
        <v>556</v>
      </c>
      <c r="B109" s="1">
        <v>45822</v>
      </c>
      <c r="C109" t="s">
        <v>249</v>
      </c>
      <c r="D109" t="s">
        <v>374</v>
      </c>
      <c r="E109">
        <v>3</v>
      </c>
    </row>
    <row r="110" spans="1:5" x14ac:dyDescent="0.3">
      <c r="A110" t="s">
        <v>557</v>
      </c>
      <c r="B110" s="1">
        <v>45814</v>
      </c>
      <c r="C110" t="s">
        <v>216</v>
      </c>
      <c r="D110" t="s">
        <v>402</v>
      </c>
      <c r="E110">
        <v>3</v>
      </c>
    </row>
    <row r="111" spans="1:5" x14ac:dyDescent="0.3">
      <c r="A111" t="s">
        <v>558</v>
      </c>
      <c r="B111" s="1">
        <v>45663</v>
      </c>
      <c r="C111" t="s">
        <v>272</v>
      </c>
      <c r="D111" t="s">
        <v>356</v>
      </c>
      <c r="E111">
        <v>3</v>
      </c>
    </row>
    <row r="112" spans="1:5" x14ac:dyDescent="0.3">
      <c r="A112" t="s">
        <v>559</v>
      </c>
      <c r="B112" s="1">
        <v>45867</v>
      </c>
      <c r="C112" t="s">
        <v>299</v>
      </c>
      <c r="D112" t="s">
        <v>408</v>
      </c>
      <c r="E112">
        <v>3</v>
      </c>
    </row>
    <row r="113" spans="1:5" x14ac:dyDescent="0.3">
      <c r="A113" t="s">
        <v>560</v>
      </c>
      <c r="B113" s="1">
        <v>45753</v>
      </c>
      <c r="C113" t="s">
        <v>104</v>
      </c>
      <c r="D113" t="s">
        <v>395</v>
      </c>
      <c r="E113">
        <v>3</v>
      </c>
    </row>
    <row r="114" spans="1:5" x14ac:dyDescent="0.3">
      <c r="A114" t="s">
        <v>561</v>
      </c>
      <c r="B114" s="1">
        <v>45997</v>
      </c>
      <c r="C114" t="s">
        <v>215</v>
      </c>
      <c r="D114" t="s">
        <v>345</v>
      </c>
      <c r="E114">
        <v>3</v>
      </c>
    </row>
    <row r="115" spans="1:5" x14ac:dyDescent="0.3">
      <c r="A115" t="s">
        <v>562</v>
      </c>
      <c r="B115" s="1">
        <v>45934</v>
      </c>
      <c r="C115" t="s">
        <v>272</v>
      </c>
      <c r="D115" t="s">
        <v>345</v>
      </c>
      <c r="E115">
        <v>4</v>
      </c>
    </row>
    <row r="116" spans="1:5" x14ac:dyDescent="0.3">
      <c r="A116" t="s">
        <v>563</v>
      </c>
      <c r="B116" s="1">
        <v>45715</v>
      </c>
      <c r="C116" t="s">
        <v>283</v>
      </c>
      <c r="D116" t="s">
        <v>410</v>
      </c>
      <c r="E116">
        <v>1</v>
      </c>
    </row>
    <row r="117" spans="1:5" x14ac:dyDescent="0.3">
      <c r="A117" t="s">
        <v>564</v>
      </c>
      <c r="B117" s="1">
        <v>45664</v>
      </c>
      <c r="C117" t="s">
        <v>26</v>
      </c>
      <c r="D117" t="s">
        <v>348</v>
      </c>
      <c r="E117">
        <v>4</v>
      </c>
    </row>
    <row r="118" spans="1:5" x14ac:dyDescent="0.3">
      <c r="A118" t="s">
        <v>565</v>
      </c>
      <c r="B118" s="1">
        <v>45901</v>
      </c>
      <c r="C118" t="s">
        <v>165</v>
      </c>
      <c r="D118" t="s">
        <v>396</v>
      </c>
      <c r="E118">
        <v>5</v>
      </c>
    </row>
    <row r="119" spans="1:5" x14ac:dyDescent="0.3">
      <c r="A119" t="s">
        <v>566</v>
      </c>
      <c r="B119" s="1">
        <v>46016</v>
      </c>
      <c r="C119" t="s">
        <v>138</v>
      </c>
      <c r="D119" t="s">
        <v>380</v>
      </c>
      <c r="E119">
        <v>5</v>
      </c>
    </row>
    <row r="120" spans="1:5" x14ac:dyDescent="0.3">
      <c r="A120" t="s">
        <v>567</v>
      </c>
      <c r="B120" s="1">
        <v>45719</v>
      </c>
      <c r="C120" t="s">
        <v>268</v>
      </c>
      <c r="D120" t="s">
        <v>348</v>
      </c>
      <c r="E120">
        <v>4</v>
      </c>
    </row>
    <row r="121" spans="1:5" x14ac:dyDescent="0.3">
      <c r="A121" t="s">
        <v>568</v>
      </c>
      <c r="B121" s="1">
        <v>45814</v>
      </c>
      <c r="C121" t="s">
        <v>276</v>
      </c>
      <c r="D121" t="s">
        <v>439</v>
      </c>
      <c r="E121">
        <v>3</v>
      </c>
    </row>
    <row r="122" spans="1:5" x14ac:dyDescent="0.3">
      <c r="A122" t="s">
        <v>569</v>
      </c>
      <c r="B122" s="1">
        <v>45768</v>
      </c>
      <c r="C122" t="s">
        <v>211</v>
      </c>
      <c r="D122" t="s">
        <v>341</v>
      </c>
      <c r="E122">
        <v>4</v>
      </c>
    </row>
    <row r="123" spans="1:5" x14ac:dyDescent="0.3">
      <c r="A123" t="s">
        <v>570</v>
      </c>
      <c r="B123" s="1">
        <v>45948</v>
      </c>
      <c r="C123" t="s">
        <v>189</v>
      </c>
      <c r="D123" t="s">
        <v>359</v>
      </c>
      <c r="E123">
        <v>1</v>
      </c>
    </row>
    <row r="124" spans="1:5" x14ac:dyDescent="0.3">
      <c r="A124" t="s">
        <v>571</v>
      </c>
      <c r="B124" s="1">
        <v>45781</v>
      </c>
      <c r="C124" t="s">
        <v>49</v>
      </c>
      <c r="D124" t="s">
        <v>414</v>
      </c>
      <c r="E124">
        <v>3</v>
      </c>
    </row>
    <row r="125" spans="1:5" x14ac:dyDescent="0.3">
      <c r="A125" t="s">
        <v>572</v>
      </c>
      <c r="B125" s="1">
        <v>45892</v>
      </c>
      <c r="C125" t="s">
        <v>81</v>
      </c>
      <c r="D125" t="s">
        <v>411</v>
      </c>
      <c r="E125">
        <v>4</v>
      </c>
    </row>
    <row r="126" spans="1:5" x14ac:dyDescent="0.3">
      <c r="A126" t="s">
        <v>573</v>
      </c>
      <c r="B126" s="1">
        <v>45691</v>
      </c>
      <c r="C126" t="s">
        <v>53</v>
      </c>
      <c r="D126" t="s">
        <v>373</v>
      </c>
      <c r="E126">
        <v>3</v>
      </c>
    </row>
    <row r="127" spans="1:5" x14ac:dyDescent="0.3">
      <c r="A127" t="s">
        <v>574</v>
      </c>
      <c r="B127" s="1">
        <v>45690</v>
      </c>
      <c r="C127" t="s">
        <v>98</v>
      </c>
      <c r="D127" t="s">
        <v>433</v>
      </c>
      <c r="E127">
        <v>1</v>
      </c>
    </row>
    <row r="128" spans="1:5" x14ac:dyDescent="0.3">
      <c r="A128" t="s">
        <v>575</v>
      </c>
      <c r="B128" s="1">
        <v>45808</v>
      </c>
      <c r="C128" t="s">
        <v>318</v>
      </c>
      <c r="D128" t="s">
        <v>383</v>
      </c>
      <c r="E128">
        <v>5</v>
      </c>
    </row>
    <row r="129" spans="1:5" x14ac:dyDescent="0.3">
      <c r="A129" t="s">
        <v>576</v>
      </c>
      <c r="B129" s="1">
        <v>45921</v>
      </c>
      <c r="C129" t="s">
        <v>168</v>
      </c>
      <c r="D129" t="s">
        <v>374</v>
      </c>
      <c r="E129">
        <v>2</v>
      </c>
    </row>
    <row r="130" spans="1:5" x14ac:dyDescent="0.3">
      <c r="A130" t="s">
        <v>577</v>
      </c>
      <c r="B130" s="1">
        <v>45926</v>
      </c>
      <c r="C130" t="s">
        <v>241</v>
      </c>
      <c r="D130" t="s">
        <v>345</v>
      </c>
      <c r="E130">
        <v>3</v>
      </c>
    </row>
    <row r="131" spans="1:5" x14ac:dyDescent="0.3">
      <c r="A131" t="s">
        <v>578</v>
      </c>
      <c r="B131" s="1">
        <v>45672</v>
      </c>
      <c r="C131" t="s">
        <v>243</v>
      </c>
      <c r="D131" t="s">
        <v>419</v>
      </c>
      <c r="E131">
        <v>5</v>
      </c>
    </row>
    <row r="132" spans="1:5" x14ac:dyDescent="0.3">
      <c r="A132" t="s">
        <v>579</v>
      </c>
      <c r="B132" s="1">
        <v>45809</v>
      </c>
      <c r="C132" t="s">
        <v>308</v>
      </c>
      <c r="D132" t="s">
        <v>406</v>
      </c>
      <c r="E132">
        <v>4</v>
      </c>
    </row>
    <row r="133" spans="1:5" x14ac:dyDescent="0.3">
      <c r="A133" t="s">
        <v>580</v>
      </c>
      <c r="B133" s="1">
        <v>45789</v>
      </c>
      <c r="C133" t="s">
        <v>308</v>
      </c>
      <c r="D133" t="s">
        <v>348</v>
      </c>
      <c r="E133">
        <v>5</v>
      </c>
    </row>
    <row r="134" spans="1:5" x14ac:dyDescent="0.3">
      <c r="A134" t="s">
        <v>581</v>
      </c>
      <c r="B134" s="1">
        <v>45782</v>
      </c>
      <c r="C134" t="s">
        <v>309</v>
      </c>
      <c r="D134" t="s">
        <v>341</v>
      </c>
      <c r="E134">
        <v>2</v>
      </c>
    </row>
    <row r="135" spans="1:5" x14ac:dyDescent="0.3">
      <c r="A135" t="s">
        <v>582</v>
      </c>
      <c r="B135" s="1">
        <v>45898</v>
      </c>
      <c r="C135" t="s">
        <v>255</v>
      </c>
      <c r="D135" t="s">
        <v>347</v>
      </c>
      <c r="E135">
        <v>2</v>
      </c>
    </row>
    <row r="136" spans="1:5" x14ac:dyDescent="0.3">
      <c r="A136" t="s">
        <v>583</v>
      </c>
      <c r="B136" s="1">
        <v>45700</v>
      </c>
      <c r="C136" t="s">
        <v>208</v>
      </c>
      <c r="D136" t="s">
        <v>338</v>
      </c>
      <c r="E136">
        <v>1</v>
      </c>
    </row>
    <row r="137" spans="1:5" x14ac:dyDescent="0.3">
      <c r="A137" t="s">
        <v>584</v>
      </c>
      <c r="B137" s="1">
        <v>45783</v>
      </c>
      <c r="C137" t="s">
        <v>68</v>
      </c>
      <c r="D137" t="s">
        <v>348</v>
      </c>
      <c r="E137">
        <v>3</v>
      </c>
    </row>
    <row r="138" spans="1:5" x14ac:dyDescent="0.3">
      <c r="A138" t="s">
        <v>585</v>
      </c>
      <c r="B138" s="1">
        <v>45658</v>
      </c>
      <c r="C138" t="s">
        <v>177</v>
      </c>
      <c r="D138" t="s">
        <v>389</v>
      </c>
      <c r="E138">
        <v>4</v>
      </c>
    </row>
    <row r="139" spans="1:5" x14ac:dyDescent="0.3">
      <c r="A139" t="s">
        <v>586</v>
      </c>
      <c r="B139" s="1">
        <v>45950</v>
      </c>
      <c r="C139" t="s">
        <v>292</v>
      </c>
      <c r="D139" t="s">
        <v>356</v>
      </c>
      <c r="E139">
        <v>1</v>
      </c>
    </row>
    <row r="140" spans="1:5" x14ac:dyDescent="0.3">
      <c r="A140" t="s">
        <v>587</v>
      </c>
      <c r="B140" s="1">
        <v>45955</v>
      </c>
      <c r="C140" t="s">
        <v>129</v>
      </c>
      <c r="D140" t="s">
        <v>442</v>
      </c>
      <c r="E140">
        <v>4</v>
      </c>
    </row>
    <row r="141" spans="1:5" x14ac:dyDescent="0.3">
      <c r="A141" t="s">
        <v>588</v>
      </c>
      <c r="B141" s="1">
        <v>45676</v>
      </c>
      <c r="C141" t="s">
        <v>459</v>
      </c>
      <c r="D141" t="s">
        <v>328</v>
      </c>
      <c r="E141">
        <v>1</v>
      </c>
    </row>
    <row r="142" spans="1:5" x14ac:dyDescent="0.3">
      <c r="A142" t="s">
        <v>589</v>
      </c>
      <c r="B142" s="1">
        <v>45971</v>
      </c>
      <c r="C142" t="s">
        <v>208</v>
      </c>
      <c r="D142" t="s">
        <v>376</v>
      </c>
      <c r="E142">
        <v>2</v>
      </c>
    </row>
    <row r="143" spans="1:5" x14ac:dyDescent="0.3">
      <c r="A143" t="s">
        <v>590</v>
      </c>
      <c r="B143" s="1">
        <v>45666</v>
      </c>
      <c r="C143" t="s">
        <v>18</v>
      </c>
      <c r="D143" t="s">
        <v>415</v>
      </c>
      <c r="E143">
        <v>2</v>
      </c>
    </row>
    <row r="144" spans="1:5" x14ac:dyDescent="0.3">
      <c r="A144" t="s">
        <v>591</v>
      </c>
      <c r="B144" s="1">
        <v>45740</v>
      </c>
      <c r="C144" t="s">
        <v>246</v>
      </c>
      <c r="D144" t="s">
        <v>428</v>
      </c>
      <c r="E144">
        <v>1</v>
      </c>
    </row>
    <row r="145" spans="1:5" x14ac:dyDescent="0.3">
      <c r="A145" t="s">
        <v>592</v>
      </c>
      <c r="B145" s="1">
        <v>45875</v>
      </c>
      <c r="C145" t="s">
        <v>459</v>
      </c>
      <c r="D145" t="s">
        <v>339</v>
      </c>
      <c r="E145">
        <v>3</v>
      </c>
    </row>
    <row r="146" spans="1:5" x14ac:dyDescent="0.3">
      <c r="A146" t="s">
        <v>593</v>
      </c>
      <c r="B146" s="1">
        <v>45835</v>
      </c>
      <c r="C146" t="s">
        <v>83</v>
      </c>
      <c r="D146" t="s">
        <v>375</v>
      </c>
      <c r="E146">
        <v>3</v>
      </c>
    </row>
    <row r="147" spans="1:5" x14ac:dyDescent="0.3">
      <c r="A147" t="s">
        <v>594</v>
      </c>
      <c r="B147" s="1">
        <v>45896</v>
      </c>
      <c r="C147" t="s">
        <v>195</v>
      </c>
      <c r="D147" t="s">
        <v>407</v>
      </c>
      <c r="E147">
        <v>1</v>
      </c>
    </row>
    <row r="148" spans="1:5" x14ac:dyDescent="0.3">
      <c r="A148" t="s">
        <v>595</v>
      </c>
      <c r="B148" s="1">
        <v>45786</v>
      </c>
      <c r="C148" t="s">
        <v>97</v>
      </c>
      <c r="D148" t="s">
        <v>366</v>
      </c>
      <c r="E148">
        <v>5</v>
      </c>
    </row>
    <row r="149" spans="1:5" x14ac:dyDescent="0.3">
      <c r="A149" t="s">
        <v>596</v>
      </c>
      <c r="B149" s="1">
        <v>45678</v>
      </c>
      <c r="C149" t="s">
        <v>228</v>
      </c>
      <c r="D149" t="s">
        <v>348</v>
      </c>
      <c r="E149">
        <v>3</v>
      </c>
    </row>
    <row r="150" spans="1:5" x14ac:dyDescent="0.3">
      <c r="A150" t="s">
        <v>597</v>
      </c>
      <c r="B150" s="1">
        <v>45930</v>
      </c>
      <c r="C150" t="s">
        <v>178</v>
      </c>
      <c r="D150" t="s">
        <v>388</v>
      </c>
      <c r="E150">
        <v>3</v>
      </c>
    </row>
    <row r="151" spans="1:5" x14ac:dyDescent="0.3">
      <c r="A151" t="s">
        <v>598</v>
      </c>
      <c r="B151" s="1">
        <v>45728</v>
      </c>
      <c r="C151" t="s">
        <v>96</v>
      </c>
      <c r="D151" t="s">
        <v>443</v>
      </c>
      <c r="E151">
        <v>5</v>
      </c>
    </row>
    <row r="152" spans="1:5" x14ac:dyDescent="0.3">
      <c r="A152" t="s">
        <v>599</v>
      </c>
      <c r="B152" s="1">
        <v>45814</v>
      </c>
      <c r="C152" t="s">
        <v>312</v>
      </c>
      <c r="D152" t="s">
        <v>442</v>
      </c>
      <c r="E152">
        <v>2</v>
      </c>
    </row>
    <row r="153" spans="1:5" x14ac:dyDescent="0.3">
      <c r="A153" t="s">
        <v>600</v>
      </c>
      <c r="B153" s="1">
        <v>46002</v>
      </c>
      <c r="C153" t="s">
        <v>231</v>
      </c>
      <c r="D153" t="s">
        <v>360</v>
      </c>
      <c r="E153">
        <v>5</v>
      </c>
    </row>
    <row r="154" spans="1:5" x14ac:dyDescent="0.3">
      <c r="A154" t="s">
        <v>601</v>
      </c>
      <c r="B154" s="1">
        <v>45684</v>
      </c>
      <c r="C154" t="s">
        <v>78</v>
      </c>
      <c r="D154" t="s">
        <v>349</v>
      </c>
      <c r="E154">
        <v>5</v>
      </c>
    </row>
    <row r="155" spans="1:5" x14ac:dyDescent="0.3">
      <c r="A155" t="s">
        <v>602</v>
      </c>
      <c r="B155" s="1">
        <v>45824</v>
      </c>
      <c r="C155" t="s">
        <v>98</v>
      </c>
      <c r="D155" t="s">
        <v>428</v>
      </c>
      <c r="E155">
        <v>5</v>
      </c>
    </row>
    <row r="156" spans="1:5" x14ac:dyDescent="0.3">
      <c r="A156" t="s">
        <v>603</v>
      </c>
      <c r="B156" s="1">
        <v>45793</v>
      </c>
      <c r="C156" t="s">
        <v>208</v>
      </c>
      <c r="D156" t="s">
        <v>383</v>
      </c>
      <c r="E156">
        <v>3</v>
      </c>
    </row>
    <row r="157" spans="1:5" x14ac:dyDescent="0.3">
      <c r="A157" t="s">
        <v>604</v>
      </c>
      <c r="B157" s="1">
        <v>45910</v>
      </c>
      <c r="C157" t="s">
        <v>148</v>
      </c>
      <c r="D157" t="s">
        <v>405</v>
      </c>
      <c r="E157">
        <v>3</v>
      </c>
    </row>
    <row r="158" spans="1:5" x14ac:dyDescent="0.3">
      <c r="A158" t="s">
        <v>605</v>
      </c>
      <c r="B158" s="1">
        <v>45732</v>
      </c>
      <c r="C158" t="s">
        <v>295</v>
      </c>
      <c r="D158" t="s">
        <v>411</v>
      </c>
      <c r="E158">
        <v>4</v>
      </c>
    </row>
    <row r="159" spans="1:5" x14ac:dyDescent="0.3">
      <c r="A159" t="s">
        <v>606</v>
      </c>
      <c r="B159" s="1">
        <v>45684</v>
      </c>
      <c r="C159" t="s">
        <v>469</v>
      </c>
      <c r="D159" t="s">
        <v>354</v>
      </c>
      <c r="E159">
        <v>1</v>
      </c>
    </row>
    <row r="160" spans="1:5" x14ac:dyDescent="0.3">
      <c r="A160" t="s">
        <v>607</v>
      </c>
      <c r="B160" s="1">
        <v>45803</v>
      </c>
      <c r="C160" t="s">
        <v>315</v>
      </c>
      <c r="D160" t="s">
        <v>349</v>
      </c>
      <c r="E160">
        <v>2</v>
      </c>
    </row>
    <row r="161" spans="1:5" x14ac:dyDescent="0.3">
      <c r="A161" t="s">
        <v>608</v>
      </c>
      <c r="B161" s="1">
        <v>45791</v>
      </c>
      <c r="C161" t="s">
        <v>293</v>
      </c>
      <c r="D161" t="s">
        <v>426</v>
      </c>
      <c r="E161">
        <v>5</v>
      </c>
    </row>
    <row r="162" spans="1:5" x14ac:dyDescent="0.3">
      <c r="A162" t="s">
        <v>609</v>
      </c>
      <c r="B162" s="1">
        <v>45943</v>
      </c>
      <c r="C162" t="s">
        <v>205</v>
      </c>
      <c r="D162" t="s">
        <v>380</v>
      </c>
      <c r="E162">
        <v>4</v>
      </c>
    </row>
    <row r="163" spans="1:5" x14ac:dyDescent="0.3">
      <c r="A163" t="s">
        <v>610</v>
      </c>
      <c r="B163" s="1">
        <v>45939</v>
      </c>
      <c r="C163" t="s">
        <v>231</v>
      </c>
      <c r="D163" t="s">
        <v>426</v>
      </c>
      <c r="E163">
        <v>1</v>
      </c>
    </row>
    <row r="164" spans="1:5" x14ac:dyDescent="0.3">
      <c r="A164" t="s">
        <v>611</v>
      </c>
      <c r="B164" s="1">
        <v>45999</v>
      </c>
      <c r="C164" t="s">
        <v>181</v>
      </c>
      <c r="D164" t="s">
        <v>364</v>
      </c>
      <c r="E164">
        <v>2</v>
      </c>
    </row>
    <row r="165" spans="1:5" x14ac:dyDescent="0.3">
      <c r="A165" t="s">
        <v>612</v>
      </c>
      <c r="B165" s="1">
        <v>45893</v>
      </c>
      <c r="C165" t="s">
        <v>170</v>
      </c>
      <c r="D165" t="s">
        <v>386</v>
      </c>
      <c r="E165">
        <v>1</v>
      </c>
    </row>
    <row r="166" spans="1:5" x14ac:dyDescent="0.3">
      <c r="A166" t="s">
        <v>613</v>
      </c>
      <c r="B166" s="1">
        <v>45721</v>
      </c>
      <c r="C166" t="s">
        <v>115</v>
      </c>
      <c r="D166" t="s">
        <v>355</v>
      </c>
      <c r="E166">
        <v>5</v>
      </c>
    </row>
    <row r="167" spans="1:5" x14ac:dyDescent="0.3">
      <c r="A167" t="s">
        <v>614</v>
      </c>
      <c r="B167" s="1">
        <v>45805</v>
      </c>
      <c r="C167" t="s">
        <v>245</v>
      </c>
      <c r="D167" t="s">
        <v>347</v>
      </c>
      <c r="E167">
        <v>3</v>
      </c>
    </row>
    <row r="168" spans="1:5" x14ac:dyDescent="0.3">
      <c r="A168" t="s">
        <v>615</v>
      </c>
      <c r="B168" s="1">
        <v>45934</v>
      </c>
      <c r="C168" t="s">
        <v>99</v>
      </c>
      <c r="D168" t="s">
        <v>360</v>
      </c>
      <c r="E168">
        <v>4</v>
      </c>
    </row>
    <row r="169" spans="1:5" x14ac:dyDescent="0.3">
      <c r="A169" t="s">
        <v>616</v>
      </c>
      <c r="B169" s="1">
        <v>45708</v>
      </c>
      <c r="C169" t="s">
        <v>267</v>
      </c>
      <c r="D169" t="s">
        <v>426</v>
      </c>
      <c r="E169">
        <v>5</v>
      </c>
    </row>
    <row r="170" spans="1:5" x14ac:dyDescent="0.3">
      <c r="A170" t="s">
        <v>617</v>
      </c>
      <c r="B170" s="1">
        <v>45836</v>
      </c>
      <c r="C170" t="s">
        <v>80</v>
      </c>
      <c r="D170" t="s">
        <v>434</v>
      </c>
      <c r="E170">
        <v>1</v>
      </c>
    </row>
    <row r="171" spans="1:5" x14ac:dyDescent="0.3">
      <c r="A171" t="s">
        <v>618</v>
      </c>
      <c r="B171" s="1">
        <v>45935</v>
      </c>
      <c r="C171" t="s">
        <v>97</v>
      </c>
      <c r="D171" t="s">
        <v>416</v>
      </c>
      <c r="E171">
        <v>2</v>
      </c>
    </row>
    <row r="172" spans="1:5" x14ac:dyDescent="0.3">
      <c r="A172" t="s">
        <v>619</v>
      </c>
      <c r="B172" s="1">
        <v>45942</v>
      </c>
      <c r="C172" t="s">
        <v>36</v>
      </c>
      <c r="D172" t="s">
        <v>443</v>
      </c>
      <c r="E172">
        <v>2</v>
      </c>
    </row>
    <row r="173" spans="1:5" x14ac:dyDescent="0.3">
      <c r="A173" t="s">
        <v>620</v>
      </c>
      <c r="B173" s="1">
        <v>45766</v>
      </c>
      <c r="C173" t="s">
        <v>236</v>
      </c>
      <c r="D173" t="s">
        <v>423</v>
      </c>
      <c r="E173">
        <v>3</v>
      </c>
    </row>
    <row r="174" spans="1:5" x14ac:dyDescent="0.3">
      <c r="A174" t="s">
        <v>621</v>
      </c>
      <c r="B174" s="1">
        <v>45696</v>
      </c>
      <c r="C174" t="s">
        <v>172</v>
      </c>
      <c r="D174" t="s">
        <v>338</v>
      </c>
      <c r="E174">
        <v>5</v>
      </c>
    </row>
    <row r="175" spans="1:5" x14ac:dyDescent="0.3">
      <c r="A175" t="s">
        <v>622</v>
      </c>
      <c r="B175" s="1">
        <v>45832</v>
      </c>
      <c r="C175" t="s">
        <v>191</v>
      </c>
      <c r="D175" t="s">
        <v>386</v>
      </c>
      <c r="E175">
        <v>3</v>
      </c>
    </row>
    <row r="176" spans="1:5" x14ac:dyDescent="0.3">
      <c r="A176" t="s">
        <v>623</v>
      </c>
      <c r="B176" s="1">
        <v>45965</v>
      </c>
      <c r="C176" t="s">
        <v>284</v>
      </c>
      <c r="D176" t="s">
        <v>427</v>
      </c>
      <c r="E176">
        <v>4</v>
      </c>
    </row>
    <row r="177" spans="1:5" x14ac:dyDescent="0.3">
      <c r="A177" t="s">
        <v>624</v>
      </c>
      <c r="B177" s="1">
        <v>45974</v>
      </c>
      <c r="C177" t="s">
        <v>278</v>
      </c>
      <c r="D177" t="s">
        <v>376</v>
      </c>
      <c r="E177">
        <v>2</v>
      </c>
    </row>
    <row r="178" spans="1:5" x14ac:dyDescent="0.3">
      <c r="A178" t="s">
        <v>625</v>
      </c>
      <c r="B178" s="1">
        <v>45807</v>
      </c>
      <c r="C178" t="s">
        <v>236</v>
      </c>
      <c r="D178" t="s">
        <v>356</v>
      </c>
      <c r="E178">
        <v>5</v>
      </c>
    </row>
    <row r="179" spans="1:5" x14ac:dyDescent="0.3">
      <c r="A179" t="s">
        <v>626</v>
      </c>
      <c r="B179" s="1">
        <v>45780</v>
      </c>
      <c r="C179" t="s">
        <v>285</v>
      </c>
      <c r="D179" t="s">
        <v>365</v>
      </c>
      <c r="E179">
        <v>4</v>
      </c>
    </row>
    <row r="180" spans="1:5" x14ac:dyDescent="0.3">
      <c r="A180" t="s">
        <v>627</v>
      </c>
      <c r="B180" s="1">
        <v>45713</v>
      </c>
      <c r="C180" t="s">
        <v>79</v>
      </c>
      <c r="D180" t="s">
        <v>432</v>
      </c>
      <c r="E180">
        <v>2</v>
      </c>
    </row>
    <row r="181" spans="1:5" x14ac:dyDescent="0.3">
      <c r="A181" t="s">
        <v>628</v>
      </c>
      <c r="B181" s="1">
        <v>45862</v>
      </c>
      <c r="C181" t="s">
        <v>79</v>
      </c>
      <c r="D181" t="s">
        <v>439</v>
      </c>
      <c r="E181">
        <v>1</v>
      </c>
    </row>
    <row r="182" spans="1:5" x14ac:dyDescent="0.3">
      <c r="A182" t="s">
        <v>629</v>
      </c>
      <c r="B182" s="1">
        <v>45727</v>
      </c>
      <c r="C182" t="s">
        <v>130</v>
      </c>
      <c r="D182" t="s">
        <v>380</v>
      </c>
      <c r="E182">
        <v>1</v>
      </c>
    </row>
    <row r="183" spans="1:5" x14ac:dyDescent="0.3">
      <c r="A183" t="s">
        <v>630</v>
      </c>
      <c r="B183" s="1">
        <v>45817</v>
      </c>
      <c r="C183" t="s">
        <v>241</v>
      </c>
      <c r="D183" t="s">
        <v>370</v>
      </c>
      <c r="E183">
        <v>4</v>
      </c>
    </row>
    <row r="184" spans="1:5" x14ac:dyDescent="0.3">
      <c r="A184" t="s">
        <v>631</v>
      </c>
      <c r="B184" s="1">
        <v>45750</v>
      </c>
      <c r="C184" t="s">
        <v>322</v>
      </c>
      <c r="D184" t="s">
        <v>328</v>
      </c>
      <c r="E184">
        <v>5</v>
      </c>
    </row>
    <row r="185" spans="1:5" x14ac:dyDescent="0.3">
      <c r="A185" t="s">
        <v>632</v>
      </c>
      <c r="B185" s="1">
        <v>45666</v>
      </c>
      <c r="C185" t="s">
        <v>459</v>
      </c>
      <c r="D185" t="s">
        <v>381</v>
      </c>
      <c r="E185">
        <v>2</v>
      </c>
    </row>
    <row r="186" spans="1:5" x14ac:dyDescent="0.3">
      <c r="A186" t="s">
        <v>633</v>
      </c>
      <c r="B186" s="1">
        <v>45720</v>
      </c>
      <c r="C186" t="s">
        <v>469</v>
      </c>
      <c r="D186" t="s">
        <v>411</v>
      </c>
      <c r="E186">
        <v>3</v>
      </c>
    </row>
    <row r="187" spans="1:5" x14ac:dyDescent="0.3">
      <c r="A187" t="s">
        <v>634</v>
      </c>
      <c r="B187" s="1">
        <v>45844</v>
      </c>
      <c r="C187" t="s">
        <v>147</v>
      </c>
      <c r="D187" t="s">
        <v>407</v>
      </c>
      <c r="E187">
        <v>1</v>
      </c>
    </row>
    <row r="188" spans="1:5" x14ac:dyDescent="0.3">
      <c r="A188" t="s">
        <v>635</v>
      </c>
      <c r="B188" s="1">
        <v>45858</v>
      </c>
      <c r="C188" t="s">
        <v>166</v>
      </c>
      <c r="D188" t="s">
        <v>416</v>
      </c>
      <c r="E188">
        <v>3</v>
      </c>
    </row>
    <row r="189" spans="1:5" x14ac:dyDescent="0.3">
      <c r="A189" t="s">
        <v>636</v>
      </c>
      <c r="B189" s="1">
        <v>45875</v>
      </c>
      <c r="C189" t="s">
        <v>192</v>
      </c>
      <c r="D189" t="s">
        <v>365</v>
      </c>
      <c r="E189">
        <v>2</v>
      </c>
    </row>
    <row r="190" spans="1:5" x14ac:dyDescent="0.3">
      <c r="A190" t="s">
        <v>637</v>
      </c>
      <c r="B190" s="1">
        <v>45738</v>
      </c>
      <c r="C190" t="s">
        <v>115</v>
      </c>
      <c r="D190" t="s">
        <v>406</v>
      </c>
      <c r="E190">
        <v>4</v>
      </c>
    </row>
    <row r="191" spans="1:5" x14ac:dyDescent="0.3">
      <c r="A191" t="s">
        <v>638</v>
      </c>
      <c r="B191" s="1">
        <v>45845</v>
      </c>
      <c r="C191" t="s">
        <v>318</v>
      </c>
      <c r="D191" t="s">
        <v>347</v>
      </c>
      <c r="E191">
        <v>2</v>
      </c>
    </row>
    <row r="192" spans="1:5" x14ac:dyDescent="0.3">
      <c r="A192" t="s">
        <v>639</v>
      </c>
      <c r="B192" s="1">
        <v>46017</v>
      </c>
      <c r="C192" t="s">
        <v>75</v>
      </c>
      <c r="D192" t="s">
        <v>390</v>
      </c>
      <c r="E192">
        <v>5</v>
      </c>
    </row>
    <row r="193" spans="1:5" x14ac:dyDescent="0.3">
      <c r="A193" t="s">
        <v>640</v>
      </c>
      <c r="B193" s="1">
        <v>45916</v>
      </c>
      <c r="C193" t="s">
        <v>469</v>
      </c>
      <c r="D193" t="s">
        <v>348</v>
      </c>
      <c r="E193">
        <v>2</v>
      </c>
    </row>
    <row r="194" spans="1:5" x14ac:dyDescent="0.3">
      <c r="A194" t="s">
        <v>641</v>
      </c>
      <c r="B194" s="1">
        <v>45890</v>
      </c>
      <c r="C194" t="s">
        <v>79</v>
      </c>
      <c r="D194" t="s">
        <v>381</v>
      </c>
      <c r="E194">
        <v>4</v>
      </c>
    </row>
    <row r="195" spans="1:5" x14ac:dyDescent="0.3">
      <c r="A195" t="s">
        <v>642</v>
      </c>
      <c r="B195" s="1">
        <v>45719</v>
      </c>
      <c r="C195" t="s">
        <v>206</v>
      </c>
      <c r="D195" t="s">
        <v>374</v>
      </c>
      <c r="E195">
        <v>4</v>
      </c>
    </row>
    <row r="196" spans="1:5" x14ac:dyDescent="0.3">
      <c r="A196" t="s">
        <v>643</v>
      </c>
      <c r="B196" s="1">
        <v>45732</v>
      </c>
      <c r="C196" t="s">
        <v>318</v>
      </c>
      <c r="D196" t="s">
        <v>428</v>
      </c>
      <c r="E196">
        <v>5</v>
      </c>
    </row>
    <row r="197" spans="1:5" x14ac:dyDescent="0.3">
      <c r="A197" t="s">
        <v>644</v>
      </c>
      <c r="B197" s="1">
        <v>45658</v>
      </c>
      <c r="C197" t="s">
        <v>150</v>
      </c>
      <c r="D197" t="s">
        <v>387</v>
      </c>
      <c r="E197">
        <v>2</v>
      </c>
    </row>
    <row r="198" spans="1:5" x14ac:dyDescent="0.3">
      <c r="A198" t="s">
        <v>645</v>
      </c>
      <c r="B198" s="1">
        <v>45879</v>
      </c>
      <c r="C198" t="s">
        <v>130</v>
      </c>
      <c r="D198" t="s">
        <v>422</v>
      </c>
      <c r="E198">
        <v>2</v>
      </c>
    </row>
    <row r="199" spans="1:5" x14ac:dyDescent="0.3">
      <c r="A199" t="s">
        <v>646</v>
      </c>
      <c r="B199" s="1">
        <v>45668</v>
      </c>
      <c r="C199" t="s">
        <v>62</v>
      </c>
      <c r="D199" t="s">
        <v>380</v>
      </c>
      <c r="E199">
        <v>5</v>
      </c>
    </row>
    <row r="200" spans="1:5" x14ac:dyDescent="0.3">
      <c r="A200" t="s">
        <v>647</v>
      </c>
      <c r="B200" s="1">
        <v>45736</v>
      </c>
      <c r="C200" t="s">
        <v>225</v>
      </c>
      <c r="D200" t="s">
        <v>375</v>
      </c>
      <c r="E200">
        <v>1</v>
      </c>
    </row>
    <row r="201" spans="1:5" x14ac:dyDescent="0.3">
      <c r="A201" t="s">
        <v>648</v>
      </c>
      <c r="B201" s="1">
        <v>45659</v>
      </c>
      <c r="C201" t="s">
        <v>225</v>
      </c>
      <c r="D201" t="s">
        <v>428</v>
      </c>
      <c r="E201">
        <v>2</v>
      </c>
    </row>
    <row r="202" spans="1:5" x14ac:dyDescent="0.3">
      <c r="A202" t="s">
        <v>649</v>
      </c>
      <c r="B202" s="1">
        <v>46005</v>
      </c>
      <c r="C202" t="s">
        <v>210</v>
      </c>
      <c r="D202" t="s">
        <v>403</v>
      </c>
      <c r="E202">
        <v>2</v>
      </c>
    </row>
    <row r="203" spans="1:5" x14ac:dyDescent="0.3">
      <c r="A203" t="s">
        <v>650</v>
      </c>
      <c r="B203" s="1">
        <v>45829</v>
      </c>
      <c r="C203" t="s">
        <v>113</v>
      </c>
      <c r="D203" t="s">
        <v>427</v>
      </c>
      <c r="E203">
        <v>4</v>
      </c>
    </row>
    <row r="204" spans="1:5" x14ac:dyDescent="0.3">
      <c r="A204" t="s">
        <v>651</v>
      </c>
      <c r="B204" s="1">
        <v>45929</v>
      </c>
      <c r="C204" t="s">
        <v>285</v>
      </c>
      <c r="D204" t="s">
        <v>411</v>
      </c>
      <c r="E204">
        <v>1</v>
      </c>
    </row>
    <row r="205" spans="1:5" x14ac:dyDescent="0.3">
      <c r="A205" t="s">
        <v>652</v>
      </c>
      <c r="B205" s="1">
        <v>45864</v>
      </c>
      <c r="C205" t="s">
        <v>223</v>
      </c>
      <c r="D205" t="s">
        <v>394</v>
      </c>
      <c r="E205">
        <v>3</v>
      </c>
    </row>
    <row r="206" spans="1:5" x14ac:dyDescent="0.3">
      <c r="A206" t="s">
        <v>653</v>
      </c>
      <c r="B206" s="1">
        <v>46010</v>
      </c>
      <c r="C206" t="s">
        <v>137</v>
      </c>
      <c r="D206" t="s">
        <v>359</v>
      </c>
      <c r="E206">
        <v>5</v>
      </c>
    </row>
    <row r="207" spans="1:5" x14ac:dyDescent="0.3">
      <c r="A207" t="s">
        <v>654</v>
      </c>
      <c r="B207" s="1">
        <v>45753</v>
      </c>
      <c r="C207" t="s">
        <v>226</v>
      </c>
      <c r="D207" t="s">
        <v>357</v>
      </c>
      <c r="E207">
        <v>2</v>
      </c>
    </row>
    <row r="208" spans="1:5" x14ac:dyDescent="0.3">
      <c r="A208" t="s">
        <v>655</v>
      </c>
      <c r="B208" s="1">
        <v>45691</v>
      </c>
      <c r="C208" t="s">
        <v>217</v>
      </c>
      <c r="D208" t="s">
        <v>356</v>
      </c>
      <c r="E208">
        <v>3</v>
      </c>
    </row>
    <row r="209" spans="1:5" x14ac:dyDescent="0.3">
      <c r="A209" t="s">
        <v>656</v>
      </c>
      <c r="B209" s="1">
        <v>45974</v>
      </c>
      <c r="C209" t="s">
        <v>78</v>
      </c>
      <c r="D209" t="s">
        <v>437</v>
      </c>
      <c r="E209">
        <v>5</v>
      </c>
    </row>
    <row r="210" spans="1:5" x14ac:dyDescent="0.3">
      <c r="A210" t="s">
        <v>657</v>
      </c>
      <c r="B210" s="1">
        <v>45969</v>
      </c>
      <c r="C210" t="s">
        <v>148</v>
      </c>
      <c r="D210" t="s">
        <v>338</v>
      </c>
      <c r="E210">
        <v>4</v>
      </c>
    </row>
    <row r="211" spans="1:5" x14ac:dyDescent="0.3">
      <c r="A211" t="s">
        <v>658</v>
      </c>
      <c r="B211" s="1">
        <v>45727</v>
      </c>
      <c r="C211" t="s">
        <v>278</v>
      </c>
      <c r="D211" t="s">
        <v>391</v>
      </c>
      <c r="E211">
        <v>2</v>
      </c>
    </row>
    <row r="212" spans="1:5" x14ac:dyDescent="0.3">
      <c r="A212" t="s">
        <v>659</v>
      </c>
      <c r="B212" s="1">
        <v>46020</v>
      </c>
      <c r="C212" t="s">
        <v>284</v>
      </c>
      <c r="D212" t="s">
        <v>424</v>
      </c>
      <c r="E212">
        <v>4</v>
      </c>
    </row>
    <row r="213" spans="1:5" x14ac:dyDescent="0.3">
      <c r="A213" t="s">
        <v>660</v>
      </c>
      <c r="B213" s="1">
        <v>45844</v>
      </c>
      <c r="C213" t="s">
        <v>11</v>
      </c>
      <c r="D213" t="s">
        <v>362</v>
      </c>
      <c r="E213">
        <v>4</v>
      </c>
    </row>
    <row r="214" spans="1:5" x14ac:dyDescent="0.3">
      <c r="A214" t="s">
        <v>661</v>
      </c>
      <c r="B214" s="1">
        <v>45661</v>
      </c>
      <c r="C214" t="s">
        <v>77</v>
      </c>
      <c r="D214" t="s">
        <v>373</v>
      </c>
      <c r="E214">
        <v>2</v>
      </c>
    </row>
    <row r="215" spans="1:5" x14ac:dyDescent="0.3">
      <c r="A215" t="s">
        <v>662</v>
      </c>
      <c r="B215" s="1">
        <v>45731</v>
      </c>
      <c r="C215" t="s">
        <v>69</v>
      </c>
      <c r="D215" t="s">
        <v>363</v>
      </c>
      <c r="E215">
        <v>1</v>
      </c>
    </row>
    <row r="216" spans="1:5" x14ac:dyDescent="0.3">
      <c r="A216" t="s">
        <v>663</v>
      </c>
      <c r="B216" s="1">
        <v>45752</v>
      </c>
      <c r="C216" t="s">
        <v>101</v>
      </c>
      <c r="D216" t="s">
        <v>429</v>
      </c>
      <c r="E216">
        <v>1</v>
      </c>
    </row>
    <row r="217" spans="1:5" x14ac:dyDescent="0.3">
      <c r="A217" t="s">
        <v>664</v>
      </c>
      <c r="B217" s="1">
        <v>45980</v>
      </c>
      <c r="C217" t="s">
        <v>72</v>
      </c>
      <c r="D217" t="s">
        <v>377</v>
      </c>
      <c r="E217">
        <v>1</v>
      </c>
    </row>
    <row r="218" spans="1:5" x14ac:dyDescent="0.3">
      <c r="A218" t="s">
        <v>665</v>
      </c>
      <c r="B218" s="1">
        <v>45669</v>
      </c>
      <c r="C218" t="s">
        <v>203</v>
      </c>
      <c r="D218" t="s">
        <v>369</v>
      </c>
      <c r="E218">
        <v>1</v>
      </c>
    </row>
    <row r="219" spans="1:5" x14ac:dyDescent="0.3">
      <c r="A219" t="s">
        <v>666</v>
      </c>
      <c r="B219" s="1">
        <v>45936</v>
      </c>
      <c r="C219" t="s">
        <v>203</v>
      </c>
      <c r="D219" t="s">
        <v>422</v>
      </c>
      <c r="E219">
        <v>1</v>
      </c>
    </row>
    <row r="220" spans="1:5" x14ac:dyDescent="0.3">
      <c r="A220" t="s">
        <v>667</v>
      </c>
      <c r="B220" s="1">
        <v>45753</v>
      </c>
      <c r="C220" t="s">
        <v>185</v>
      </c>
      <c r="D220" t="s">
        <v>348</v>
      </c>
      <c r="E220">
        <v>4</v>
      </c>
    </row>
    <row r="221" spans="1:5" x14ac:dyDescent="0.3">
      <c r="A221" t="s">
        <v>668</v>
      </c>
      <c r="B221" s="1">
        <v>45954</v>
      </c>
      <c r="C221" t="s">
        <v>115</v>
      </c>
      <c r="D221" t="s">
        <v>424</v>
      </c>
      <c r="E221">
        <v>2</v>
      </c>
    </row>
    <row r="222" spans="1:5" x14ac:dyDescent="0.3">
      <c r="A222" t="s">
        <v>669</v>
      </c>
      <c r="B222" s="1">
        <v>45965</v>
      </c>
      <c r="C222" t="s">
        <v>312</v>
      </c>
      <c r="D222" t="s">
        <v>403</v>
      </c>
      <c r="E222">
        <v>5</v>
      </c>
    </row>
    <row r="223" spans="1:5" x14ac:dyDescent="0.3">
      <c r="A223" t="s">
        <v>670</v>
      </c>
      <c r="B223" s="1">
        <v>45755</v>
      </c>
      <c r="C223" t="s">
        <v>197</v>
      </c>
      <c r="D223" t="s">
        <v>385</v>
      </c>
      <c r="E223">
        <v>5</v>
      </c>
    </row>
    <row r="224" spans="1:5" x14ac:dyDescent="0.3">
      <c r="A224" t="s">
        <v>671</v>
      </c>
      <c r="B224" s="1">
        <v>45701</v>
      </c>
      <c r="C224" t="s">
        <v>119</v>
      </c>
      <c r="D224" t="s">
        <v>402</v>
      </c>
      <c r="E224">
        <v>3</v>
      </c>
    </row>
    <row r="225" spans="1:5" x14ac:dyDescent="0.3">
      <c r="A225" t="s">
        <v>672</v>
      </c>
      <c r="B225" s="1">
        <v>45964</v>
      </c>
      <c r="C225" t="s">
        <v>53</v>
      </c>
      <c r="D225" t="s">
        <v>369</v>
      </c>
      <c r="E225">
        <v>4</v>
      </c>
    </row>
    <row r="226" spans="1:5" x14ac:dyDescent="0.3">
      <c r="A226" t="s">
        <v>673</v>
      </c>
      <c r="B226" s="1">
        <v>45744</v>
      </c>
      <c r="C226" t="s">
        <v>459</v>
      </c>
      <c r="D226" t="s">
        <v>381</v>
      </c>
      <c r="E226">
        <v>1</v>
      </c>
    </row>
    <row r="227" spans="1:5" x14ac:dyDescent="0.3">
      <c r="A227" t="s">
        <v>674</v>
      </c>
      <c r="B227" s="1">
        <v>45733</v>
      </c>
      <c r="C227" t="s">
        <v>113</v>
      </c>
      <c r="D227" t="s">
        <v>365</v>
      </c>
      <c r="E227">
        <v>2</v>
      </c>
    </row>
    <row r="228" spans="1:5" x14ac:dyDescent="0.3">
      <c r="A228" t="s">
        <v>675</v>
      </c>
      <c r="B228" s="1">
        <v>45832</v>
      </c>
      <c r="C228" t="s">
        <v>81</v>
      </c>
      <c r="D228" t="s">
        <v>401</v>
      </c>
      <c r="E228">
        <v>1</v>
      </c>
    </row>
    <row r="229" spans="1:5" x14ac:dyDescent="0.3">
      <c r="A229" t="s">
        <v>676</v>
      </c>
      <c r="B229" s="1">
        <v>45680</v>
      </c>
      <c r="C229" t="s">
        <v>216</v>
      </c>
      <c r="D229" t="s">
        <v>413</v>
      </c>
      <c r="E229">
        <v>5</v>
      </c>
    </row>
    <row r="230" spans="1:5" x14ac:dyDescent="0.3">
      <c r="A230" t="s">
        <v>677</v>
      </c>
      <c r="B230" s="1">
        <v>45999</v>
      </c>
      <c r="C230" t="s">
        <v>142</v>
      </c>
      <c r="D230" t="s">
        <v>415</v>
      </c>
      <c r="E230">
        <v>5</v>
      </c>
    </row>
    <row r="231" spans="1:5" x14ac:dyDescent="0.3">
      <c r="A231" t="s">
        <v>678</v>
      </c>
      <c r="B231" s="1">
        <v>45700</v>
      </c>
      <c r="C231" t="s">
        <v>88</v>
      </c>
      <c r="D231" t="s">
        <v>379</v>
      </c>
      <c r="E231">
        <v>5</v>
      </c>
    </row>
    <row r="232" spans="1:5" x14ac:dyDescent="0.3">
      <c r="A232" t="s">
        <v>679</v>
      </c>
      <c r="B232" s="1">
        <v>45980</v>
      </c>
      <c r="C232" t="s">
        <v>40</v>
      </c>
      <c r="D232" t="s">
        <v>426</v>
      </c>
      <c r="E232">
        <v>4</v>
      </c>
    </row>
    <row r="233" spans="1:5" x14ac:dyDescent="0.3">
      <c r="A233" t="s">
        <v>680</v>
      </c>
      <c r="B233" s="1">
        <v>45770</v>
      </c>
      <c r="C233" t="s">
        <v>69</v>
      </c>
      <c r="D233" t="s">
        <v>417</v>
      </c>
      <c r="E233">
        <v>5</v>
      </c>
    </row>
    <row r="234" spans="1:5" x14ac:dyDescent="0.3">
      <c r="A234" t="s">
        <v>681</v>
      </c>
      <c r="B234" s="1">
        <v>45762</v>
      </c>
      <c r="C234" t="s">
        <v>32</v>
      </c>
      <c r="D234" t="s">
        <v>345</v>
      </c>
      <c r="E234">
        <v>2</v>
      </c>
    </row>
    <row r="235" spans="1:5" x14ac:dyDescent="0.3">
      <c r="A235" t="s">
        <v>682</v>
      </c>
      <c r="B235" s="1">
        <v>45781</v>
      </c>
      <c r="C235" t="s">
        <v>191</v>
      </c>
      <c r="D235" t="s">
        <v>431</v>
      </c>
      <c r="E235">
        <v>1</v>
      </c>
    </row>
    <row r="236" spans="1:5" x14ac:dyDescent="0.3">
      <c r="A236" t="s">
        <v>683</v>
      </c>
      <c r="B236" s="1">
        <v>45669</v>
      </c>
      <c r="C236" t="s">
        <v>188</v>
      </c>
      <c r="D236" t="s">
        <v>380</v>
      </c>
      <c r="E236">
        <v>4</v>
      </c>
    </row>
    <row r="237" spans="1:5" x14ac:dyDescent="0.3">
      <c r="A237" t="s">
        <v>684</v>
      </c>
      <c r="B237" s="1">
        <v>45977</v>
      </c>
      <c r="C237" t="s">
        <v>231</v>
      </c>
      <c r="D237" t="s">
        <v>413</v>
      </c>
      <c r="E237">
        <v>2</v>
      </c>
    </row>
    <row r="238" spans="1:5" x14ac:dyDescent="0.3">
      <c r="A238" t="s">
        <v>685</v>
      </c>
      <c r="B238" s="1">
        <v>45933</v>
      </c>
      <c r="C238" t="s">
        <v>171</v>
      </c>
      <c r="D238" t="s">
        <v>420</v>
      </c>
      <c r="E238">
        <v>4</v>
      </c>
    </row>
    <row r="239" spans="1:5" x14ac:dyDescent="0.3">
      <c r="A239" t="s">
        <v>686</v>
      </c>
      <c r="B239" s="1">
        <v>46008</v>
      </c>
      <c r="C239" t="s">
        <v>255</v>
      </c>
      <c r="D239" t="s">
        <v>393</v>
      </c>
      <c r="E239">
        <v>3</v>
      </c>
    </row>
    <row r="240" spans="1:5" x14ac:dyDescent="0.3">
      <c r="A240" t="s">
        <v>687</v>
      </c>
      <c r="B240" s="1">
        <v>45911</v>
      </c>
      <c r="C240" t="s">
        <v>13</v>
      </c>
      <c r="D240" t="s">
        <v>359</v>
      </c>
      <c r="E240">
        <v>4</v>
      </c>
    </row>
    <row r="241" spans="1:5" x14ac:dyDescent="0.3">
      <c r="A241" t="s">
        <v>688</v>
      </c>
      <c r="B241" s="1">
        <v>45962</v>
      </c>
      <c r="C241" t="s">
        <v>92</v>
      </c>
      <c r="D241" t="s">
        <v>389</v>
      </c>
      <c r="E241">
        <v>4</v>
      </c>
    </row>
    <row r="242" spans="1:5" x14ac:dyDescent="0.3">
      <c r="A242" t="s">
        <v>689</v>
      </c>
      <c r="B242" s="1">
        <v>45795</v>
      </c>
      <c r="C242" t="s">
        <v>308</v>
      </c>
      <c r="D242" t="s">
        <v>434</v>
      </c>
      <c r="E242">
        <v>3</v>
      </c>
    </row>
    <row r="243" spans="1:5" x14ac:dyDescent="0.3">
      <c r="A243" t="s">
        <v>690</v>
      </c>
      <c r="B243" s="1">
        <v>45886</v>
      </c>
      <c r="C243" t="s">
        <v>9</v>
      </c>
      <c r="D243" t="s">
        <v>359</v>
      </c>
      <c r="E243">
        <v>3</v>
      </c>
    </row>
    <row r="244" spans="1:5" x14ac:dyDescent="0.3">
      <c r="A244" t="s">
        <v>691</v>
      </c>
      <c r="B244" s="1">
        <v>46004</v>
      </c>
      <c r="C244" t="s">
        <v>259</v>
      </c>
      <c r="D244" t="s">
        <v>424</v>
      </c>
      <c r="E244">
        <v>3</v>
      </c>
    </row>
    <row r="245" spans="1:5" x14ac:dyDescent="0.3">
      <c r="A245" t="s">
        <v>692</v>
      </c>
      <c r="B245" s="1">
        <v>45940</v>
      </c>
      <c r="C245" t="s">
        <v>76</v>
      </c>
      <c r="D245" t="s">
        <v>411</v>
      </c>
      <c r="E245">
        <v>5</v>
      </c>
    </row>
    <row r="246" spans="1:5" x14ac:dyDescent="0.3">
      <c r="A246" t="s">
        <v>693</v>
      </c>
      <c r="B246" s="1">
        <v>45799</v>
      </c>
      <c r="C246" t="s">
        <v>136</v>
      </c>
      <c r="D246" t="s">
        <v>381</v>
      </c>
      <c r="E246">
        <v>4</v>
      </c>
    </row>
    <row r="247" spans="1:5" x14ac:dyDescent="0.3">
      <c r="A247" t="s">
        <v>694</v>
      </c>
      <c r="B247" s="1">
        <v>45730</v>
      </c>
      <c r="C247" t="s">
        <v>307</v>
      </c>
      <c r="D247" t="s">
        <v>387</v>
      </c>
      <c r="E247">
        <v>3</v>
      </c>
    </row>
    <row r="248" spans="1:5" x14ac:dyDescent="0.3">
      <c r="A248" t="s">
        <v>695</v>
      </c>
      <c r="B248" s="1">
        <v>45773</v>
      </c>
      <c r="C248" t="s">
        <v>215</v>
      </c>
      <c r="D248" t="s">
        <v>385</v>
      </c>
      <c r="E248">
        <v>3</v>
      </c>
    </row>
    <row r="249" spans="1:5" x14ac:dyDescent="0.3">
      <c r="A249" t="s">
        <v>696</v>
      </c>
      <c r="B249" s="1">
        <v>45666</v>
      </c>
      <c r="C249" t="s">
        <v>319</v>
      </c>
      <c r="D249" t="s">
        <v>347</v>
      </c>
      <c r="E249">
        <v>2</v>
      </c>
    </row>
    <row r="250" spans="1:5" x14ac:dyDescent="0.3">
      <c r="A250" t="s">
        <v>697</v>
      </c>
      <c r="B250" s="1">
        <v>45930</v>
      </c>
      <c r="C250" t="s">
        <v>63</v>
      </c>
      <c r="D250" t="s">
        <v>342</v>
      </c>
      <c r="E250">
        <v>1</v>
      </c>
    </row>
    <row r="251" spans="1:5" x14ac:dyDescent="0.3">
      <c r="A251" t="s">
        <v>698</v>
      </c>
      <c r="B251" s="1">
        <v>45930</v>
      </c>
      <c r="C251" t="s">
        <v>264</v>
      </c>
      <c r="D251" t="s">
        <v>347</v>
      </c>
      <c r="E251">
        <v>5</v>
      </c>
    </row>
    <row r="252" spans="1:5" x14ac:dyDescent="0.3">
      <c r="A252" t="s">
        <v>699</v>
      </c>
      <c r="B252" s="1">
        <v>45914</v>
      </c>
      <c r="C252" t="s">
        <v>278</v>
      </c>
      <c r="D252" t="s">
        <v>413</v>
      </c>
      <c r="E252">
        <v>5</v>
      </c>
    </row>
    <row r="253" spans="1:5" x14ac:dyDescent="0.3">
      <c r="A253" t="s">
        <v>700</v>
      </c>
      <c r="B253" s="1">
        <v>45817</v>
      </c>
      <c r="C253" t="s">
        <v>161</v>
      </c>
      <c r="D253" t="s">
        <v>422</v>
      </c>
      <c r="E253">
        <v>1</v>
      </c>
    </row>
    <row r="254" spans="1:5" x14ac:dyDescent="0.3">
      <c r="A254" t="s">
        <v>701</v>
      </c>
      <c r="B254" s="1">
        <v>45834</v>
      </c>
      <c r="C254" t="s">
        <v>126</v>
      </c>
      <c r="D254" t="s">
        <v>401</v>
      </c>
      <c r="E254">
        <v>3</v>
      </c>
    </row>
    <row r="255" spans="1:5" x14ac:dyDescent="0.3">
      <c r="A255" t="s">
        <v>702</v>
      </c>
      <c r="B255" s="1">
        <v>45969</v>
      </c>
      <c r="C255" t="s">
        <v>469</v>
      </c>
      <c r="D255" t="s">
        <v>424</v>
      </c>
      <c r="E255">
        <v>2</v>
      </c>
    </row>
    <row r="256" spans="1:5" x14ac:dyDescent="0.3">
      <c r="A256" t="s">
        <v>703</v>
      </c>
      <c r="B256" s="1">
        <v>45701</v>
      </c>
      <c r="C256" t="s">
        <v>43</v>
      </c>
      <c r="D256" t="s">
        <v>391</v>
      </c>
      <c r="E256">
        <v>5</v>
      </c>
    </row>
    <row r="257" spans="1:5" x14ac:dyDescent="0.3">
      <c r="A257" t="s">
        <v>704</v>
      </c>
      <c r="B257" s="1">
        <v>45689</v>
      </c>
      <c r="C257" t="s">
        <v>211</v>
      </c>
      <c r="D257" t="s">
        <v>386</v>
      </c>
      <c r="E257">
        <v>3</v>
      </c>
    </row>
    <row r="258" spans="1:5" x14ac:dyDescent="0.3">
      <c r="A258" t="s">
        <v>705</v>
      </c>
      <c r="B258" s="1">
        <v>45830</v>
      </c>
      <c r="C258" t="s">
        <v>163</v>
      </c>
      <c r="D258" t="s">
        <v>415</v>
      </c>
      <c r="E258">
        <v>3</v>
      </c>
    </row>
    <row r="259" spans="1:5" x14ac:dyDescent="0.3">
      <c r="A259" t="s">
        <v>706</v>
      </c>
      <c r="B259" s="1">
        <v>45774</v>
      </c>
      <c r="C259" t="s">
        <v>135</v>
      </c>
      <c r="D259" t="s">
        <v>396</v>
      </c>
      <c r="E259">
        <v>4</v>
      </c>
    </row>
    <row r="260" spans="1:5" x14ac:dyDescent="0.3">
      <c r="A260" t="s">
        <v>707</v>
      </c>
      <c r="B260" s="1">
        <v>45705</v>
      </c>
      <c r="C260" t="s">
        <v>247</v>
      </c>
      <c r="D260" t="s">
        <v>352</v>
      </c>
      <c r="E260">
        <v>5</v>
      </c>
    </row>
    <row r="261" spans="1:5" x14ac:dyDescent="0.3">
      <c r="A261" t="s">
        <v>708</v>
      </c>
      <c r="B261" s="1">
        <v>45732</v>
      </c>
      <c r="C261" t="s">
        <v>186</v>
      </c>
      <c r="D261" t="s">
        <v>334</v>
      </c>
      <c r="E261">
        <v>1</v>
      </c>
    </row>
    <row r="262" spans="1:5" x14ac:dyDescent="0.3">
      <c r="A262" t="s">
        <v>709</v>
      </c>
      <c r="B262" s="1">
        <v>46022</v>
      </c>
      <c r="C262" t="s">
        <v>148</v>
      </c>
      <c r="D262" t="s">
        <v>441</v>
      </c>
      <c r="E262">
        <v>3</v>
      </c>
    </row>
    <row r="263" spans="1:5" x14ac:dyDescent="0.3">
      <c r="A263" t="s">
        <v>710</v>
      </c>
      <c r="B263" s="1">
        <v>45831</v>
      </c>
      <c r="C263" t="s">
        <v>301</v>
      </c>
      <c r="D263" t="s">
        <v>417</v>
      </c>
      <c r="E263">
        <v>5</v>
      </c>
    </row>
    <row r="264" spans="1:5" x14ac:dyDescent="0.3">
      <c r="A264" t="s">
        <v>711</v>
      </c>
      <c r="B264" s="1">
        <v>45760</v>
      </c>
      <c r="C264" t="s">
        <v>117</v>
      </c>
      <c r="D264" t="s">
        <v>379</v>
      </c>
      <c r="E264">
        <v>2</v>
      </c>
    </row>
    <row r="265" spans="1:5" x14ac:dyDescent="0.3">
      <c r="A265" t="s">
        <v>712</v>
      </c>
      <c r="B265" s="1">
        <v>45745</v>
      </c>
      <c r="C265" t="s">
        <v>100</v>
      </c>
      <c r="D265" t="s">
        <v>367</v>
      </c>
      <c r="E265">
        <v>4</v>
      </c>
    </row>
    <row r="266" spans="1:5" x14ac:dyDescent="0.3">
      <c r="A266" t="s">
        <v>713</v>
      </c>
      <c r="B266" s="1">
        <v>45852</v>
      </c>
      <c r="C266" t="s">
        <v>103</v>
      </c>
      <c r="D266" t="s">
        <v>441</v>
      </c>
      <c r="E266">
        <v>4</v>
      </c>
    </row>
    <row r="267" spans="1:5" x14ac:dyDescent="0.3">
      <c r="A267" t="s">
        <v>714</v>
      </c>
      <c r="B267" s="1">
        <v>45825</v>
      </c>
      <c r="C267" t="s">
        <v>41</v>
      </c>
      <c r="D267" t="s">
        <v>386</v>
      </c>
      <c r="E267">
        <v>5</v>
      </c>
    </row>
    <row r="268" spans="1:5" x14ac:dyDescent="0.3">
      <c r="A268" t="s">
        <v>715</v>
      </c>
      <c r="B268" s="1">
        <v>45858</v>
      </c>
      <c r="C268" t="s">
        <v>59</v>
      </c>
      <c r="D268" t="s">
        <v>427</v>
      </c>
      <c r="E268">
        <v>3</v>
      </c>
    </row>
    <row r="269" spans="1:5" x14ac:dyDescent="0.3">
      <c r="A269" t="s">
        <v>716</v>
      </c>
      <c r="B269" s="1">
        <v>45717</v>
      </c>
      <c r="C269" t="s">
        <v>300</v>
      </c>
      <c r="D269" t="s">
        <v>369</v>
      </c>
      <c r="E269">
        <v>3</v>
      </c>
    </row>
    <row r="270" spans="1:5" x14ac:dyDescent="0.3">
      <c r="A270" t="s">
        <v>717</v>
      </c>
      <c r="B270" s="1">
        <v>46011</v>
      </c>
      <c r="C270" t="s">
        <v>225</v>
      </c>
      <c r="D270" t="s">
        <v>349</v>
      </c>
      <c r="E270">
        <v>1</v>
      </c>
    </row>
    <row r="271" spans="1:5" x14ac:dyDescent="0.3">
      <c r="A271" t="s">
        <v>718</v>
      </c>
      <c r="B271" s="1">
        <v>46022</v>
      </c>
      <c r="C271" t="s">
        <v>89</v>
      </c>
      <c r="D271" t="s">
        <v>369</v>
      </c>
      <c r="E271">
        <v>3</v>
      </c>
    </row>
    <row r="272" spans="1:5" x14ac:dyDescent="0.3">
      <c r="A272" t="s">
        <v>719</v>
      </c>
      <c r="B272" s="1">
        <v>45779</v>
      </c>
      <c r="C272" t="s">
        <v>92</v>
      </c>
      <c r="D272" t="s">
        <v>356</v>
      </c>
      <c r="E272">
        <v>4</v>
      </c>
    </row>
    <row r="273" spans="1:5" x14ac:dyDescent="0.3">
      <c r="A273" t="s">
        <v>720</v>
      </c>
      <c r="B273" s="1">
        <v>45939</v>
      </c>
      <c r="C273" t="s">
        <v>199</v>
      </c>
      <c r="D273" t="s">
        <v>395</v>
      </c>
      <c r="E273">
        <v>5</v>
      </c>
    </row>
    <row r="274" spans="1:5" x14ac:dyDescent="0.3">
      <c r="A274" t="s">
        <v>721</v>
      </c>
      <c r="B274" s="1">
        <v>45685</v>
      </c>
      <c r="C274" t="s">
        <v>223</v>
      </c>
      <c r="D274" t="s">
        <v>371</v>
      </c>
      <c r="E274">
        <v>2</v>
      </c>
    </row>
    <row r="275" spans="1:5" x14ac:dyDescent="0.3">
      <c r="A275" t="s">
        <v>722</v>
      </c>
      <c r="B275" s="1">
        <v>45745</v>
      </c>
      <c r="C275" t="s">
        <v>49</v>
      </c>
      <c r="D275" t="s">
        <v>372</v>
      </c>
      <c r="E275">
        <v>3</v>
      </c>
    </row>
    <row r="276" spans="1:5" x14ac:dyDescent="0.3">
      <c r="A276" t="s">
        <v>723</v>
      </c>
      <c r="B276" s="1">
        <v>45887</v>
      </c>
      <c r="C276" t="s">
        <v>229</v>
      </c>
      <c r="D276" t="s">
        <v>430</v>
      </c>
      <c r="E276">
        <v>4</v>
      </c>
    </row>
    <row r="277" spans="1:5" x14ac:dyDescent="0.3">
      <c r="A277" t="s">
        <v>724</v>
      </c>
      <c r="B277" s="1">
        <v>45764</v>
      </c>
      <c r="C277" t="s">
        <v>79</v>
      </c>
      <c r="D277" t="s">
        <v>348</v>
      </c>
      <c r="E277">
        <v>1</v>
      </c>
    </row>
    <row r="278" spans="1:5" x14ac:dyDescent="0.3">
      <c r="A278" t="s">
        <v>725</v>
      </c>
      <c r="B278" s="1">
        <v>45727</v>
      </c>
      <c r="C278" t="s">
        <v>157</v>
      </c>
      <c r="D278" t="s">
        <v>364</v>
      </c>
      <c r="E278">
        <v>2</v>
      </c>
    </row>
    <row r="279" spans="1:5" x14ac:dyDescent="0.3">
      <c r="A279" t="s">
        <v>726</v>
      </c>
      <c r="B279" s="1">
        <v>45717</v>
      </c>
      <c r="C279" t="s">
        <v>36</v>
      </c>
      <c r="D279" t="s">
        <v>405</v>
      </c>
      <c r="E279">
        <v>3</v>
      </c>
    </row>
    <row r="280" spans="1:5" x14ac:dyDescent="0.3">
      <c r="A280" t="s">
        <v>727</v>
      </c>
      <c r="B280" s="1">
        <v>45825</v>
      </c>
      <c r="C280" t="s">
        <v>112</v>
      </c>
      <c r="D280" t="s">
        <v>441</v>
      </c>
      <c r="E280">
        <v>5</v>
      </c>
    </row>
    <row r="281" spans="1:5" x14ac:dyDescent="0.3">
      <c r="A281" t="s">
        <v>728</v>
      </c>
      <c r="B281" s="1">
        <v>45838</v>
      </c>
      <c r="C281" t="s">
        <v>81</v>
      </c>
      <c r="D281" t="s">
        <v>403</v>
      </c>
      <c r="E281">
        <v>4</v>
      </c>
    </row>
    <row r="282" spans="1:5" x14ac:dyDescent="0.3">
      <c r="A282" t="s">
        <v>729</v>
      </c>
      <c r="B282" s="1">
        <v>45951</v>
      </c>
      <c r="C282" t="s">
        <v>263</v>
      </c>
      <c r="D282" t="s">
        <v>336</v>
      </c>
      <c r="E282">
        <v>1</v>
      </c>
    </row>
    <row r="283" spans="1:5" x14ac:dyDescent="0.3">
      <c r="A283" t="s">
        <v>730</v>
      </c>
      <c r="B283" s="1">
        <v>45998</v>
      </c>
      <c r="C283" t="s">
        <v>185</v>
      </c>
      <c r="D283" t="s">
        <v>352</v>
      </c>
      <c r="E283">
        <v>3</v>
      </c>
    </row>
    <row r="284" spans="1:5" x14ac:dyDescent="0.3">
      <c r="A284" t="s">
        <v>731</v>
      </c>
      <c r="B284" s="1">
        <v>45723</v>
      </c>
      <c r="C284" t="s">
        <v>469</v>
      </c>
      <c r="D284" t="s">
        <v>356</v>
      </c>
      <c r="E284">
        <v>2</v>
      </c>
    </row>
    <row r="285" spans="1:5" x14ac:dyDescent="0.3">
      <c r="A285" t="s">
        <v>732</v>
      </c>
      <c r="B285" s="1">
        <v>45675</v>
      </c>
      <c r="C285" t="s">
        <v>170</v>
      </c>
      <c r="D285" t="s">
        <v>438</v>
      </c>
      <c r="E285">
        <v>4</v>
      </c>
    </row>
    <row r="286" spans="1:5" x14ac:dyDescent="0.3">
      <c r="A286" t="s">
        <v>733</v>
      </c>
      <c r="B286" s="1">
        <v>45911</v>
      </c>
      <c r="C286" t="s">
        <v>6</v>
      </c>
      <c r="D286" t="s">
        <v>424</v>
      </c>
      <c r="E286">
        <v>2</v>
      </c>
    </row>
    <row r="287" spans="1:5" x14ac:dyDescent="0.3">
      <c r="A287" t="s">
        <v>734</v>
      </c>
      <c r="B287" s="1">
        <v>45703</v>
      </c>
      <c r="C287" t="s">
        <v>237</v>
      </c>
      <c r="D287" t="s">
        <v>399</v>
      </c>
      <c r="E287">
        <v>4</v>
      </c>
    </row>
    <row r="288" spans="1:5" x14ac:dyDescent="0.3">
      <c r="A288" t="s">
        <v>735</v>
      </c>
      <c r="B288" s="1">
        <v>45710</v>
      </c>
      <c r="C288" t="s">
        <v>142</v>
      </c>
      <c r="D288" t="s">
        <v>376</v>
      </c>
      <c r="E288">
        <v>5</v>
      </c>
    </row>
    <row r="289" spans="1:5" x14ac:dyDescent="0.3">
      <c r="A289" t="s">
        <v>736</v>
      </c>
      <c r="B289" s="1">
        <v>45906</v>
      </c>
      <c r="C289" t="s">
        <v>102</v>
      </c>
      <c r="D289" t="s">
        <v>367</v>
      </c>
      <c r="E289">
        <v>4</v>
      </c>
    </row>
    <row r="290" spans="1:5" x14ac:dyDescent="0.3">
      <c r="A290" t="s">
        <v>737</v>
      </c>
      <c r="B290" s="1">
        <v>45742</v>
      </c>
      <c r="C290" t="s">
        <v>183</v>
      </c>
      <c r="D290" t="s">
        <v>398</v>
      </c>
      <c r="E290">
        <v>1</v>
      </c>
    </row>
    <row r="291" spans="1:5" x14ac:dyDescent="0.3">
      <c r="A291" t="s">
        <v>738</v>
      </c>
      <c r="B291" s="1">
        <v>45944</v>
      </c>
      <c r="C291" t="s">
        <v>151</v>
      </c>
      <c r="D291" t="s">
        <v>347</v>
      </c>
      <c r="E291">
        <v>5</v>
      </c>
    </row>
    <row r="292" spans="1:5" x14ac:dyDescent="0.3">
      <c r="A292" t="s">
        <v>739</v>
      </c>
      <c r="B292" s="1">
        <v>45962</v>
      </c>
      <c r="C292" t="s">
        <v>155</v>
      </c>
      <c r="D292" t="s">
        <v>374</v>
      </c>
      <c r="E292">
        <v>4</v>
      </c>
    </row>
    <row r="293" spans="1:5" x14ac:dyDescent="0.3">
      <c r="A293" t="s">
        <v>740</v>
      </c>
      <c r="B293" s="1">
        <v>45937</v>
      </c>
      <c r="C293" t="s">
        <v>248</v>
      </c>
      <c r="D293" t="s">
        <v>375</v>
      </c>
      <c r="E293">
        <v>1</v>
      </c>
    </row>
    <row r="294" spans="1:5" x14ac:dyDescent="0.3">
      <c r="A294" t="s">
        <v>741</v>
      </c>
      <c r="B294" s="1">
        <v>46022</v>
      </c>
      <c r="C294" t="s">
        <v>263</v>
      </c>
      <c r="D294" t="s">
        <v>442</v>
      </c>
      <c r="E294">
        <v>3</v>
      </c>
    </row>
    <row r="295" spans="1:5" x14ac:dyDescent="0.3">
      <c r="A295" t="s">
        <v>742</v>
      </c>
      <c r="B295" s="1">
        <v>45749</v>
      </c>
      <c r="C295" t="s">
        <v>117</v>
      </c>
      <c r="D295" t="s">
        <v>386</v>
      </c>
      <c r="E295">
        <v>5</v>
      </c>
    </row>
    <row r="296" spans="1:5" x14ac:dyDescent="0.3">
      <c r="A296" t="s">
        <v>743</v>
      </c>
      <c r="B296" s="1">
        <v>45734</v>
      </c>
      <c r="C296" t="s">
        <v>126</v>
      </c>
      <c r="D296" t="s">
        <v>355</v>
      </c>
      <c r="E296">
        <v>4</v>
      </c>
    </row>
    <row r="297" spans="1:5" x14ac:dyDescent="0.3">
      <c r="A297" t="s">
        <v>744</v>
      </c>
      <c r="B297" s="1">
        <v>45928</v>
      </c>
      <c r="C297" t="s">
        <v>110</v>
      </c>
      <c r="D297" t="s">
        <v>362</v>
      </c>
      <c r="E297">
        <v>3</v>
      </c>
    </row>
    <row r="298" spans="1:5" x14ac:dyDescent="0.3">
      <c r="A298" t="s">
        <v>745</v>
      </c>
      <c r="B298" s="1">
        <v>45738</v>
      </c>
      <c r="C298" t="s">
        <v>81</v>
      </c>
      <c r="D298" t="s">
        <v>434</v>
      </c>
      <c r="E298">
        <v>3</v>
      </c>
    </row>
    <row r="299" spans="1:5" x14ac:dyDescent="0.3">
      <c r="A299" t="s">
        <v>746</v>
      </c>
      <c r="B299" s="1">
        <v>46000</v>
      </c>
      <c r="C299" t="s">
        <v>255</v>
      </c>
      <c r="D299" t="s">
        <v>398</v>
      </c>
      <c r="E299">
        <v>3</v>
      </c>
    </row>
    <row r="300" spans="1:5" x14ac:dyDescent="0.3">
      <c r="A300" t="s">
        <v>747</v>
      </c>
      <c r="B300" s="1">
        <v>45971</v>
      </c>
      <c r="C300" t="s">
        <v>184</v>
      </c>
      <c r="D300" t="s">
        <v>439</v>
      </c>
      <c r="E300">
        <v>2</v>
      </c>
    </row>
    <row r="301" spans="1:5" x14ac:dyDescent="0.3">
      <c r="A301" t="s">
        <v>748</v>
      </c>
      <c r="B301" s="1">
        <v>45846</v>
      </c>
      <c r="C301" t="s">
        <v>26</v>
      </c>
      <c r="D301" t="s">
        <v>405</v>
      </c>
      <c r="E301">
        <v>1</v>
      </c>
    </row>
    <row r="302" spans="1:5" x14ac:dyDescent="0.3">
      <c r="A302" t="s">
        <v>749</v>
      </c>
      <c r="B302" s="1">
        <v>45723</v>
      </c>
      <c r="C302" t="s">
        <v>283</v>
      </c>
      <c r="D302" t="s">
        <v>424</v>
      </c>
      <c r="E302">
        <v>5</v>
      </c>
    </row>
    <row r="303" spans="1:5" x14ac:dyDescent="0.3">
      <c r="A303" t="s">
        <v>750</v>
      </c>
      <c r="B303" s="1">
        <v>46005</v>
      </c>
      <c r="C303" t="s">
        <v>135</v>
      </c>
      <c r="D303" t="s">
        <v>359</v>
      </c>
      <c r="E303">
        <v>2</v>
      </c>
    </row>
    <row r="304" spans="1:5" x14ac:dyDescent="0.3">
      <c r="A304" t="s">
        <v>751</v>
      </c>
      <c r="B304" s="1">
        <v>45943</v>
      </c>
      <c r="C304" t="s">
        <v>48</v>
      </c>
      <c r="D304" t="s">
        <v>349</v>
      </c>
      <c r="E304">
        <v>5</v>
      </c>
    </row>
    <row r="305" spans="1:5" x14ac:dyDescent="0.3">
      <c r="A305" t="s">
        <v>752</v>
      </c>
      <c r="B305" s="1">
        <v>45814</v>
      </c>
      <c r="C305" t="s">
        <v>106</v>
      </c>
      <c r="D305" t="s">
        <v>345</v>
      </c>
      <c r="E305">
        <v>5</v>
      </c>
    </row>
    <row r="306" spans="1:5" x14ac:dyDescent="0.3">
      <c r="A306" t="s">
        <v>753</v>
      </c>
      <c r="B306" s="1">
        <v>45953</v>
      </c>
      <c r="C306" t="s">
        <v>302</v>
      </c>
      <c r="D306" t="s">
        <v>357</v>
      </c>
      <c r="E306">
        <v>2</v>
      </c>
    </row>
    <row r="307" spans="1:5" x14ac:dyDescent="0.3">
      <c r="A307" t="s">
        <v>754</v>
      </c>
      <c r="B307" s="1">
        <v>45869</v>
      </c>
      <c r="C307" t="s">
        <v>314</v>
      </c>
      <c r="D307" t="s">
        <v>347</v>
      </c>
      <c r="E307">
        <v>5</v>
      </c>
    </row>
    <row r="308" spans="1:5" x14ac:dyDescent="0.3">
      <c r="A308" t="s">
        <v>755</v>
      </c>
      <c r="B308" s="1">
        <v>45766</v>
      </c>
      <c r="C308" t="s">
        <v>469</v>
      </c>
      <c r="D308" t="s">
        <v>442</v>
      </c>
      <c r="E308">
        <v>3</v>
      </c>
    </row>
    <row r="309" spans="1:5" x14ac:dyDescent="0.3">
      <c r="A309" t="s">
        <v>756</v>
      </c>
      <c r="B309" s="1">
        <v>45703</v>
      </c>
      <c r="C309" t="s">
        <v>184</v>
      </c>
      <c r="D309" t="s">
        <v>407</v>
      </c>
      <c r="E309">
        <v>3</v>
      </c>
    </row>
    <row r="310" spans="1:5" x14ac:dyDescent="0.3">
      <c r="A310" t="s">
        <v>757</v>
      </c>
      <c r="B310" s="1">
        <v>45846</v>
      </c>
      <c r="C310" t="s">
        <v>322</v>
      </c>
      <c r="D310" t="s">
        <v>359</v>
      </c>
      <c r="E310">
        <v>2</v>
      </c>
    </row>
    <row r="311" spans="1:5" x14ac:dyDescent="0.3">
      <c r="A311" t="s">
        <v>758</v>
      </c>
      <c r="B311" s="1">
        <v>45668</v>
      </c>
      <c r="C311" t="s">
        <v>52</v>
      </c>
      <c r="D311" t="s">
        <v>373</v>
      </c>
      <c r="E311">
        <v>2</v>
      </c>
    </row>
    <row r="312" spans="1:5" x14ac:dyDescent="0.3">
      <c r="A312" t="s">
        <v>759</v>
      </c>
      <c r="B312" s="1">
        <v>45773</v>
      </c>
      <c r="C312" t="s">
        <v>243</v>
      </c>
      <c r="D312" t="s">
        <v>403</v>
      </c>
      <c r="E312">
        <v>5</v>
      </c>
    </row>
    <row r="313" spans="1:5" x14ac:dyDescent="0.3">
      <c r="A313" t="s">
        <v>760</v>
      </c>
      <c r="B313" s="1">
        <v>45846</v>
      </c>
      <c r="C313" t="s">
        <v>294</v>
      </c>
      <c r="D313" t="s">
        <v>343</v>
      </c>
      <c r="E313">
        <v>4</v>
      </c>
    </row>
    <row r="314" spans="1:5" x14ac:dyDescent="0.3">
      <c r="A314" t="s">
        <v>761</v>
      </c>
      <c r="B314" s="1">
        <v>45826</v>
      </c>
      <c r="C314" t="s">
        <v>469</v>
      </c>
      <c r="D314" t="s">
        <v>390</v>
      </c>
      <c r="E314">
        <v>2</v>
      </c>
    </row>
    <row r="315" spans="1:5" x14ac:dyDescent="0.3">
      <c r="A315" t="s">
        <v>762</v>
      </c>
      <c r="B315" s="1">
        <v>45689</v>
      </c>
      <c r="C315" t="s">
        <v>304</v>
      </c>
      <c r="D315" t="s">
        <v>435</v>
      </c>
      <c r="E315">
        <v>3</v>
      </c>
    </row>
    <row r="316" spans="1:5" x14ac:dyDescent="0.3">
      <c r="A316" t="s">
        <v>763</v>
      </c>
      <c r="B316" s="1">
        <v>45783</v>
      </c>
      <c r="C316" t="s">
        <v>42</v>
      </c>
      <c r="D316" t="s">
        <v>408</v>
      </c>
      <c r="E316">
        <v>2</v>
      </c>
    </row>
    <row r="317" spans="1:5" x14ac:dyDescent="0.3">
      <c r="A317" t="s">
        <v>764</v>
      </c>
      <c r="B317" s="1">
        <v>45688</v>
      </c>
      <c r="C317" t="s">
        <v>165</v>
      </c>
      <c r="D317" t="s">
        <v>336</v>
      </c>
      <c r="E317">
        <v>5</v>
      </c>
    </row>
    <row r="318" spans="1:5" x14ac:dyDescent="0.3">
      <c r="A318" t="s">
        <v>765</v>
      </c>
      <c r="B318" s="1">
        <v>45752</v>
      </c>
      <c r="C318" t="s">
        <v>252</v>
      </c>
      <c r="D318" t="s">
        <v>355</v>
      </c>
      <c r="E318">
        <v>3</v>
      </c>
    </row>
    <row r="319" spans="1:5" x14ac:dyDescent="0.3">
      <c r="A319" t="s">
        <v>766</v>
      </c>
      <c r="B319" s="1">
        <v>45936</v>
      </c>
      <c r="C319" t="s">
        <v>313</v>
      </c>
      <c r="D319" t="s">
        <v>442</v>
      </c>
      <c r="E319">
        <v>4</v>
      </c>
    </row>
    <row r="320" spans="1:5" x14ac:dyDescent="0.3">
      <c r="A320" t="s">
        <v>767</v>
      </c>
      <c r="B320" s="1">
        <v>45946</v>
      </c>
      <c r="C320" t="s">
        <v>79</v>
      </c>
      <c r="D320" t="s">
        <v>405</v>
      </c>
      <c r="E320">
        <v>2</v>
      </c>
    </row>
    <row r="321" spans="1:5" x14ac:dyDescent="0.3">
      <c r="A321" t="s">
        <v>768</v>
      </c>
      <c r="B321" s="1">
        <v>45969</v>
      </c>
      <c r="C321" t="s">
        <v>44</v>
      </c>
      <c r="D321" t="s">
        <v>342</v>
      </c>
      <c r="E321">
        <v>3</v>
      </c>
    </row>
    <row r="322" spans="1:5" x14ac:dyDescent="0.3">
      <c r="A322" t="s">
        <v>769</v>
      </c>
      <c r="B322" s="1">
        <v>45727</v>
      </c>
      <c r="C322" t="s">
        <v>11</v>
      </c>
      <c r="D322" t="s">
        <v>403</v>
      </c>
      <c r="E322">
        <v>1</v>
      </c>
    </row>
    <row r="323" spans="1:5" x14ac:dyDescent="0.3">
      <c r="A323" t="s">
        <v>770</v>
      </c>
      <c r="B323" s="1">
        <v>45832</v>
      </c>
      <c r="C323" t="s">
        <v>6</v>
      </c>
      <c r="D323" t="s">
        <v>360</v>
      </c>
      <c r="E323">
        <v>1</v>
      </c>
    </row>
    <row r="324" spans="1:5" x14ac:dyDescent="0.3">
      <c r="A324" t="s">
        <v>771</v>
      </c>
      <c r="B324" s="1">
        <v>45788</v>
      </c>
      <c r="C324" t="s">
        <v>60</v>
      </c>
      <c r="D324" t="s">
        <v>420</v>
      </c>
      <c r="E324">
        <v>3</v>
      </c>
    </row>
    <row r="325" spans="1:5" x14ac:dyDescent="0.3">
      <c r="A325" t="s">
        <v>772</v>
      </c>
      <c r="B325" s="1">
        <v>45998</v>
      </c>
      <c r="C325" t="s">
        <v>131</v>
      </c>
      <c r="D325" t="s">
        <v>384</v>
      </c>
      <c r="E325">
        <v>5</v>
      </c>
    </row>
    <row r="326" spans="1:5" x14ac:dyDescent="0.3">
      <c r="A326" t="s">
        <v>773</v>
      </c>
      <c r="B326" s="1">
        <v>45814</v>
      </c>
      <c r="C326" t="s">
        <v>273</v>
      </c>
      <c r="D326" t="s">
        <v>357</v>
      </c>
      <c r="E326">
        <v>5</v>
      </c>
    </row>
    <row r="327" spans="1:5" x14ac:dyDescent="0.3">
      <c r="A327" t="s">
        <v>774</v>
      </c>
      <c r="B327" s="1">
        <v>45927</v>
      </c>
      <c r="C327" t="s">
        <v>319</v>
      </c>
      <c r="D327" t="s">
        <v>383</v>
      </c>
      <c r="E327">
        <v>5</v>
      </c>
    </row>
    <row r="328" spans="1:5" x14ac:dyDescent="0.3">
      <c r="A328" t="s">
        <v>775</v>
      </c>
      <c r="B328" s="1">
        <v>45824</v>
      </c>
      <c r="C328" t="s">
        <v>205</v>
      </c>
      <c r="D328" t="s">
        <v>373</v>
      </c>
      <c r="E328">
        <v>3</v>
      </c>
    </row>
    <row r="329" spans="1:5" x14ac:dyDescent="0.3">
      <c r="A329" t="s">
        <v>776</v>
      </c>
      <c r="B329" s="1">
        <v>45685</v>
      </c>
      <c r="C329" t="s">
        <v>198</v>
      </c>
      <c r="D329" t="s">
        <v>418</v>
      </c>
      <c r="E329">
        <v>1</v>
      </c>
    </row>
    <row r="330" spans="1:5" x14ac:dyDescent="0.3">
      <c r="A330" t="s">
        <v>777</v>
      </c>
      <c r="B330" s="1">
        <v>45667</v>
      </c>
      <c r="C330" t="s">
        <v>170</v>
      </c>
      <c r="D330" t="s">
        <v>434</v>
      </c>
      <c r="E330">
        <v>4</v>
      </c>
    </row>
    <row r="331" spans="1:5" x14ac:dyDescent="0.3">
      <c r="A331" t="s">
        <v>778</v>
      </c>
      <c r="B331" s="1">
        <v>45966</v>
      </c>
      <c r="C331" t="s">
        <v>142</v>
      </c>
      <c r="D331" t="s">
        <v>358</v>
      </c>
      <c r="E331">
        <v>2</v>
      </c>
    </row>
    <row r="332" spans="1:5" x14ac:dyDescent="0.3">
      <c r="A332" t="s">
        <v>779</v>
      </c>
      <c r="B332" s="1">
        <v>45771</v>
      </c>
      <c r="C332" t="s">
        <v>255</v>
      </c>
      <c r="D332" t="s">
        <v>405</v>
      </c>
      <c r="E332">
        <v>4</v>
      </c>
    </row>
    <row r="333" spans="1:5" x14ac:dyDescent="0.3">
      <c r="A333" t="s">
        <v>780</v>
      </c>
      <c r="B333" s="1">
        <v>45809</v>
      </c>
      <c r="C333" t="s">
        <v>284</v>
      </c>
      <c r="D333" t="s">
        <v>387</v>
      </c>
      <c r="E333">
        <v>2</v>
      </c>
    </row>
    <row r="334" spans="1:5" x14ac:dyDescent="0.3">
      <c r="A334" t="s">
        <v>781</v>
      </c>
      <c r="B334" s="1">
        <v>45993</v>
      </c>
      <c r="C334" t="s">
        <v>148</v>
      </c>
      <c r="D334" t="s">
        <v>379</v>
      </c>
      <c r="E334">
        <v>2</v>
      </c>
    </row>
    <row r="335" spans="1:5" x14ac:dyDescent="0.3">
      <c r="A335" t="s">
        <v>782</v>
      </c>
      <c r="B335" s="1">
        <v>45787</v>
      </c>
      <c r="C335" t="s">
        <v>117</v>
      </c>
      <c r="D335" t="s">
        <v>349</v>
      </c>
      <c r="E335">
        <v>2</v>
      </c>
    </row>
    <row r="336" spans="1:5" x14ac:dyDescent="0.3">
      <c r="A336" t="s">
        <v>783</v>
      </c>
      <c r="B336" s="1">
        <v>45949</v>
      </c>
      <c r="C336" t="s">
        <v>69</v>
      </c>
      <c r="D336" t="s">
        <v>403</v>
      </c>
      <c r="E336">
        <v>2</v>
      </c>
    </row>
    <row r="337" spans="1:5" x14ac:dyDescent="0.3">
      <c r="A337" t="s">
        <v>784</v>
      </c>
      <c r="B337" s="1">
        <v>45830</v>
      </c>
      <c r="C337" t="s">
        <v>100</v>
      </c>
      <c r="D337" t="s">
        <v>396</v>
      </c>
      <c r="E337">
        <v>5</v>
      </c>
    </row>
    <row r="338" spans="1:5" x14ac:dyDescent="0.3">
      <c r="A338" t="s">
        <v>785</v>
      </c>
      <c r="B338" s="1">
        <v>45888</v>
      </c>
      <c r="C338" t="s">
        <v>114</v>
      </c>
      <c r="D338" t="s">
        <v>405</v>
      </c>
      <c r="E338">
        <v>1</v>
      </c>
    </row>
    <row r="339" spans="1:5" x14ac:dyDescent="0.3">
      <c r="A339" t="s">
        <v>786</v>
      </c>
      <c r="B339" s="1">
        <v>45787</v>
      </c>
      <c r="C339" t="s">
        <v>318</v>
      </c>
      <c r="D339" t="s">
        <v>388</v>
      </c>
      <c r="E339">
        <v>5</v>
      </c>
    </row>
    <row r="340" spans="1:5" x14ac:dyDescent="0.3">
      <c r="A340" t="s">
        <v>787</v>
      </c>
      <c r="B340" s="1">
        <v>45789</v>
      </c>
      <c r="C340" t="s">
        <v>276</v>
      </c>
      <c r="D340" t="s">
        <v>345</v>
      </c>
      <c r="E340">
        <v>4</v>
      </c>
    </row>
    <row r="341" spans="1:5" x14ac:dyDescent="0.3">
      <c r="A341" t="s">
        <v>788</v>
      </c>
      <c r="B341" s="1">
        <v>45728</v>
      </c>
      <c r="C341" t="s">
        <v>94</v>
      </c>
      <c r="D341" t="s">
        <v>360</v>
      </c>
      <c r="E341">
        <v>3</v>
      </c>
    </row>
    <row r="342" spans="1:5" x14ac:dyDescent="0.3">
      <c r="A342" t="s">
        <v>789</v>
      </c>
      <c r="B342" s="1">
        <v>45788</v>
      </c>
      <c r="C342" t="s">
        <v>122</v>
      </c>
      <c r="D342" t="s">
        <v>367</v>
      </c>
      <c r="E342">
        <v>4</v>
      </c>
    </row>
    <row r="343" spans="1:5" x14ac:dyDescent="0.3">
      <c r="A343" t="s">
        <v>790</v>
      </c>
      <c r="B343" s="1">
        <v>45933</v>
      </c>
      <c r="C343" t="s">
        <v>95</v>
      </c>
      <c r="D343" t="s">
        <v>414</v>
      </c>
      <c r="E343">
        <v>2</v>
      </c>
    </row>
    <row r="344" spans="1:5" x14ac:dyDescent="0.3">
      <c r="A344" t="s">
        <v>791</v>
      </c>
      <c r="B344" s="1">
        <v>46007</v>
      </c>
      <c r="C344" t="s">
        <v>273</v>
      </c>
      <c r="D344" t="s">
        <v>425</v>
      </c>
      <c r="E344">
        <v>3</v>
      </c>
    </row>
    <row r="345" spans="1:5" x14ac:dyDescent="0.3">
      <c r="A345" t="s">
        <v>792</v>
      </c>
      <c r="B345" s="1">
        <v>46002</v>
      </c>
      <c r="C345" t="s">
        <v>469</v>
      </c>
      <c r="D345" t="s">
        <v>361</v>
      </c>
      <c r="E345">
        <v>4</v>
      </c>
    </row>
    <row r="346" spans="1:5" x14ac:dyDescent="0.3">
      <c r="A346" t="s">
        <v>793</v>
      </c>
      <c r="B346" s="1">
        <v>45904</v>
      </c>
      <c r="C346" t="s">
        <v>62</v>
      </c>
      <c r="D346" t="s">
        <v>441</v>
      </c>
      <c r="E346">
        <v>1</v>
      </c>
    </row>
    <row r="347" spans="1:5" x14ac:dyDescent="0.3">
      <c r="A347" t="s">
        <v>794</v>
      </c>
      <c r="B347" s="1">
        <v>45973</v>
      </c>
      <c r="C347" t="s">
        <v>30</v>
      </c>
      <c r="D347" t="s">
        <v>415</v>
      </c>
      <c r="E347">
        <v>2</v>
      </c>
    </row>
    <row r="348" spans="1:5" x14ac:dyDescent="0.3">
      <c r="A348" t="s">
        <v>795</v>
      </c>
      <c r="B348" s="1">
        <v>45925</v>
      </c>
      <c r="C348" t="s">
        <v>288</v>
      </c>
      <c r="D348" t="s">
        <v>366</v>
      </c>
      <c r="E348">
        <v>3</v>
      </c>
    </row>
    <row r="349" spans="1:5" x14ac:dyDescent="0.3">
      <c r="A349" t="s">
        <v>796</v>
      </c>
      <c r="B349" s="1">
        <v>45671</v>
      </c>
      <c r="C349" t="s">
        <v>111</v>
      </c>
      <c r="D349" t="s">
        <v>402</v>
      </c>
      <c r="E349">
        <v>4</v>
      </c>
    </row>
    <row r="350" spans="1:5" x14ac:dyDescent="0.3">
      <c r="A350" t="s">
        <v>797</v>
      </c>
      <c r="B350" s="1">
        <v>45980</v>
      </c>
      <c r="C350" t="s">
        <v>148</v>
      </c>
      <c r="D350" t="s">
        <v>360</v>
      </c>
      <c r="E350">
        <v>4</v>
      </c>
    </row>
    <row r="351" spans="1:5" x14ac:dyDescent="0.3">
      <c r="A351" t="s">
        <v>798</v>
      </c>
      <c r="B351" s="1">
        <v>45857</v>
      </c>
      <c r="C351" t="s">
        <v>119</v>
      </c>
      <c r="D351" t="s">
        <v>359</v>
      </c>
      <c r="E351">
        <v>2</v>
      </c>
    </row>
    <row r="352" spans="1:5" x14ac:dyDescent="0.3">
      <c r="A352" t="s">
        <v>799</v>
      </c>
      <c r="B352" s="1">
        <v>45768</v>
      </c>
      <c r="C352" t="s">
        <v>321</v>
      </c>
      <c r="D352" t="s">
        <v>383</v>
      </c>
      <c r="E352">
        <v>1</v>
      </c>
    </row>
    <row r="353" spans="1:5" x14ac:dyDescent="0.3">
      <c r="A353" t="s">
        <v>800</v>
      </c>
      <c r="B353" s="1">
        <v>45786</v>
      </c>
      <c r="C353" t="s">
        <v>74</v>
      </c>
      <c r="D353" t="s">
        <v>402</v>
      </c>
      <c r="E353">
        <v>5</v>
      </c>
    </row>
    <row r="354" spans="1:5" x14ac:dyDescent="0.3">
      <c r="A354" t="s">
        <v>801</v>
      </c>
      <c r="B354" s="1">
        <v>45799</v>
      </c>
      <c r="C354" t="s">
        <v>315</v>
      </c>
      <c r="D354" t="s">
        <v>433</v>
      </c>
      <c r="E354">
        <v>4</v>
      </c>
    </row>
    <row r="355" spans="1:5" x14ac:dyDescent="0.3">
      <c r="A355" t="s">
        <v>802</v>
      </c>
      <c r="B355" s="1">
        <v>45795</v>
      </c>
      <c r="C355" t="s">
        <v>203</v>
      </c>
      <c r="D355" t="s">
        <v>400</v>
      </c>
      <c r="E355">
        <v>5</v>
      </c>
    </row>
    <row r="356" spans="1:5" x14ac:dyDescent="0.3">
      <c r="A356" t="s">
        <v>803</v>
      </c>
      <c r="B356" s="1">
        <v>45874</v>
      </c>
      <c r="C356" t="s">
        <v>276</v>
      </c>
      <c r="D356" t="s">
        <v>413</v>
      </c>
      <c r="E356">
        <v>4</v>
      </c>
    </row>
    <row r="357" spans="1:5" x14ac:dyDescent="0.3">
      <c r="A357" t="s">
        <v>804</v>
      </c>
      <c r="B357" s="1">
        <v>45829</v>
      </c>
      <c r="C357" t="s">
        <v>274</v>
      </c>
      <c r="D357" t="s">
        <v>347</v>
      </c>
      <c r="E357">
        <v>5</v>
      </c>
    </row>
    <row r="358" spans="1:5" x14ac:dyDescent="0.3">
      <c r="A358" t="s">
        <v>805</v>
      </c>
      <c r="B358" s="1">
        <v>45965</v>
      </c>
      <c r="C358" t="s">
        <v>170</v>
      </c>
      <c r="D358" t="s">
        <v>393</v>
      </c>
      <c r="E358">
        <v>2</v>
      </c>
    </row>
    <row r="359" spans="1:5" x14ac:dyDescent="0.3">
      <c r="A359" t="s">
        <v>806</v>
      </c>
      <c r="B359" s="1">
        <v>45892</v>
      </c>
      <c r="C359" t="s">
        <v>169</v>
      </c>
      <c r="D359" t="s">
        <v>338</v>
      </c>
      <c r="E359">
        <v>2</v>
      </c>
    </row>
    <row r="360" spans="1:5" x14ac:dyDescent="0.3">
      <c r="A360" t="s">
        <v>807</v>
      </c>
      <c r="B360" s="1">
        <v>45806</v>
      </c>
      <c r="C360" t="s">
        <v>137</v>
      </c>
      <c r="D360" t="s">
        <v>442</v>
      </c>
      <c r="E360">
        <v>4</v>
      </c>
    </row>
    <row r="361" spans="1:5" x14ac:dyDescent="0.3">
      <c r="A361" t="s">
        <v>808</v>
      </c>
      <c r="B361" s="1">
        <v>45997</v>
      </c>
      <c r="C361" t="s">
        <v>246</v>
      </c>
      <c r="D361" t="s">
        <v>425</v>
      </c>
      <c r="E361">
        <v>2</v>
      </c>
    </row>
    <row r="362" spans="1:5" x14ac:dyDescent="0.3">
      <c r="A362" t="s">
        <v>809</v>
      </c>
      <c r="B362" s="1">
        <v>45767</v>
      </c>
      <c r="C362" t="s">
        <v>54</v>
      </c>
      <c r="D362" t="s">
        <v>351</v>
      </c>
      <c r="E362">
        <v>4</v>
      </c>
    </row>
    <row r="363" spans="1:5" x14ac:dyDescent="0.3">
      <c r="A363" t="s">
        <v>810</v>
      </c>
      <c r="B363" s="1">
        <v>45756</v>
      </c>
      <c r="C363" t="s">
        <v>104</v>
      </c>
      <c r="D363" t="s">
        <v>370</v>
      </c>
      <c r="E363">
        <v>3</v>
      </c>
    </row>
    <row r="364" spans="1:5" x14ac:dyDescent="0.3">
      <c r="A364" t="s">
        <v>811</v>
      </c>
      <c r="B364" s="1">
        <v>45977</v>
      </c>
      <c r="C364" t="s">
        <v>136</v>
      </c>
      <c r="D364" t="s">
        <v>438</v>
      </c>
      <c r="E364">
        <v>5</v>
      </c>
    </row>
    <row r="365" spans="1:5" x14ac:dyDescent="0.3">
      <c r="A365" t="s">
        <v>812</v>
      </c>
      <c r="B365" s="1">
        <v>45888</v>
      </c>
      <c r="C365" t="s">
        <v>60</v>
      </c>
      <c r="D365" t="s">
        <v>339</v>
      </c>
      <c r="E365">
        <v>4</v>
      </c>
    </row>
    <row r="366" spans="1:5" x14ac:dyDescent="0.3">
      <c r="A366" t="s">
        <v>813</v>
      </c>
      <c r="B366" s="1">
        <v>46009</v>
      </c>
      <c r="C366" t="s">
        <v>469</v>
      </c>
      <c r="D366" t="s">
        <v>338</v>
      </c>
      <c r="E366">
        <v>1</v>
      </c>
    </row>
    <row r="367" spans="1:5" x14ac:dyDescent="0.3">
      <c r="A367" t="s">
        <v>814</v>
      </c>
      <c r="B367" s="1">
        <v>45905</v>
      </c>
      <c r="C367" t="s">
        <v>11</v>
      </c>
      <c r="D367" t="s">
        <v>364</v>
      </c>
      <c r="E367">
        <v>3</v>
      </c>
    </row>
    <row r="368" spans="1:5" x14ac:dyDescent="0.3">
      <c r="A368" t="s">
        <v>815</v>
      </c>
      <c r="B368" s="1">
        <v>45707</v>
      </c>
      <c r="C368" t="s">
        <v>105</v>
      </c>
      <c r="D368" t="s">
        <v>407</v>
      </c>
      <c r="E368">
        <v>1</v>
      </c>
    </row>
    <row r="369" spans="1:5" x14ac:dyDescent="0.3">
      <c r="A369" t="s">
        <v>816</v>
      </c>
      <c r="B369" s="1">
        <v>45932</v>
      </c>
      <c r="C369" t="s">
        <v>91</v>
      </c>
      <c r="D369" t="s">
        <v>348</v>
      </c>
      <c r="E369">
        <v>2</v>
      </c>
    </row>
    <row r="370" spans="1:5" x14ac:dyDescent="0.3">
      <c r="A370" t="s">
        <v>817</v>
      </c>
      <c r="B370" s="1">
        <v>45689</v>
      </c>
      <c r="C370" t="s">
        <v>186</v>
      </c>
      <c r="D370" t="s">
        <v>423</v>
      </c>
      <c r="E370">
        <v>5</v>
      </c>
    </row>
    <row r="371" spans="1:5" x14ac:dyDescent="0.3">
      <c r="A371" t="s">
        <v>818</v>
      </c>
      <c r="B371" s="1">
        <v>45969</v>
      </c>
      <c r="C371" t="s">
        <v>60</v>
      </c>
      <c r="D371" t="s">
        <v>441</v>
      </c>
      <c r="E371">
        <v>1</v>
      </c>
    </row>
    <row r="372" spans="1:5" x14ac:dyDescent="0.3">
      <c r="A372" t="s">
        <v>819</v>
      </c>
      <c r="B372" s="1">
        <v>45688</v>
      </c>
      <c r="C372" t="s">
        <v>157</v>
      </c>
      <c r="D372" t="s">
        <v>435</v>
      </c>
      <c r="E372">
        <v>3</v>
      </c>
    </row>
    <row r="373" spans="1:5" x14ac:dyDescent="0.3">
      <c r="A373" t="s">
        <v>820</v>
      </c>
      <c r="B373" s="1">
        <v>45830</v>
      </c>
      <c r="C373" t="s">
        <v>50</v>
      </c>
      <c r="D373" t="s">
        <v>370</v>
      </c>
      <c r="E373">
        <v>1</v>
      </c>
    </row>
    <row r="374" spans="1:5" x14ac:dyDescent="0.3">
      <c r="A374" t="s">
        <v>821</v>
      </c>
      <c r="B374" s="1">
        <v>45786</v>
      </c>
      <c r="C374" t="s">
        <v>54</v>
      </c>
      <c r="D374" t="s">
        <v>419</v>
      </c>
      <c r="E374">
        <v>4</v>
      </c>
    </row>
    <row r="375" spans="1:5" x14ac:dyDescent="0.3">
      <c r="A375" t="s">
        <v>822</v>
      </c>
      <c r="B375" s="1">
        <v>45724</v>
      </c>
      <c r="C375" t="s">
        <v>469</v>
      </c>
      <c r="D375" t="s">
        <v>440</v>
      </c>
      <c r="E375">
        <v>5</v>
      </c>
    </row>
    <row r="376" spans="1:5" x14ac:dyDescent="0.3">
      <c r="A376" t="s">
        <v>823</v>
      </c>
      <c r="B376" s="1">
        <v>46002</v>
      </c>
      <c r="C376" t="s">
        <v>93</v>
      </c>
      <c r="D376" t="s">
        <v>399</v>
      </c>
      <c r="E376">
        <v>3</v>
      </c>
    </row>
    <row r="377" spans="1:5" x14ac:dyDescent="0.3">
      <c r="A377" t="s">
        <v>824</v>
      </c>
      <c r="B377" s="1">
        <v>45820</v>
      </c>
      <c r="C377" t="s">
        <v>155</v>
      </c>
      <c r="D377" t="s">
        <v>420</v>
      </c>
      <c r="E377">
        <v>4</v>
      </c>
    </row>
    <row r="378" spans="1:5" x14ac:dyDescent="0.3">
      <c r="A378" t="s">
        <v>825</v>
      </c>
      <c r="B378" s="1">
        <v>45728</v>
      </c>
      <c r="C378" t="s">
        <v>112</v>
      </c>
      <c r="D378" t="s">
        <v>424</v>
      </c>
      <c r="E378">
        <v>1</v>
      </c>
    </row>
    <row r="379" spans="1:5" x14ac:dyDescent="0.3">
      <c r="A379" t="s">
        <v>826</v>
      </c>
      <c r="B379" s="1">
        <v>45777</v>
      </c>
      <c r="C379" t="s">
        <v>247</v>
      </c>
      <c r="D379" t="s">
        <v>386</v>
      </c>
      <c r="E379">
        <v>1</v>
      </c>
    </row>
    <row r="380" spans="1:5" x14ac:dyDescent="0.3">
      <c r="A380" t="s">
        <v>827</v>
      </c>
      <c r="B380" s="1">
        <v>45959</v>
      </c>
      <c r="C380" t="s">
        <v>88</v>
      </c>
      <c r="D380" t="s">
        <v>374</v>
      </c>
      <c r="E380">
        <v>3</v>
      </c>
    </row>
    <row r="381" spans="1:5" x14ac:dyDescent="0.3">
      <c r="A381" t="s">
        <v>828</v>
      </c>
      <c r="B381" s="1">
        <v>45686</v>
      </c>
      <c r="C381" t="s">
        <v>35</v>
      </c>
      <c r="D381" t="s">
        <v>371</v>
      </c>
      <c r="E381">
        <v>5</v>
      </c>
    </row>
    <row r="382" spans="1:5" x14ac:dyDescent="0.3">
      <c r="A382" t="s">
        <v>829</v>
      </c>
      <c r="B382" s="1">
        <v>45901</v>
      </c>
      <c r="C382" t="s">
        <v>112</v>
      </c>
      <c r="D382" t="s">
        <v>387</v>
      </c>
      <c r="E382">
        <v>3</v>
      </c>
    </row>
    <row r="383" spans="1:5" x14ac:dyDescent="0.3">
      <c r="A383" t="s">
        <v>830</v>
      </c>
      <c r="B383" s="1">
        <v>45963</v>
      </c>
      <c r="C383" t="s">
        <v>283</v>
      </c>
      <c r="D383" t="s">
        <v>434</v>
      </c>
      <c r="E383">
        <v>4</v>
      </c>
    </row>
    <row r="384" spans="1:5" x14ac:dyDescent="0.3">
      <c r="A384" t="s">
        <v>831</v>
      </c>
      <c r="B384" s="1">
        <v>45973</v>
      </c>
      <c r="C384" t="s">
        <v>210</v>
      </c>
      <c r="D384" t="s">
        <v>438</v>
      </c>
      <c r="E384">
        <v>5</v>
      </c>
    </row>
    <row r="385" spans="1:5" x14ac:dyDescent="0.3">
      <c r="A385" t="s">
        <v>832</v>
      </c>
      <c r="B385" s="1">
        <v>45967</v>
      </c>
      <c r="C385" t="s">
        <v>119</v>
      </c>
      <c r="D385" t="s">
        <v>380</v>
      </c>
      <c r="E385">
        <v>4</v>
      </c>
    </row>
    <row r="386" spans="1:5" x14ac:dyDescent="0.3">
      <c r="A386" t="s">
        <v>833</v>
      </c>
      <c r="B386" s="1">
        <v>45700</v>
      </c>
      <c r="C386" t="s">
        <v>42</v>
      </c>
      <c r="D386" t="s">
        <v>334</v>
      </c>
      <c r="E386">
        <v>2</v>
      </c>
    </row>
    <row r="387" spans="1:5" x14ac:dyDescent="0.3">
      <c r="A387" t="s">
        <v>834</v>
      </c>
      <c r="B387" s="1">
        <v>45951</v>
      </c>
      <c r="C387" t="s">
        <v>202</v>
      </c>
      <c r="D387" t="s">
        <v>403</v>
      </c>
      <c r="E387">
        <v>1</v>
      </c>
    </row>
    <row r="388" spans="1:5" x14ac:dyDescent="0.3">
      <c r="A388" t="s">
        <v>835</v>
      </c>
      <c r="B388" s="1">
        <v>45833</v>
      </c>
      <c r="C388" t="s">
        <v>469</v>
      </c>
      <c r="D388" t="s">
        <v>334</v>
      </c>
      <c r="E388">
        <v>2</v>
      </c>
    </row>
    <row r="389" spans="1:5" x14ac:dyDescent="0.3">
      <c r="A389" t="s">
        <v>836</v>
      </c>
      <c r="B389" s="1">
        <v>45936</v>
      </c>
      <c r="C389" t="s">
        <v>107</v>
      </c>
      <c r="D389" t="s">
        <v>409</v>
      </c>
      <c r="E389">
        <v>3</v>
      </c>
    </row>
    <row r="390" spans="1:5" x14ac:dyDescent="0.3">
      <c r="A390" t="s">
        <v>837</v>
      </c>
      <c r="B390" s="1">
        <v>45660</v>
      </c>
      <c r="C390" t="s">
        <v>69</v>
      </c>
      <c r="D390" t="s">
        <v>416</v>
      </c>
      <c r="E390">
        <v>5</v>
      </c>
    </row>
    <row r="391" spans="1:5" x14ac:dyDescent="0.3">
      <c r="A391" t="s">
        <v>838</v>
      </c>
      <c r="B391" s="1">
        <v>45841</v>
      </c>
      <c r="C391" t="s">
        <v>272</v>
      </c>
      <c r="D391" t="s">
        <v>343</v>
      </c>
      <c r="E391">
        <v>2</v>
      </c>
    </row>
    <row r="392" spans="1:5" x14ac:dyDescent="0.3">
      <c r="A392" t="s">
        <v>839</v>
      </c>
      <c r="B392" s="1">
        <v>45913</v>
      </c>
      <c r="C392" t="s">
        <v>6</v>
      </c>
      <c r="D392" t="s">
        <v>375</v>
      </c>
      <c r="E392">
        <v>2</v>
      </c>
    </row>
    <row r="393" spans="1:5" x14ac:dyDescent="0.3">
      <c r="A393" t="s">
        <v>840</v>
      </c>
      <c r="B393" s="1">
        <v>45904</v>
      </c>
      <c r="C393" t="s">
        <v>204</v>
      </c>
      <c r="D393" t="s">
        <v>365</v>
      </c>
      <c r="E393">
        <v>5</v>
      </c>
    </row>
    <row r="394" spans="1:5" x14ac:dyDescent="0.3">
      <c r="A394" t="s">
        <v>841</v>
      </c>
      <c r="B394" s="1">
        <v>45804</v>
      </c>
      <c r="C394" t="s">
        <v>96</v>
      </c>
      <c r="D394" t="s">
        <v>417</v>
      </c>
      <c r="E394">
        <v>5</v>
      </c>
    </row>
    <row r="395" spans="1:5" x14ac:dyDescent="0.3">
      <c r="A395" t="s">
        <v>842</v>
      </c>
      <c r="B395" s="1">
        <v>46016</v>
      </c>
      <c r="C395" t="s">
        <v>318</v>
      </c>
      <c r="D395" t="s">
        <v>328</v>
      </c>
      <c r="E395">
        <v>4</v>
      </c>
    </row>
    <row r="396" spans="1:5" x14ac:dyDescent="0.3">
      <c r="A396" t="s">
        <v>843</v>
      </c>
      <c r="B396" s="1">
        <v>45870</v>
      </c>
      <c r="C396" t="s">
        <v>214</v>
      </c>
      <c r="D396" t="s">
        <v>403</v>
      </c>
      <c r="E396">
        <v>2</v>
      </c>
    </row>
    <row r="397" spans="1:5" x14ac:dyDescent="0.3">
      <c r="A397" t="s">
        <v>844</v>
      </c>
      <c r="B397" s="1">
        <v>46003</v>
      </c>
      <c r="C397" t="s">
        <v>283</v>
      </c>
      <c r="D397" t="s">
        <v>402</v>
      </c>
      <c r="E397">
        <v>1</v>
      </c>
    </row>
    <row r="398" spans="1:5" x14ac:dyDescent="0.3">
      <c r="A398" t="s">
        <v>845</v>
      </c>
      <c r="B398" s="1">
        <v>45745</v>
      </c>
      <c r="C398" t="s">
        <v>13</v>
      </c>
      <c r="D398" t="s">
        <v>408</v>
      </c>
      <c r="E398">
        <v>5</v>
      </c>
    </row>
    <row r="399" spans="1:5" x14ac:dyDescent="0.3">
      <c r="A399" t="s">
        <v>846</v>
      </c>
      <c r="B399" s="1">
        <v>45768</v>
      </c>
      <c r="C399" t="s">
        <v>139</v>
      </c>
      <c r="D399" t="s">
        <v>334</v>
      </c>
      <c r="E399">
        <v>2</v>
      </c>
    </row>
    <row r="400" spans="1:5" x14ac:dyDescent="0.3">
      <c r="A400" t="s">
        <v>847</v>
      </c>
      <c r="B400" s="1">
        <v>45823</v>
      </c>
      <c r="C400" t="s">
        <v>169</v>
      </c>
      <c r="D400" t="s">
        <v>422</v>
      </c>
      <c r="E400">
        <v>1</v>
      </c>
    </row>
    <row r="401" spans="1:5" x14ac:dyDescent="0.3">
      <c r="A401" t="s">
        <v>848</v>
      </c>
      <c r="B401" s="1">
        <v>45753</v>
      </c>
      <c r="C401" t="s">
        <v>134</v>
      </c>
      <c r="D401" t="s">
        <v>427</v>
      </c>
      <c r="E401">
        <v>5</v>
      </c>
    </row>
    <row r="402" spans="1:5" x14ac:dyDescent="0.3">
      <c r="A402" t="s">
        <v>849</v>
      </c>
      <c r="B402" s="1">
        <v>45764</v>
      </c>
      <c r="C402" t="s">
        <v>190</v>
      </c>
      <c r="D402" t="s">
        <v>362</v>
      </c>
      <c r="E402">
        <v>2</v>
      </c>
    </row>
    <row r="403" spans="1:5" x14ac:dyDescent="0.3">
      <c r="A403" t="s">
        <v>850</v>
      </c>
      <c r="B403" s="1">
        <v>45933</v>
      </c>
      <c r="C403" t="s">
        <v>87</v>
      </c>
      <c r="D403" t="s">
        <v>406</v>
      </c>
      <c r="E403">
        <v>2</v>
      </c>
    </row>
    <row r="404" spans="1:5" x14ac:dyDescent="0.3">
      <c r="A404" t="s">
        <v>851</v>
      </c>
      <c r="B404" s="1">
        <v>45748</v>
      </c>
      <c r="C404" t="s">
        <v>66</v>
      </c>
      <c r="D404" t="s">
        <v>402</v>
      </c>
      <c r="E404">
        <v>2</v>
      </c>
    </row>
    <row r="405" spans="1:5" x14ac:dyDescent="0.3">
      <c r="A405" t="s">
        <v>852</v>
      </c>
      <c r="B405" s="1">
        <v>45971</v>
      </c>
      <c r="C405" t="s">
        <v>123</v>
      </c>
      <c r="D405" t="s">
        <v>439</v>
      </c>
      <c r="E405">
        <v>4</v>
      </c>
    </row>
    <row r="406" spans="1:5" x14ac:dyDescent="0.3">
      <c r="A406" t="s">
        <v>853</v>
      </c>
      <c r="B406" s="1">
        <v>45957</v>
      </c>
      <c r="C406" t="s">
        <v>43</v>
      </c>
      <c r="D406" t="s">
        <v>431</v>
      </c>
      <c r="E406">
        <v>3</v>
      </c>
    </row>
    <row r="407" spans="1:5" x14ac:dyDescent="0.3">
      <c r="A407" t="s">
        <v>854</v>
      </c>
      <c r="B407" s="1">
        <v>45827</v>
      </c>
      <c r="C407" t="s">
        <v>194</v>
      </c>
      <c r="D407" t="s">
        <v>434</v>
      </c>
      <c r="E407">
        <v>3</v>
      </c>
    </row>
    <row r="408" spans="1:5" x14ac:dyDescent="0.3">
      <c r="A408" t="s">
        <v>855</v>
      </c>
      <c r="B408" s="1">
        <v>45840</v>
      </c>
      <c r="C408" t="s">
        <v>66</v>
      </c>
      <c r="D408" t="s">
        <v>388</v>
      </c>
      <c r="E408">
        <v>4</v>
      </c>
    </row>
    <row r="409" spans="1:5" x14ac:dyDescent="0.3">
      <c r="A409" t="s">
        <v>856</v>
      </c>
      <c r="B409" s="1">
        <v>45889</v>
      </c>
      <c r="C409" t="s">
        <v>144</v>
      </c>
      <c r="D409" t="s">
        <v>438</v>
      </c>
      <c r="E409">
        <v>2</v>
      </c>
    </row>
    <row r="410" spans="1:5" x14ac:dyDescent="0.3">
      <c r="A410" t="s">
        <v>857</v>
      </c>
      <c r="B410" s="1">
        <v>45696</v>
      </c>
      <c r="C410" t="s">
        <v>273</v>
      </c>
      <c r="D410" t="s">
        <v>402</v>
      </c>
      <c r="E410">
        <v>4</v>
      </c>
    </row>
    <row r="411" spans="1:5" x14ac:dyDescent="0.3">
      <c r="A411" t="s">
        <v>858</v>
      </c>
      <c r="B411" s="1">
        <v>45950</v>
      </c>
      <c r="C411" t="s">
        <v>319</v>
      </c>
      <c r="D411" t="s">
        <v>406</v>
      </c>
      <c r="E411">
        <v>4</v>
      </c>
    </row>
    <row r="412" spans="1:5" x14ac:dyDescent="0.3">
      <c r="A412" t="s">
        <v>859</v>
      </c>
      <c r="B412" s="1">
        <v>45913</v>
      </c>
      <c r="C412" t="s">
        <v>21</v>
      </c>
      <c r="D412" t="s">
        <v>343</v>
      </c>
      <c r="E412">
        <v>2</v>
      </c>
    </row>
    <row r="413" spans="1:5" x14ac:dyDescent="0.3">
      <c r="A413" t="s">
        <v>860</v>
      </c>
      <c r="B413" s="1">
        <v>45862</v>
      </c>
      <c r="C413" t="s">
        <v>215</v>
      </c>
      <c r="D413" t="s">
        <v>374</v>
      </c>
      <c r="E413">
        <v>4</v>
      </c>
    </row>
    <row r="414" spans="1:5" x14ac:dyDescent="0.3">
      <c r="A414" t="s">
        <v>861</v>
      </c>
      <c r="B414" s="1">
        <v>45860</v>
      </c>
      <c r="C414" t="s">
        <v>196</v>
      </c>
      <c r="D414" t="s">
        <v>426</v>
      </c>
      <c r="E414">
        <v>5</v>
      </c>
    </row>
    <row r="415" spans="1:5" x14ac:dyDescent="0.3">
      <c r="A415" t="s">
        <v>862</v>
      </c>
      <c r="B415" s="1">
        <v>45685</v>
      </c>
      <c r="C415" t="s">
        <v>469</v>
      </c>
      <c r="D415" t="s">
        <v>397</v>
      </c>
      <c r="E415">
        <v>4</v>
      </c>
    </row>
    <row r="416" spans="1:5" x14ac:dyDescent="0.3">
      <c r="A416" t="s">
        <v>863</v>
      </c>
      <c r="B416" s="1">
        <v>45903</v>
      </c>
      <c r="C416" t="s">
        <v>74</v>
      </c>
      <c r="D416" t="s">
        <v>435</v>
      </c>
      <c r="E416">
        <v>4</v>
      </c>
    </row>
    <row r="417" spans="1:5" x14ac:dyDescent="0.3">
      <c r="A417" t="s">
        <v>864</v>
      </c>
      <c r="B417" s="1">
        <v>45679</v>
      </c>
      <c r="C417" t="s">
        <v>176</v>
      </c>
      <c r="D417" t="s">
        <v>385</v>
      </c>
      <c r="E417">
        <v>3</v>
      </c>
    </row>
    <row r="418" spans="1:5" x14ac:dyDescent="0.3">
      <c r="A418" t="s">
        <v>865</v>
      </c>
      <c r="B418" s="1">
        <v>45859</v>
      </c>
      <c r="C418" t="s">
        <v>146</v>
      </c>
      <c r="D418" t="s">
        <v>441</v>
      </c>
      <c r="E418">
        <v>3</v>
      </c>
    </row>
    <row r="419" spans="1:5" x14ac:dyDescent="0.3">
      <c r="A419" t="s">
        <v>866</v>
      </c>
      <c r="B419" s="1">
        <v>45957</v>
      </c>
      <c r="C419" t="s">
        <v>129</v>
      </c>
      <c r="D419" t="s">
        <v>358</v>
      </c>
      <c r="E419">
        <v>2</v>
      </c>
    </row>
    <row r="420" spans="1:5" x14ac:dyDescent="0.3">
      <c r="A420" t="s">
        <v>867</v>
      </c>
      <c r="B420" s="1">
        <v>45825</v>
      </c>
      <c r="C420" t="s">
        <v>171</v>
      </c>
      <c r="D420" t="s">
        <v>401</v>
      </c>
      <c r="E420">
        <v>5</v>
      </c>
    </row>
    <row r="421" spans="1:5" x14ac:dyDescent="0.3">
      <c r="A421" t="s">
        <v>868</v>
      </c>
      <c r="B421" s="1">
        <v>45853</v>
      </c>
      <c r="C421" t="s">
        <v>95</v>
      </c>
      <c r="D421" t="s">
        <v>376</v>
      </c>
      <c r="E421">
        <v>1</v>
      </c>
    </row>
    <row r="422" spans="1:5" x14ac:dyDescent="0.3">
      <c r="A422" t="s">
        <v>869</v>
      </c>
      <c r="B422" s="1">
        <v>45862</v>
      </c>
      <c r="C422" t="s">
        <v>198</v>
      </c>
      <c r="D422" t="s">
        <v>440</v>
      </c>
      <c r="E422">
        <v>2</v>
      </c>
    </row>
    <row r="423" spans="1:5" x14ac:dyDescent="0.3">
      <c r="A423" t="s">
        <v>870</v>
      </c>
      <c r="B423" s="1">
        <v>46019</v>
      </c>
      <c r="C423" t="s">
        <v>153</v>
      </c>
      <c r="D423" t="s">
        <v>434</v>
      </c>
      <c r="E423">
        <v>4</v>
      </c>
    </row>
    <row r="424" spans="1:5" x14ac:dyDescent="0.3">
      <c r="A424" t="s">
        <v>871</v>
      </c>
      <c r="B424" s="1">
        <v>45934</v>
      </c>
      <c r="C424" t="s">
        <v>316</v>
      </c>
      <c r="D424" t="s">
        <v>387</v>
      </c>
      <c r="E424">
        <v>5</v>
      </c>
    </row>
    <row r="425" spans="1:5" x14ac:dyDescent="0.3">
      <c r="A425" t="s">
        <v>872</v>
      </c>
      <c r="B425" s="1">
        <v>45757</v>
      </c>
      <c r="C425" t="s">
        <v>34</v>
      </c>
      <c r="D425" t="s">
        <v>361</v>
      </c>
      <c r="E425">
        <v>1</v>
      </c>
    </row>
    <row r="426" spans="1:5" x14ac:dyDescent="0.3">
      <c r="A426" t="s">
        <v>873</v>
      </c>
      <c r="B426" s="1">
        <v>45922</v>
      </c>
      <c r="C426" t="s">
        <v>270</v>
      </c>
      <c r="D426" t="s">
        <v>398</v>
      </c>
      <c r="E426">
        <v>3</v>
      </c>
    </row>
    <row r="427" spans="1:5" x14ac:dyDescent="0.3">
      <c r="A427" t="s">
        <v>874</v>
      </c>
      <c r="B427" s="1">
        <v>45973</v>
      </c>
      <c r="C427" t="s">
        <v>249</v>
      </c>
      <c r="D427" t="s">
        <v>354</v>
      </c>
      <c r="E427">
        <v>1</v>
      </c>
    </row>
    <row r="428" spans="1:5" x14ac:dyDescent="0.3">
      <c r="A428" t="s">
        <v>875</v>
      </c>
      <c r="B428" s="1">
        <v>45679</v>
      </c>
      <c r="C428" t="s">
        <v>157</v>
      </c>
      <c r="D428" t="s">
        <v>345</v>
      </c>
      <c r="E428">
        <v>2</v>
      </c>
    </row>
    <row r="429" spans="1:5" x14ac:dyDescent="0.3">
      <c r="A429" t="s">
        <v>876</v>
      </c>
      <c r="B429" s="1">
        <v>45798</v>
      </c>
      <c r="C429" t="s">
        <v>113</v>
      </c>
      <c r="D429" t="s">
        <v>365</v>
      </c>
      <c r="E429">
        <v>1</v>
      </c>
    </row>
    <row r="430" spans="1:5" x14ac:dyDescent="0.3">
      <c r="A430" t="s">
        <v>877</v>
      </c>
      <c r="B430" s="1">
        <v>45716</v>
      </c>
      <c r="C430" t="s">
        <v>128</v>
      </c>
      <c r="D430" t="s">
        <v>357</v>
      </c>
      <c r="E430">
        <v>2</v>
      </c>
    </row>
    <row r="431" spans="1:5" x14ac:dyDescent="0.3">
      <c r="A431" t="s">
        <v>878</v>
      </c>
      <c r="B431" s="1">
        <v>45963</v>
      </c>
      <c r="C431" t="s">
        <v>309</v>
      </c>
      <c r="D431" t="s">
        <v>395</v>
      </c>
      <c r="E431">
        <v>1</v>
      </c>
    </row>
    <row r="432" spans="1:5" x14ac:dyDescent="0.3">
      <c r="A432" t="s">
        <v>879</v>
      </c>
      <c r="B432" s="1">
        <v>45732</v>
      </c>
      <c r="C432" t="s">
        <v>103</v>
      </c>
      <c r="D432" t="s">
        <v>385</v>
      </c>
      <c r="E432">
        <v>2</v>
      </c>
    </row>
    <row r="433" spans="1:5" x14ac:dyDescent="0.3">
      <c r="A433" t="s">
        <v>880</v>
      </c>
      <c r="B433" s="1">
        <v>45923</v>
      </c>
      <c r="C433" t="s">
        <v>253</v>
      </c>
      <c r="D433" t="s">
        <v>380</v>
      </c>
      <c r="E433">
        <v>2</v>
      </c>
    </row>
    <row r="434" spans="1:5" x14ac:dyDescent="0.3">
      <c r="A434" t="s">
        <v>881</v>
      </c>
      <c r="B434" s="1">
        <v>45945</v>
      </c>
      <c r="C434" t="s">
        <v>165</v>
      </c>
      <c r="D434" t="s">
        <v>414</v>
      </c>
      <c r="E434">
        <v>4</v>
      </c>
    </row>
    <row r="435" spans="1:5" x14ac:dyDescent="0.3">
      <c r="A435" t="s">
        <v>882</v>
      </c>
      <c r="B435" s="1">
        <v>45658</v>
      </c>
      <c r="C435" t="s">
        <v>250</v>
      </c>
      <c r="D435" t="s">
        <v>430</v>
      </c>
      <c r="E435">
        <v>4</v>
      </c>
    </row>
    <row r="436" spans="1:5" x14ac:dyDescent="0.3">
      <c r="A436" t="s">
        <v>883</v>
      </c>
      <c r="B436" s="1">
        <v>45786</v>
      </c>
      <c r="C436" t="s">
        <v>21</v>
      </c>
      <c r="D436" t="s">
        <v>387</v>
      </c>
      <c r="E436">
        <v>5</v>
      </c>
    </row>
    <row r="437" spans="1:5" x14ac:dyDescent="0.3">
      <c r="A437" t="s">
        <v>884</v>
      </c>
      <c r="B437" s="1">
        <v>45765</v>
      </c>
      <c r="C437" t="s">
        <v>283</v>
      </c>
      <c r="D437" t="s">
        <v>435</v>
      </c>
      <c r="E437">
        <v>5</v>
      </c>
    </row>
    <row r="438" spans="1:5" x14ac:dyDescent="0.3">
      <c r="A438" t="s">
        <v>885</v>
      </c>
      <c r="B438" s="1">
        <v>45948</v>
      </c>
      <c r="C438" t="s">
        <v>195</v>
      </c>
      <c r="D438" t="s">
        <v>352</v>
      </c>
      <c r="E438">
        <v>4</v>
      </c>
    </row>
    <row r="439" spans="1:5" x14ac:dyDescent="0.3">
      <c r="A439" t="s">
        <v>886</v>
      </c>
      <c r="B439" s="1">
        <v>46012</v>
      </c>
      <c r="C439" t="s">
        <v>319</v>
      </c>
      <c r="D439" t="s">
        <v>360</v>
      </c>
      <c r="E439">
        <v>5</v>
      </c>
    </row>
    <row r="440" spans="1:5" x14ac:dyDescent="0.3">
      <c r="A440" t="s">
        <v>887</v>
      </c>
      <c r="B440" s="1">
        <v>45980</v>
      </c>
      <c r="C440" t="s">
        <v>166</v>
      </c>
      <c r="D440" t="s">
        <v>379</v>
      </c>
      <c r="E440">
        <v>5</v>
      </c>
    </row>
    <row r="441" spans="1:5" x14ac:dyDescent="0.3">
      <c r="A441" t="s">
        <v>888</v>
      </c>
      <c r="B441" s="1">
        <v>45696</v>
      </c>
      <c r="C441" t="s">
        <v>238</v>
      </c>
      <c r="D441" t="s">
        <v>386</v>
      </c>
      <c r="E441">
        <v>4</v>
      </c>
    </row>
    <row r="442" spans="1:5" x14ac:dyDescent="0.3">
      <c r="A442" t="s">
        <v>889</v>
      </c>
      <c r="B442" s="1">
        <v>45750</v>
      </c>
      <c r="C442" t="s">
        <v>196</v>
      </c>
      <c r="D442" t="s">
        <v>412</v>
      </c>
      <c r="E442">
        <v>2</v>
      </c>
    </row>
    <row r="443" spans="1:5" x14ac:dyDescent="0.3">
      <c r="A443" t="s">
        <v>890</v>
      </c>
      <c r="B443" s="1">
        <v>45884</v>
      </c>
      <c r="C443" t="s">
        <v>200</v>
      </c>
      <c r="D443" t="s">
        <v>369</v>
      </c>
      <c r="E443">
        <v>1</v>
      </c>
    </row>
    <row r="444" spans="1:5" x14ac:dyDescent="0.3">
      <c r="A444" t="s">
        <v>891</v>
      </c>
      <c r="B444" s="1">
        <v>45905</v>
      </c>
      <c r="C444" t="s">
        <v>269</v>
      </c>
      <c r="D444" t="s">
        <v>351</v>
      </c>
      <c r="E444">
        <v>4</v>
      </c>
    </row>
    <row r="445" spans="1:5" x14ac:dyDescent="0.3">
      <c r="A445" t="s">
        <v>892</v>
      </c>
      <c r="B445" s="1">
        <v>45968</v>
      </c>
      <c r="C445" t="s">
        <v>34</v>
      </c>
      <c r="D445" t="s">
        <v>431</v>
      </c>
      <c r="E445">
        <v>3</v>
      </c>
    </row>
    <row r="446" spans="1:5" x14ac:dyDescent="0.3">
      <c r="A446" t="s">
        <v>893</v>
      </c>
      <c r="B446" s="1">
        <v>45828</v>
      </c>
      <c r="C446" t="s">
        <v>276</v>
      </c>
      <c r="D446" t="s">
        <v>388</v>
      </c>
      <c r="E446">
        <v>4</v>
      </c>
    </row>
    <row r="447" spans="1:5" x14ac:dyDescent="0.3">
      <c r="A447" t="s">
        <v>894</v>
      </c>
      <c r="B447" s="1">
        <v>45909</v>
      </c>
      <c r="C447" t="s">
        <v>73</v>
      </c>
      <c r="D447" t="s">
        <v>377</v>
      </c>
      <c r="E447">
        <v>2</v>
      </c>
    </row>
    <row r="448" spans="1:5" x14ac:dyDescent="0.3">
      <c r="A448" t="s">
        <v>895</v>
      </c>
      <c r="B448" s="1">
        <v>45826</v>
      </c>
      <c r="C448" t="s">
        <v>315</v>
      </c>
      <c r="D448" t="s">
        <v>432</v>
      </c>
      <c r="E448">
        <v>2</v>
      </c>
    </row>
    <row r="449" spans="1:5" x14ac:dyDescent="0.3">
      <c r="A449" t="s">
        <v>896</v>
      </c>
      <c r="B449" s="1">
        <v>45665</v>
      </c>
      <c r="C449" t="s">
        <v>228</v>
      </c>
      <c r="D449" t="s">
        <v>431</v>
      </c>
      <c r="E449">
        <v>4</v>
      </c>
    </row>
    <row r="450" spans="1:5" x14ac:dyDescent="0.3">
      <c r="A450" t="s">
        <v>897</v>
      </c>
      <c r="B450" s="1">
        <v>45767</v>
      </c>
      <c r="C450" t="s">
        <v>55</v>
      </c>
      <c r="D450" t="s">
        <v>395</v>
      </c>
      <c r="E450">
        <v>2</v>
      </c>
    </row>
    <row r="451" spans="1:5" x14ac:dyDescent="0.3">
      <c r="A451" t="s">
        <v>898</v>
      </c>
      <c r="B451" s="1">
        <v>45910</v>
      </c>
      <c r="C451" t="s">
        <v>142</v>
      </c>
      <c r="D451" t="s">
        <v>424</v>
      </c>
      <c r="E451">
        <v>2</v>
      </c>
    </row>
    <row r="452" spans="1:5" x14ac:dyDescent="0.3">
      <c r="A452" t="s">
        <v>899</v>
      </c>
      <c r="B452" s="1">
        <v>45904</v>
      </c>
      <c r="C452" t="s">
        <v>55</v>
      </c>
      <c r="D452" t="s">
        <v>359</v>
      </c>
      <c r="E452">
        <v>3</v>
      </c>
    </row>
    <row r="453" spans="1:5" x14ac:dyDescent="0.3">
      <c r="A453" t="s">
        <v>900</v>
      </c>
      <c r="B453" s="1">
        <v>45998</v>
      </c>
      <c r="C453" t="s">
        <v>153</v>
      </c>
      <c r="D453" t="s">
        <v>400</v>
      </c>
      <c r="E453">
        <v>3</v>
      </c>
    </row>
    <row r="454" spans="1:5" x14ac:dyDescent="0.3">
      <c r="A454" t="s">
        <v>901</v>
      </c>
      <c r="B454" s="1">
        <v>45899</v>
      </c>
      <c r="C454" t="s">
        <v>272</v>
      </c>
      <c r="D454" t="s">
        <v>405</v>
      </c>
      <c r="E454">
        <v>3</v>
      </c>
    </row>
    <row r="455" spans="1:5" x14ac:dyDescent="0.3">
      <c r="A455" t="s">
        <v>902</v>
      </c>
      <c r="B455" s="1">
        <v>45742</v>
      </c>
      <c r="C455" t="s">
        <v>154</v>
      </c>
      <c r="D455" t="s">
        <v>369</v>
      </c>
      <c r="E455">
        <v>2</v>
      </c>
    </row>
    <row r="456" spans="1:5" x14ac:dyDescent="0.3">
      <c r="A456" t="s">
        <v>903</v>
      </c>
      <c r="B456" s="1">
        <v>45975</v>
      </c>
      <c r="C456" t="s">
        <v>181</v>
      </c>
      <c r="D456" t="s">
        <v>381</v>
      </c>
      <c r="E456">
        <v>4</v>
      </c>
    </row>
    <row r="457" spans="1:5" x14ac:dyDescent="0.3">
      <c r="A457" t="s">
        <v>904</v>
      </c>
      <c r="B457" s="1">
        <v>46011</v>
      </c>
      <c r="C457" t="s">
        <v>34</v>
      </c>
      <c r="D457" t="s">
        <v>412</v>
      </c>
      <c r="E457">
        <v>5</v>
      </c>
    </row>
    <row r="458" spans="1:5" x14ac:dyDescent="0.3">
      <c r="A458" t="s">
        <v>905</v>
      </c>
      <c r="B458" s="1">
        <v>45841</v>
      </c>
      <c r="C458" t="s">
        <v>206</v>
      </c>
      <c r="D458" t="s">
        <v>440</v>
      </c>
      <c r="E458">
        <v>2</v>
      </c>
    </row>
    <row r="459" spans="1:5" x14ac:dyDescent="0.3">
      <c r="A459" t="s">
        <v>906</v>
      </c>
      <c r="B459" s="1">
        <v>45978</v>
      </c>
      <c r="C459" t="s">
        <v>160</v>
      </c>
      <c r="D459" t="s">
        <v>381</v>
      </c>
      <c r="E459">
        <v>3</v>
      </c>
    </row>
    <row r="460" spans="1:5" x14ac:dyDescent="0.3">
      <c r="A460" t="s">
        <v>907</v>
      </c>
      <c r="B460" s="1">
        <v>45759</v>
      </c>
      <c r="C460" t="s">
        <v>40</v>
      </c>
      <c r="D460" t="s">
        <v>442</v>
      </c>
      <c r="E460">
        <v>2</v>
      </c>
    </row>
    <row r="461" spans="1:5" x14ac:dyDescent="0.3">
      <c r="A461" t="s">
        <v>908</v>
      </c>
      <c r="B461" s="1">
        <v>45961</v>
      </c>
      <c r="C461" t="s">
        <v>202</v>
      </c>
      <c r="D461" t="s">
        <v>388</v>
      </c>
      <c r="E461">
        <v>4</v>
      </c>
    </row>
    <row r="462" spans="1:5" x14ac:dyDescent="0.3">
      <c r="A462" t="s">
        <v>909</v>
      </c>
      <c r="B462" s="1">
        <v>45998</v>
      </c>
      <c r="C462" t="s">
        <v>293</v>
      </c>
      <c r="D462" t="s">
        <v>370</v>
      </c>
      <c r="E462">
        <v>2</v>
      </c>
    </row>
    <row r="463" spans="1:5" x14ac:dyDescent="0.3">
      <c r="A463" t="s">
        <v>910</v>
      </c>
      <c r="B463" s="1">
        <v>45828</v>
      </c>
      <c r="C463" t="s">
        <v>137</v>
      </c>
      <c r="D463" t="s">
        <v>359</v>
      </c>
      <c r="E463">
        <v>1</v>
      </c>
    </row>
    <row r="464" spans="1:5" x14ac:dyDescent="0.3">
      <c r="A464" t="s">
        <v>911</v>
      </c>
      <c r="B464" s="1">
        <v>45868</v>
      </c>
      <c r="C464" t="s">
        <v>78</v>
      </c>
      <c r="D464" t="s">
        <v>411</v>
      </c>
      <c r="E464">
        <v>4</v>
      </c>
    </row>
    <row r="465" spans="1:5" x14ac:dyDescent="0.3">
      <c r="A465" t="s">
        <v>912</v>
      </c>
      <c r="B465" s="1">
        <v>45919</v>
      </c>
      <c r="C465" t="s">
        <v>231</v>
      </c>
      <c r="D465" t="s">
        <v>394</v>
      </c>
      <c r="E465">
        <v>5</v>
      </c>
    </row>
    <row r="466" spans="1:5" x14ac:dyDescent="0.3">
      <c r="A466" t="s">
        <v>913</v>
      </c>
      <c r="B466" s="1">
        <v>45862</v>
      </c>
      <c r="C466" t="s">
        <v>173</v>
      </c>
      <c r="D466" t="s">
        <v>355</v>
      </c>
      <c r="E466">
        <v>4</v>
      </c>
    </row>
    <row r="467" spans="1:5" x14ac:dyDescent="0.3">
      <c r="A467" t="s">
        <v>914</v>
      </c>
      <c r="B467" s="1">
        <v>45872</v>
      </c>
      <c r="C467" t="s">
        <v>36</v>
      </c>
      <c r="D467" t="s">
        <v>434</v>
      </c>
      <c r="E467">
        <v>4</v>
      </c>
    </row>
    <row r="468" spans="1:5" x14ac:dyDescent="0.3">
      <c r="A468" t="s">
        <v>915</v>
      </c>
      <c r="B468" s="1">
        <v>45944</v>
      </c>
      <c r="C468" t="s">
        <v>220</v>
      </c>
      <c r="D468" t="s">
        <v>376</v>
      </c>
      <c r="E468">
        <v>3</v>
      </c>
    </row>
    <row r="469" spans="1:5" x14ac:dyDescent="0.3">
      <c r="A469" t="s">
        <v>916</v>
      </c>
      <c r="B469" s="1">
        <v>45903</v>
      </c>
      <c r="C469" t="s">
        <v>313</v>
      </c>
      <c r="D469" t="s">
        <v>417</v>
      </c>
      <c r="E469">
        <v>5</v>
      </c>
    </row>
    <row r="470" spans="1:5" x14ac:dyDescent="0.3">
      <c r="A470" t="s">
        <v>917</v>
      </c>
      <c r="B470" s="1">
        <v>45836</v>
      </c>
      <c r="C470" t="s">
        <v>239</v>
      </c>
      <c r="D470" t="s">
        <v>437</v>
      </c>
      <c r="E470">
        <v>4</v>
      </c>
    </row>
    <row r="471" spans="1:5" x14ac:dyDescent="0.3">
      <c r="A471" t="s">
        <v>918</v>
      </c>
      <c r="B471" s="1">
        <v>45744</v>
      </c>
      <c r="C471" t="s">
        <v>215</v>
      </c>
      <c r="D471" t="s">
        <v>386</v>
      </c>
      <c r="E471">
        <v>1</v>
      </c>
    </row>
    <row r="472" spans="1:5" x14ac:dyDescent="0.3">
      <c r="A472" t="s">
        <v>919</v>
      </c>
      <c r="B472" s="1">
        <v>45817</v>
      </c>
      <c r="C472" t="s">
        <v>124</v>
      </c>
      <c r="D472" t="s">
        <v>439</v>
      </c>
      <c r="E472">
        <v>2</v>
      </c>
    </row>
    <row r="473" spans="1:5" x14ac:dyDescent="0.3">
      <c r="A473" t="s">
        <v>920</v>
      </c>
      <c r="B473" s="1">
        <v>45697</v>
      </c>
      <c r="C473" t="s">
        <v>159</v>
      </c>
      <c r="D473" t="s">
        <v>385</v>
      </c>
      <c r="E473">
        <v>3</v>
      </c>
    </row>
    <row r="474" spans="1:5" x14ac:dyDescent="0.3">
      <c r="A474" t="s">
        <v>921</v>
      </c>
      <c r="B474" s="1">
        <v>45921</v>
      </c>
      <c r="C474" t="s">
        <v>54</v>
      </c>
      <c r="D474" t="s">
        <v>374</v>
      </c>
      <c r="E474">
        <v>3</v>
      </c>
    </row>
    <row r="475" spans="1:5" x14ac:dyDescent="0.3">
      <c r="A475" t="s">
        <v>922</v>
      </c>
      <c r="B475" s="1">
        <v>45760</v>
      </c>
      <c r="C475" t="s">
        <v>193</v>
      </c>
      <c r="D475" t="s">
        <v>373</v>
      </c>
      <c r="E475">
        <v>2</v>
      </c>
    </row>
    <row r="476" spans="1:5" x14ac:dyDescent="0.3">
      <c r="A476" t="s">
        <v>923</v>
      </c>
      <c r="B476" s="1">
        <v>46016</v>
      </c>
      <c r="C476" t="s">
        <v>309</v>
      </c>
      <c r="D476" t="s">
        <v>407</v>
      </c>
      <c r="E476">
        <v>5</v>
      </c>
    </row>
    <row r="477" spans="1:5" x14ac:dyDescent="0.3">
      <c r="A477" t="s">
        <v>924</v>
      </c>
      <c r="B477" s="1">
        <v>45942</v>
      </c>
      <c r="C477" t="s">
        <v>129</v>
      </c>
      <c r="D477" t="s">
        <v>438</v>
      </c>
      <c r="E477">
        <v>1</v>
      </c>
    </row>
    <row r="478" spans="1:5" x14ac:dyDescent="0.3">
      <c r="A478" t="s">
        <v>925</v>
      </c>
      <c r="B478" s="1">
        <v>45681</v>
      </c>
      <c r="C478" t="s">
        <v>113</v>
      </c>
      <c r="D478" t="s">
        <v>383</v>
      </c>
      <c r="E478">
        <v>2</v>
      </c>
    </row>
    <row r="479" spans="1:5" x14ac:dyDescent="0.3">
      <c r="A479" t="s">
        <v>926</v>
      </c>
      <c r="B479" s="1">
        <v>45709</v>
      </c>
      <c r="C479" t="s">
        <v>268</v>
      </c>
      <c r="D479" t="s">
        <v>384</v>
      </c>
      <c r="E479">
        <v>1</v>
      </c>
    </row>
    <row r="480" spans="1:5" x14ac:dyDescent="0.3">
      <c r="A480" t="s">
        <v>927</v>
      </c>
      <c r="B480" s="1">
        <v>45777</v>
      </c>
      <c r="C480" t="s">
        <v>179</v>
      </c>
      <c r="D480" t="s">
        <v>388</v>
      </c>
      <c r="E480">
        <v>3</v>
      </c>
    </row>
    <row r="481" spans="1:5" x14ac:dyDescent="0.3">
      <c r="A481" t="s">
        <v>928</v>
      </c>
      <c r="B481" s="1">
        <v>45740</v>
      </c>
      <c r="C481" t="s">
        <v>78</v>
      </c>
      <c r="D481" t="s">
        <v>395</v>
      </c>
      <c r="E481">
        <v>2</v>
      </c>
    </row>
    <row r="482" spans="1:5" x14ac:dyDescent="0.3">
      <c r="A482" t="s">
        <v>929</v>
      </c>
      <c r="B482" s="1">
        <v>45860</v>
      </c>
      <c r="C482" t="s">
        <v>269</v>
      </c>
      <c r="D482" t="s">
        <v>373</v>
      </c>
      <c r="E482">
        <v>3</v>
      </c>
    </row>
    <row r="483" spans="1:5" x14ac:dyDescent="0.3">
      <c r="A483" t="s">
        <v>930</v>
      </c>
      <c r="B483" s="1">
        <v>45868</v>
      </c>
      <c r="C483" t="s">
        <v>286</v>
      </c>
      <c r="D483" t="s">
        <v>357</v>
      </c>
      <c r="E483">
        <v>4</v>
      </c>
    </row>
    <row r="484" spans="1:5" x14ac:dyDescent="0.3">
      <c r="A484" t="s">
        <v>931</v>
      </c>
      <c r="B484" s="1">
        <v>45929</v>
      </c>
      <c r="C484" t="s">
        <v>210</v>
      </c>
      <c r="D484" t="s">
        <v>408</v>
      </c>
      <c r="E484">
        <v>2</v>
      </c>
    </row>
    <row r="485" spans="1:5" x14ac:dyDescent="0.3">
      <c r="A485" t="s">
        <v>932</v>
      </c>
      <c r="B485" s="1">
        <v>45971</v>
      </c>
      <c r="C485" t="s">
        <v>36</v>
      </c>
      <c r="D485" t="s">
        <v>422</v>
      </c>
      <c r="E485">
        <v>4</v>
      </c>
    </row>
    <row r="486" spans="1:5" x14ac:dyDescent="0.3">
      <c r="A486" t="s">
        <v>933</v>
      </c>
      <c r="B486" s="1">
        <v>45712</v>
      </c>
      <c r="C486" t="s">
        <v>301</v>
      </c>
      <c r="D486" t="s">
        <v>391</v>
      </c>
      <c r="E486">
        <v>2</v>
      </c>
    </row>
    <row r="487" spans="1:5" x14ac:dyDescent="0.3">
      <c r="A487" t="s">
        <v>934</v>
      </c>
      <c r="B487" s="1">
        <v>45688</v>
      </c>
      <c r="C487" t="s">
        <v>95</v>
      </c>
      <c r="D487" t="s">
        <v>406</v>
      </c>
      <c r="E487">
        <v>2</v>
      </c>
    </row>
    <row r="488" spans="1:5" x14ac:dyDescent="0.3">
      <c r="A488" t="s">
        <v>935</v>
      </c>
      <c r="B488" s="1">
        <v>45953</v>
      </c>
      <c r="C488" t="s">
        <v>261</v>
      </c>
      <c r="D488" t="s">
        <v>347</v>
      </c>
      <c r="E488">
        <v>4</v>
      </c>
    </row>
    <row r="489" spans="1:5" x14ac:dyDescent="0.3">
      <c r="A489" t="s">
        <v>936</v>
      </c>
      <c r="B489" s="1">
        <v>45694</v>
      </c>
      <c r="C489" t="s">
        <v>43</v>
      </c>
      <c r="D489" t="s">
        <v>403</v>
      </c>
      <c r="E489">
        <v>1</v>
      </c>
    </row>
    <row r="490" spans="1:5" x14ac:dyDescent="0.3">
      <c r="A490" t="s">
        <v>937</v>
      </c>
      <c r="B490" s="1">
        <v>46006</v>
      </c>
      <c r="C490" t="s">
        <v>459</v>
      </c>
      <c r="D490" t="s">
        <v>379</v>
      </c>
      <c r="E490">
        <v>2</v>
      </c>
    </row>
    <row r="491" spans="1:5" x14ac:dyDescent="0.3">
      <c r="A491" t="s">
        <v>938</v>
      </c>
      <c r="B491" s="1">
        <v>45965</v>
      </c>
      <c r="C491" t="s">
        <v>102</v>
      </c>
      <c r="D491" t="s">
        <v>435</v>
      </c>
      <c r="E491">
        <v>2</v>
      </c>
    </row>
    <row r="492" spans="1:5" x14ac:dyDescent="0.3">
      <c r="A492" t="s">
        <v>939</v>
      </c>
      <c r="B492" s="1">
        <v>45775</v>
      </c>
      <c r="C492" t="s">
        <v>176</v>
      </c>
      <c r="D492" t="s">
        <v>362</v>
      </c>
      <c r="E492">
        <v>4</v>
      </c>
    </row>
    <row r="493" spans="1:5" x14ac:dyDescent="0.3">
      <c r="A493" t="s">
        <v>940</v>
      </c>
      <c r="B493" s="1">
        <v>45719</v>
      </c>
      <c r="C493" t="s">
        <v>102</v>
      </c>
      <c r="D493" t="s">
        <v>441</v>
      </c>
      <c r="E493">
        <v>3</v>
      </c>
    </row>
    <row r="494" spans="1:5" x14ac:dyDescent="0.3">
      <c r="A494" t="s">
        <v>941</v>
      </c>
      <c r="B494" s="1">
        <v>45707</v>
      </c>
      <c r="C494" t="s">
        <v>459</v>
      </c>
      <c r="D494" t="s">
        <v>400</v>
      </c>
      <c r="E494">
        <v>1</v>
      </c>
    </row>
    <row r="495" spans="1:5" x14ac:dyDescent="0.3">
      <c r="A495" t="s">
        <v>942</v>
      </c>
      <c r="B495" s="1">
        <v>45957</v>
      </c>
      <c r="C495" t="s">
        <v>107</v>
      </c>
      <c r="D495" t="s">
        <v>422</v>
      </c>
      <c r="E495">
        <v>5</v>
      </c>
    </row>
    <row r="496" spans="1:5" x14ac:dyDescent="0.3">
      <c r="A496" t="s">
        <v>943</v>
      </c>
      <c r="B496" s="1">
        <v>45894</v>
      </c>
      <c r="C496" t="s">
        <v>88</v>
      </c>
      <c r="D496" t="s">
        <v>412</v>
      </c>
      <c r="E496">
        <v>5</v>
      </c>
    </row>
    <row r="497" spans="1:5" x14ac:dyDescent="0.3">
      <c r="A497" t="s">
        <v>944</v>
      </c>
      <c r="B497" s="1">
        <v>45849</v>
      </c>
      <c r="C497" t="s">
        <v>57</v>
      </c>
      <c r="D497" t="s">
        <v>402</v>
      </c>
      <c r="E497">
        <v>1</v>
      </c>
    </row>
    <row r="498" spans="1:5" x14ac:dyDescent="0.3">
      <c r="A498" t="s">
        <v>945</v>
      </c>
      <c r="B498" s="1">
        <v>45857</v>
      </c>
      <c r="C498" t="s">
        <v>66</v>
      </c>
      <c r="D498" t="s">
        <v>432</v>
      </c>
      <c r="E498">
        <v>4</v>
      </c>
    </row>
    <row r="499" spans="1:5" x14ac:dyDescent="0.3">
      <c r="A499" t="s">
        <v>946</v>
      </c>
      <c r="B499" s="1">
        <v>45751</v>
      </c>
      <c r="C499" t="s">
        <v>30</v>
      </c>
      <c r="D499" t="s">
        <v>422</v>
      </c>
      <c r="E499">
        <v>5</v>
      </c>
    </row>
    <row r="500" spans="1:5" x14ac:dyDescent="0.3">
      <c r="A500" t="s">
        <v>947</v>
      </c>
      <c r="B500" s="1">
        <v>45807</v>
      </c>
      <c r="C500" t="s">
        <v>235</v>
      </c>
      <c r="D500" t="s">
        <v>361</v>
      </c>
      <c r="E500">
        <v>2</v>
      </c>
    </row>
    <row r="501" spans="1:5" x14ac:dyDescent="0.3">
      <c r="A501" t="s">
        <v>948</v>
      </c>
      <c r="B501" s="1">
        <v>45834</v>
      </c>
      <c r="C501" t="s">
        <v>311</v>
      </c>
      <c r="D501" t="s">
        <v>417</v>
      </c>
      <c r="E501">
        <v>4</v>
      </c>
    </row>
    <row r="502" spans="1:5" x14ac:dyDescent="0.3">
      <c r="A502" t="s">
        <v>949</v>
      </c>
      <c r="B502" s="1">
        <v>45690</v>
      </c>
      <c r="C502" t="s">
        <v>179</v>
      </c>
      <c r="D502" t="s">
        <v>361</v>
      </c>
      <c r="E502">
        <v>4</v>
      </c>
    </row>
    <row r="503" spans="1:5" x14ac:dyDescent="0.3">
      <c r="A503" t="s">
        <v>950</v>
      </c>
      <c r="B503" s="1">
        <v>45680</v>
      </c>
      <c r="C503" t="s">
        <v>307</v>
      </c>
      <c r="D503" t="s">
        <v>398</v>
      </c>
      <c r="E503">
        <v>3</v>
      </c>
    </row>
    <row r="504" spans="1:5" x14ac:dyDescent="0.3">
      <c r="A504" t="s">
        <v>951</v>
      </c>
      <c r="B504" s="1">
        <v>45885</v>
      </c>
      <c r="C504" t="s">
        <v>119</v>
      </c>
      <c r="D504" t="s">
        <v>360</v>
      </c>
      <c r="E504">
        <v>3</v>
      </c>
    </row>
    <row r="505" spans="1:5" x14ac:dyDescent="0.3">
      <c r="A505" t="s">
        <v>952</v>
      </c>
      <c r="B505" s="1">
        <v>45833</v>
      </c>
      <c r="C505" t="s">
        <v>18</v>
      </c>
      <c r="D505" t="s">
        <v>387</v>
      </c>
      <c r="E505">
        <v>2</v>
      </c>
    </row>
    <row r="506" spans="1:5" x14ac:dyDescent="0.3">
      <c r="A506" t="s">
        <v>953</v>
      </c>
      <c r="B506" s="1">
        <v>45939</v>
      </c>
      <c r="C506" t="s">
        <v>219</v>
      </c>
      <c r="D506" t="s">
        <v>426</v>
      </c>
      <c r="E506">
        <v>5</v>
      </c>
    </row>
    <row r="507" spans="1:5" x14ac:dyDescent="0.3">
      <c r="A507" t="s">
        <v>954</v>
      </c>
      <c r="B507" s="1">
        <v>45769</v>
      </c>
      <c r="C507" t="s">
        <v>322</v>
      </c>
      <c r="D507" t="s">
        <v>354</v>
      </c>
      <c r="E507">
        <v>3</v>
      </c>
    </row>
    <row r="508" spans="1:5" x14ac:dyDescent="0.3">
      <c r="A508" t="s">
        <v>955</v>
      </c>
      <c r="B508" s="1">
        <v>45928</v>
      </c>
      <c r="C508" t="s">
        <v>137</v>
      </c>
      <c r="D508" t="s">
        <v>379</v>
      </c>
      <c r="E508">
        <v>2</v>
      </c>
    </row>
    <row r="509" spans="1:5" x14ac:dyDescent="0.3">
      <c r="A509" t="s">
        <v>956</v>
      </c>
      <c r="B509" s="1">
        <v>45973</v>
      </c>
      <c r="C509" t="s">
        <v>94</v>
      </c>
      <c r="D509" t="s">
        <v>435</v>
      </c>
      <c r="E509">
        <v>2</v>
      </c>
    </row>
    <row r="510" spans="1:5" x14ac:dyDescent="0.3">
      <c r="A510" t="s">
        <v>957</v>
      </c>
      <c r="B510" s="1">
        <v>45810</v>
      </c>
      <c r="C510" t="s">
        <v>69</v>
      </c>
      <c r="D510" t="s">
        <v>375</v>
      </c>
      <c r="E510">
        <v>2</v>
      </c>
    </row>
    <row r="511" spans="1:5" x14ac:dyDescent="0.3">
      <c r="A511" t="s">
        <v>958</v>
      </c>
      <c r="B511" s="1">
        <v>45828</v>
      </c>
      <c r="C511" t="s">
        <v>152</v>
      </c>
      <c r="D511" t="s">
        <v>416</v>
      </c>
      <c r="E511">
        <v>2</v>
      </c>
    </row>
    <row r="512" spans="1:5" x14ac:dyDescent="0.3">
      <c r="A512" t="s">
        <v>959</v>
      </c>
      <c r="B512" s="1">
        <v>45821</v>
      </c>
      <c r="C512" t="s">
        <v>11</v>
      </c>
      <c r="D512" t="s">
        <v>387</v>
      </c>
      <c r="E512">
        <v>1</v>
      </c>
    </row>
    <row r="513" spans="1:5" x14ac:dyDescent="0.3">
      <c r="A513" t="s">
        <v>960</v>
      </c>
      <c r="B513" s="1">
        <v>45731</v>
      </c>
      <c r="C513" t="s">
        <v>86</v>
      </c>
      <c r="D513" t="s">
        <v>407</v>
      </c>
      <c r="E513">
        <v>1</v>
      </c>
    </row>
    <row r="514" spans="1:5" x14ac:dyDescent="0.3">
      <c r="A514" t="s">
        <v>961</v>
      </c>
      <c r="B514" s="1">
        <v>45903</v>
      </c>
      <c r="C514" t="s">
        <v>286</v>
      </c>
      <c r="D514" t="s">
        <v>394</v>
      </c>
      <c r="E514">
        <v>4</v>
      </c>
    </row>
    <row r="515" spans="1:5" x14ac:dyDescent="0.3">
      <c r="A515" t="s">
        <v>962</v>
      </c>
      <c r="B515" s="1">
        <v>45703</v>
      </c>
      <c r="C515" t="s">
        <v>111</v>
      </c>
      <c r="D515" t="s">
        <v>366</v>
      </c>
      <c r="E515">
        <v>3</v>
      </c>
    </row>
    <row r="516" spans="1:5" x14ac:dyDescent="0.3">
      <c r="A516" t="s">
        <v>963</v>
      </c>
      <c r="B516" s="1">
        <v>45768</v>
      </c>
      <c r="C516" t="s">
        <v>112</v>
      </c>
      <c r="D516" t="s">
        <v>428</v>
      </c>
      <c r="E516">
        <v>3</v>
      </c>
    </row>
    <row r="517" spans="1:5" x14ac:dyDescent="0.3">
      <c r="A517" t="s">
        <v>964</v>
      </c>
      <c r="B517" s="1">
        <v>45972</v>
      </c>
      <c r="C517" t="s">
        <v>119</v>
      </c>
      <c r="D517" t="s">
        <v>338</v>
      </c>
      <c r="E517">
        <v>1</v>
      </c>
    </row>
    <row r="518" spans="1:5" x14ac:dyDescent="0.3">
      <c r="A518" t="s">
        <v>965</v>
      </c>
      <c r="B518" s="1">
        <v>45865</v>
      </c>
      <c r="C518" t="s">
        <v>175</v>
      </c>
      <c r="D518" t="s">
        <v>388</v>
      </c>
      <c r="E518">
        <v>2</v>
      </c>
    </row>
    <row r="519" spans="1:5" x14ac:dyDescent="0.3">
      <c r="A519" t="s">
        <v>966</v>
      </c>
      <c r="B519" s="1">
        <v>45827</v>
      </c>
      <c r="C519" t="s">
        <v>272</v>
      </c>
      <c r="D519" t="s">
        <v>397</v>
      </c>
      <c r="E519">
        <v>3</v>
      </c>
    </row>
    <row r="520" spans="1:5" x14ac:dyDescent="0.3">
      <c r="A520" t="s">
        <v>967</v>
      </c>
      <c r="B520" s="1">
        <v>45807</v>
      </c>
      <c r="C520" t="s">
        <v>236</v>
      </c>
      <c r="D520" t="s">
        <v>405</v>
      </c>
      <c r="E520">
        <v>4</v>
      </c>
    </row>
    <row r="521" spans="1:5" x14ac:dyDescent="0.3">
      <c r="A521" t="s">
        <v>968</v>
      </c>
      <c r="B521" s="1">
        <v>45955</v>
      </c>
      <c r="C521" t="s">
        <v>99</v>
      </c>
      <c r="D521" t="s">
        <v>379</v>
      </c>
      <c r="E521">
        <v>3</v>
      </c>
    </row>
    <row r="522" spans="1:5" x14ac:dyDescent="0.3">
      <c r="A522" t="s">
        <v>969</v>
      </c>
      <c r="B522" s="1">
        <v>45692</v>
      </c>
      <c r="C522" t="s">
        <v>211</v>
      </c>
      <c r="D522" t="s">
        <v>362</v>
      </c>
      <c r="E522">
        <v>2</v>
      </c>
    </row>
    <row r="523" spans="1:5" x14ac:dyDescent="0.3">
      <c r="A523" t="s">
        <v>970</v>
      </c>
      <c r="B523" s="1">
        <v>45857</v>
      </c>
      <c r="C523" t="s">
        <v>55</v>
      </c>
      <c r="D523" t="s">
        <v>363</v>
      </c>
      <c r="E523">
        <v>5</v>
      </c>
    </row>
    <row r="524" spans="1:5" x14ac:dyDescent="0.3">
      <c r="A524" t="s">
        <v>971</v>
      </c>
      <c r="B524" s="1">
        <v>45837</v>
      </c>
      <c r="C524" t="s">
        <v>25</v>
      </c>
      <c r="D524" t="s">
        <v>406</v>
      </c>
      <c r="E524">
        <v>4</v>
      </c>
    </row>
    <row r="525" spans="1:5" x14ac:dyDescent="0.3">
      <c r="A525" t="s">
        <v>972</v>
      </c>
      <c r="B525" s="1">
        <v>45735</v>
      </c>
      <c r="C525" t="s">
        <v>75</v>
      </c>
      <c r="D525" t="s">
        <v>436</v>
      </c>
      <c r="E525">
        <v>4</v>
      </c>
    </row>
    <row r="526" spans="1:5" x14ac:dyDescent="0.3">
      <c r="A526" t="s">
        <v>973</v>
      </c>
      <c r="B526" s="1">
        <v>45956</v>
      </c>
      <c r="C526" t="s">
        <v>49</v>
      </c>
      <c r="D526" t="s">
        <v>430</v>
      </c>
      <c r="E526">
        <v>5</v>
      </c>
    </row>
    <row r="527" spans="1:5" x14ac:dyDescent="0.3">
      <c r="A527" t="s">
        <v>974</v>
      </c>
      <c r="B527" s="1">
        <v>45837</v>
      </c>
      <c r="C527" t="s">
        <v>30</v>
      </c>
      <c r="D527" t="s">
        <v>352</v>
      </c>
      <c r="E527">
        <v>1</v>
      </c>
    </row>
    <row r="528" spans="1:5" x14ac:dyDescent="0.3">
      <c r="A528" t="s">
        <v>975</v>
      </c>
      <c r="B528" s="1">
        <v>45681</v>
      </c>
      <c r="C528" t="s">
        <v>152</v>
      </c>
      <c r="D528" t="s">
        <v>406</v>
      </c>
      <c r="E528">
        <v>5</v>
      </c>
    </row>
    <row r="529" spans="1:5" x14ac:dyDescent="0.3">
      <c r="A529" t="s">
        <v>976</v>
      </c>
      <c r="B529" s="1">
        <v>45661</v>
      </c>
      <c r="C529" t="s">
        <v>273</v>
      </c>
      <c r="D529" t="s">
        <v>440</v>
      </c>
      <c r="E529">
        <v>2</v>
      </c>
    </row>
    <row r="530" spans="1:5" x14ac:dyDescent="0.3">
      <c r="A530" t="s">
        <v>977</v>
      </c>
      <c r="B530" s="1">
        <v>45761</v>
      </c>
      <c r="C530" t="s">
        <v>70</v>
      </c>
      <c r="D530" t="s">
        <v>409</v>
      </c>
      <c r="E530">
        <v>4</v>
      </c>
    </row>
    <row r="531" spans="1:5" x14ac:dyDescent="0.3">
      <c r="A531" t="s">
        <v>978</v>
      </c>
      <c r="B531" s="1">
        <v>45931</v>
      </c>
      <c r="C531" t="s">
        <v>317</v>
      </c>
      <c r="D531" t="s">
        <v>435</v>
      </c>
      <c r="E531">
        <v>2</v>
      </c>
    </row>
    <row r="532" spans="1:5" x14ac:dyDescent="0.3">
      <c r="A532" t="s">
        <v>979</v>
      </c>
      <c r="B532" s="1">
        <v>45721</v>
      </c>
      <c r="C532" t="s">
        <v>251</v>
      </c>
      <c r="D532" t="s">
        <v>413</v>
      </c>
      <c r="E532">
        <v>3</v>
      </c>
    </row>
    <row r="533" spans="1:5" x14ac:dyDescent="0.3">
      <c r="A533" t="s">
        <v>980</v>
      </c>
      <c r="B533" s="1">
        <v>45843</v>
      </c>
      <c r="C533" t="s">
        <v>283</v>
      </c>
      <c r="D533" t="s">
        <v>369</v>
      </c>
      <c r="E533">
        <v>2</v>
      </c>
    </row>
    <row r="534" spans="1:5" x14ac:dyDescent="0.3">
      <c r="A534" t="s">
        <v>981</v>
      </c>
      <c r="B534" s="1">
        <v>45802</v>
      </c>
      <c r="C534" t="s">
        <v>459</v>
      </c>
      <c r="D534" t="s">
        <v>425</v>
      </c>
      <c r="E534">
        <v>5</v>
      </c>
    </row>
    <row r="535" spans="1:5" x14ac:dyDescent="0.3">
      <c r="A535" t="s">
        <v>982</v>
      </c>
      <c r="B535" s="1">
        <v>45828</v>
      </c>
      <c r="C535" t="s">
        <v>161</v>
      </c>
      <c r="D535" t="s">
        <v>417</v>
      </c>
      <c r="E535">
        <v>4</v>
      </c>
    </row>
    <row r="536" spans="1:5" x14ac:dyDescent="0.3">
      <c r="A536" t="s">
        <v>983</v>
      </c>
      <c r="B536" s="1">
        <v>45695</v>
      </c>
      <c r="C536" t="s">
        <v>156</v>
      </c>
      <c r="D536" t="s">
        <v>439</v>
      </c>
      <c r="E536">
        <v>4</v>
      </c>
    </row>
    <row r="537" spans="1:5" x14ac:dyDescent="0.3">
      <c r="A537" t="s">
        <v>984</v>
      </c>
      <c r="B537" s="1">
        <v>45681</v>
      </c>
      <c r="C537" t="s">
        <v>18</v>
      </c>
      <c r="D537" t="s">
        <v>443</v>
      </c>
      <c r="E537">
        <v>1</v>
      </c>
    </row>
    <row r="538" spans="1:5" x14ac:dyDescent="0.3">
      <c r="A538" t="s">
        <v>985</v>
      </c>
      <c r="B538" s="1">
        <v>45932</v>
      </c>
      <c r="C538" t="s">
        <v>153</v>
      </c>
      <c r="D538" t="s">
        <v>429</v>
      </c>
      <c r="E538">
        <v>3</v>
      </c>
    </row>
    <row r="539" spans="1:5" x14ac:dyDescent="0.3">
      <c r="A539" t="s">
        <v>986</v>
      </c>
      <c r="B539" s="1">
        <v>45988</v>
      </c>
      <c r="C539" t="s">
        <v>241</v>
      </c>
      <c r="D539" t="s">
        <v>412</v>
      </c>
      <c r="E539">
        <v>1</v>
      </c>
    </row>
    <row r="540" spans="1:5" x14ac:dyDescent="0.3">
      <c r="A540" t="s">
        <v>987</v>
      </c>
      <c r="B540" s="1">
        <v>45822</v>
      </c>
      <c r="C540" t="s">
        <v>173</v>
      </c>
      <c r="D540" t="s">
        <v>435</v>
      </c>
      <c r="E540">
        <v>1</v>
      </c>
    </row>
    <row r="541" spans="1:5" x14ac:dyDescent="0.3">
      <c r="A541" t="s">
        <v>988</v>
      </c>
      <c r="B541" s="1">
        <v>45905</v>
      </c>
      <c r="C541" t="s">
        <v>290</v>
      </c>
      <c r="D541" t="s">
        <v>434</v>
      </c>
      <c r="E541">
        <v>5</v>
      </c>
    </row>
    <row r="542" spans="1:5" x14ac:dyDescent="0.3">
      <c r="A542" t="s">
        <v>989</v>
      </c>
      <c r="B542" s="1">
        <v>45712</v>
      </c>
      <c r="C542" t="s">
        <v>40</v>
      </c>
      <c r="D542" t="s">
        <v>418</v>
      </c>
      <c r="E542">
        <v>5</v>
      </c>
    </row>
    <row r="543" spans="1:5" x14ac:dyDescent="0.3">
      <c r="A543" t="s">
        <v>990</v>
      </c>
      <c r="B543" s="1">
        <v>45766</v>
      </c>
      <c r="C543" t="s">
        <v>284</v>
      </c>
      <c r="D543" t="s">
        <v>416</v>
      </c>
      <c r="E543">
        <v>3</v>
      </c>
    </row>
    <row r="544" spans="1:5" x14ac:dyDescent="0.3">
      <c r="A544" t="s">
        <v>991</v>
      </c>
      <c r="B544" s="1">
        <v>45832</v>
      </c>
      <c r="C544" t="s">
        <v>182</v>
      </c>
      <c r="D544" t="s">
        <v>394</v>
      </c>
      <c r="E544">
        <v>2</v>
      </c>
    </row>
    <row r="545" spans="1:5" x14ac:dyDescent="0.3">
      <c r="A545" t="s">
        <v>992</v>
      </c>
      <c r="B545" s="1">
        <v>45851</v>
      </c>
      <c r="C545" t="s">
        <v>80</v>
      </c>
      <c r="D545" t="s">
        <v>379</v>
      </c>
      <c r="E545">
        <v>5</v>
      </c>
    </row>
    <row r="546" spans="1:5" x14ac:dyDescent="0.3">
      <c r="A546" t="s">
        <v>993</v>
      </c>
      <c r="B546" s="1">
        <v>45952</v>
      </c>
      <c r="C546" t="s">
        <v>247</v>
      </c>
      <c r="D546" t="s">
        <v>351</v>
      </c>
      <c r="E546">
        <v>4</v>
      </c>
    </row>
    <row r="547" spans="1:5" x14ac:dyDescent="0.3">
      <c r="A547" t="s">
        <v>994</v>
      </c>
      <c r="B547" s="1">
        <v>45765</v>
      </c>
      <c r="C547" t="s">
        <v>58</v>
      </c>
      <c r="D547" t="s">
        <v>398</v>
      </c>
      <c r="E547">
        <v>3</v>
      </c>
    </row>
    <row r="548" spans="1:5" x14ac:dyDescent="0.3">
      <c r="A548" t="s">
        <v>995</v>
      </c>
      <c r="B548" s="1">
        <v>45879</v>
      </c>
      <c r="C548" t="s">
        <v>51</v>
      </c>
      <c r="D548" t="s">
        <v>386</v>
      </c>
      <c r="E548">
        <v>4</v>
      </c>
    </row>
    <row r="549" spans="1:5" x14ac:dyDescent="0.3">
      <c r="A549" t="s">
        <v>996</v>
      </c>
      <c r="B549" s="1">
        <v>45896</v>
      </c>
      <c r="C549" t="s">
        <v>145</v>
      </c>
      <c r="D549" t="s">
        <v>402</v>
      </c>
      <c r="E549">
        <v>3</v>
      </c>
    </row>
    <row r="550" spans="1:5" x14ac:dyDescent="0.3">
      <c r="A550" t="s">
        <v>997</v>
      </c>
      <c r="B550" s="1">
        <v>46009</v>
      </c>
      <c r="C550" t="s">
        <v>177</v>
      </c>
      <c r="D550" t="s">
        <v>416</v>
      </c>
      <c r="E550">
        <v>2</v>
      </c>
    </row>
    <row r="551" spans="1:5" x14ac:dyDescent="0.3">
      <c r="A551" t="s">
        <v>998</v>
      </c>
      <c r="B551" s="1">
        <v>45720</v>
      </c>
      <c r="C551" t="s">
        <v>164</v>
      </c>
      <c r="D551" t="s">
        <v>364</v>
      </c>
      <c r="E551">
        <v>3</v>
      </c>
    </row>
    <row r="552" spans="1:5" x14ac:dyDescent="0.3">
      <c r="A552" t="s">
        <v>999</v>
      </c>
      <c r="B552" s="1">
        <v>46006</v>
      </c>
      <c r="C552" t="s">
        <v>156</v>
      </c>
      <c r="D552" t="s">
        <v>363</v>
      </c>
      <c r="E552">
        <v>4</v>
      </c>
    </row>
    <row r="553" spans="1:5" x14ac:dyDescent="0.3">
      <c r="A553" t="s">
        <v>1000</v>
      </c>
      <c r="B553" s="1">
        <v>45794</v>
      </c>
      <c r="C553" t="s">
        <v>127</v>
      </c>
      <c r="D553" t="s">
        <v>402</v>
      </c>
      <c r="E553">
        <v>2</v>
      </c>
    </row>
    <row r="554" spans="1:5" x14ac:dyDescent="0.3">
      <c r="A554" t="s">
        <v>1001</v>
      </c>
      <c r="B554" s="1">
        <v>45688</v>
      </c>
      <c r="C554" t="s">
        <v>30</v>
      </c>
      <c r="D554" t="s">
        <v>422</v>
      </c>
      <c r="E554">
        <v>2</v>
      </c>
    </row>
    <row r="555" spans="1:5" x14ac:dyDescent="0.3">
      <c r="A555" t="s">
        <v>1002</v>
      </c>
      <c r="B555" s="1">
        <v>45731</v>
      </c>
      <c r="C555" t="s">
        <v>148</v>
      </c>
      <c r="D555" t="s">
        <v>375</v>
      </c>
      <c r="E555">
        <v>2</v>
      </c>
    </row>
    <row r="556" spans="1:5" x14ac:dyDescent="0.3">
      <c r="A556" t="s">
        <v>1003</v>
      </c>
      <c r="B556" s="1">
        <v>45930</v>
      </c>
      <c r="C556" t="s">
        <v>163</v>
      </c>
      <c r="D556" t="s">
        <v>339</v>
      </c>
      <c r="E556">
        <v>2</v>
      </c>
    </row>
    <row r="557" spans="1:5" x14ac:dyDescent="0.3">
      <c r="A557" t="s">
        <v>1004</v>
      </c>
      <c r="B557" s="1">
        <v>45698</v>
      </c>
      <c r="C557" t="s">
        <v>294</v>
      </c>
      <c r="D557" t="s">
        <v>384</v>
      </c>
      <c r="E557">
        <v>5</v>
      </c>
    </row>
    <row r="558" spans="1:5" x14ac:dyDescent="0.3">
      <c r="A558" t="s">
        <v>1005</v>
      </c>
      <c r="B558" s="1">
        <v>45850</v>
      </c>
      <c r="C558" t="s">
        <v>92</v>
      </c>
      <c r="D558" t="s">
        <v>352</v>
      </c>
      <c r="E558">
        <v>1</v>
      </c>
    </row>
    <row r="559" spans="1:5" x14ac:dyDescent="0.3">
      <c r="A559" t="s">
        <v>1006</v>
      </c>
      <c r="B559" s="1">
        <v>45937</v>
      </c>
      <c r="C559" t="s">
        <v>42</v>
      </c>
      <c r="D559" t="s">
        <v>425</v>
      </c>
      <c r="E559">
        <v>1</v>
      </c>
    </row>
    <row r="560" spans="1:5" x14ac:dyDescent="0.3">
      <c r="A560" t="s">
        <v>1007</v>
      </c>
      <c r="B560" s="1">
        <v>45730</v>
      </c>
      <c r="C560" t="s">
        <v>84</v>
      </c>
      <c r="D560" t="s">
        <v>331</v>
      </c>
      <c r="E560">
        <v>4</v>
      </c>
    </row>
    <row r="561" spans="1:5" x14ac:dyDescent="0.3">
      <c r="A561" t="s">
        <v>1008</v>
      </c>
      <c r="B561" s="1">
        <v>45667</v>
      </c>
      <c r="C561" t="s">
        <v>172</v>
      </c>
      <c r="D561" t="s">
        <v>406</v>
      </c>
      <c r="E561">
        <v>5</v>
      </c>
    </row>
    <row r="562" spans="1:5" x14ac:dyDescent="0.3">
      <c r="A562" t="s">
        <v>1009</v>
      </c>
      <c r="B562" s="1">
        <v>45805</v>
      </c>
      <c r="C562" t="s">
        <v>291</v>
      </c>
      <c r="D562" t="s">
        <v>351</v>
      </c>
      <c r="E562">
        <v>5</v>
      </c>
    </row>
    <row r="563" spans="1:5" x14ac:dyDescent="0.3">
      <c r="A563" t="s">
        <v>1010</v>
      </c>
      <c r="B563" s="1">
        <v>45814</v>
      </c>
      <c r="C563" t="s">
        <v>77</v>
      </c>
      <c r="D563" t="s">
        <v>397</v>
      </c>
      <c r="E563">
        <v>2</v>
      </c>
    </row>
    <row r="564" spans="1:5" x14ac:dyDescent="0.3">
      <c r="A564" t="s">
        <v>1011</v>
      </c>
      <c r="B564" s="1">
        <v>45913</v>
      </c>
      <c r="C564" t="s">
        <v>62</v>
      </c>
      <c r="D564" t="s">
        <v>443</v>
      </c>
      <c r="E564">
        <v>5</v>
      </c>
    </row>
    <row r="565" spans="1:5" x14ac:dyDescent="0.3">
      <c r="A565" t="s">
        <v>1012</v>
      </c>
      <c r="B565" s="1">
        <v>45986</v>
      </c>
      <c r="C565" t="s">
        <v>177</v>
      </c>
      <c r="D565" t="s">
        <v>433</v>
      </c>
      <c r="E565">
        <v>5</v>
      </c>
    </row>
    <row r="566" spans="1:5" x14ac:dyDescent="0.3">
      <c r="A566" t="s">
        <v>1013</v>
      </c>
      <c r="B566" s="1">
        <v>45770</v>
      </c>
      <c r="C566" t="s">
        <v>226</v>
      </c>
      <c r="D566" t="s">
        <v>367</v>
      </c>
      <c r="E566">
        <v>1</v>
      </c>
    </row>
    <row r="567" spans="1:5" x14ac:dyDescent="0.3">
      <c r="A567" t="s">
        <v>1014</v>
      </c>
      <c r="B567" s="1">
        <v>45714</v>
      </c>
      <c r="C567" t="s">
        <v>117</v>
      </c>
      <c r="D567" t="s">
        <v>366</v>
      </c>
      <c r="E567">
        <v>5</v>
      </c>
    </row>
    <row r="568" spans="1:5" x14ac:dyDescent="0.3">
      <c r="A568" t="s">
        <v>1015</v>
      </c>
      <c r="B568" s="1">
        <v>45658</v>
      </c>
      <c r="C568" t="s">
        <v>133</v>
      </c>
      <c r="D568" t="s">
        <v>347</v>
      </c>
      <c r="E568">
        <v>4</v>
      </c>
    </row>
    <row r="569" spans="1:5" x14ac:dyDescent="0.3">
      <c r="A569" t="s">
        <v>1016</v>
      </c>
      <c r="B569" s="1">
        <v>46002</v>
      </c>
      <c r="C569" t="s">
        <v>270</v>
      </c>
      <c r="D569" t="s">
        <v>442</v>
      </c>
      <c r="E569">
        <v>3</v>
      </c>
    </row>
    <row r="570" spans="1:5" x14ac:dyDescent="0.3">
      <c r="A570" t="s">
        <v>1017</v>
      </c>
      <c r="B570" s="1">
        <v>45939</v>
      </c>
      <c r="C570" t="s">
        <v>229</v>
      </c>
      <c r="D570" t="s">
        <v>381</v>
      </c>
      <c r="E570">
        <v>4</v>
      </c>
    </row>
    <row r="571" spans="1:5" x14ac:dyDescent="0.3">
      <c r="A571" t="s">
        <v>1018</v>
      </c>
      <c r="B571" s="1">
        <v>45879</v>
      </c>
      <c r="C571" t="s">
        <v>314</v>
      </c>
      <c r="D571" t="s">
        <v>338</v>
      </c>
      <c r="E571">
        <v>2</v>
      </c>
    </row>
    <row r="572" spans="1:5" x14ac:dyDescent="0.3">
      <c r="A572" t="s">
        <v>1019</v>
      </c>
      <c r="B572" s="1">
        <v>45848</v>
      </c>
      <c r="C572" t="s">
        <v>284</v>
      </c>
      <c r="D572" t="s">
        <v>437</v>
      </c>
      <c r="E572">
        <v>3</v>
      </c>
    </row>
    <row r="573" spans="1:5" x14ac:dyDescent="0.3">
      <c r="A573" t="s">
        <v>1020</v>
      </c>
      <c r="B573" s="1">
        <v>45698</v>
      </c>
      <c r="C573" t="s">
        <v>291</v>
      </c>
      <c r="D573" t="s">
        <v>347</v>
      </c>
      <c r="E573">
        <v>5</v>
      </c>
    </row>
    <row r="574" spans="1:5" x14ac:dyDescent="0.3">
      <c r="A574" t="s">
        <v>1021</v>
      </c>
      <c r="B574" s="1">
        <v>45779</v>
      </c>
      <c r="C574" t="s">
        <v>123</v>
      </c>
      <c r="D574" t="s">
        <v>438</v>
      </c>
      <c r="E574">
        <v>3</v>
      </c>
    </row>
    <row r="575" spans="1:5" x14ac:dyDescent="0.3">
      <c r="A575" t="s">
        <v>1022</v>
      </c>
      <c r="B575" s="1">
        <v>45721</v>
      </c>
      <c r="C575" t="s">
        <v>272</v>
      </c>
      <c r="D575" t="s">
        <v>385</v>
      </c>
      <c r="E575">
        <v>1</v>
      </c>
    </row>
    <row r="576" spans="1:5" x14ac:dyDescent="0.3">
      <c r="A576" t="s">
        <v>1023</v>
      </c>
      <c r="B576" s="1">
        <v>45722</v>
      </c>
      <c r="C576" t="s">
        <v>196</v>
      </c>
      <c r="D576" t="s">
        <v>417</v>
      </c>
      <c r="E576">
        <v>4</v>
      </c>
    </row>
    <row r="577" spans="1:5" x14ac:dyDescent="0.3">
      <c r="A577" t="s">
        <v>1024</v>
      </c>
      <c r="B577" s="1">
        <v>45868</v>
      </c>
      <c r="C577" t="s">
        <v>171</v>
      </c>
      <c r="D577" t="s">
        <v>365</v>
      </c>
      <c r="E577">
        <v>3</v>
      </c>
    </row>
    <row r="578" spans="1:5" x14ac:dyDescent="0.3">
      <c r="A578" t="s">
        <v>1025</v>
      </c>
      <c r="B578" s="1">
        <v>45789</v>
      </c>
      <c r="C578" t="s">
        <v>257</v>
      </c>
      <c r="D578" t="s">
        <v>423</v>
      </c>
      <c r="E578">
        <v>4</v>
      </c>
    </row>
    <row r="579" spans="1:5" x14ac:dyDescent="0.3">
      <c r="A579" t="s">
        <v>1026</v>
      </c>
      <c r="B579" s="1">
        <v>45888</v>
      </c>
      <c r="C579" t="s">
        <v>202</v>
      </c>
      <c r="D579" t="s">
        <v>394</v>
      </c>
      <c r="E579">
        <v>5</v>
      </c>
    </row>
    <row r="580" spans="1:5" x14ac:dyDescent="0.3">
      <c r="A580" t="s">
        <v>1027</v>
      </c>
      <c r="B580" s="1">
        <v>45840</v>
      </c>
      <c r="C580" t="s">
        <v>75</v>
      </c>
      <c r="D580" t="s">
        <v>443</v>
      </c>
      <c r="E580">
        <v>2</v>
      </c>
    </row>
    <row r="581" spans="1:5" x14ac:dyDescent="0.3">
      <c r="A581" t="s">
        <v>1028</v>
      </c>
      <c r="B581" s="1">
        <v>45959</v>
      </c>
      <c r="C581" t="s">
        <v>93</v>
      </c>
      <c r="D581" t="s">
        <v>328</v>
      </c>
      <c r="E581">
        <v>4</v>
      </c>
    </row>
    <row r="582" spans="1:5" x14ac:dyDescent="0.3">
      <c r="A582" t="s">
        <v>1029</v>
      </c>
      <c r="B582" s="1">
        <v>45791</v>
      </c>
      <c r="C582" t="s">
        <v>202</v>
      </c>
      <c r="D582" t="s">
        <v>385</v>
      </c>
      <c r="E582">
        <v>3</v>
      </c>
    </row>
    <row r="583" spans="1:5" x14ac:dyDescent="0.3">
      <c r="A583" t="s">
        <v>1030</v>
      </c>
      <c r="B583" s="1">
        <v>45886</v>
      </c>
      <c r="C583" t="s">
        <v>98</v>
      </c>
      <c r="D583" t="s">
        <v>385</v>
      </c>
      <c r="E583">
        <v>5</v>
      </c>
    </row>
    <row r="584" spans="1:5" x14ac:dyDescent="0.3">
      <c r="A584" t="s">
        <v>1031</v>
      </c>
      <c r="B584" s="1">
        <v>45882</v>
      </c>
      <c r="C584" t="s">
        <v>265</v>
      </c>
      <c r="D584" t="s">
        <v>435</v>
      </c>
      <c r="E584">
        <v>5</v>
      </c>
    </row>
    <row r="585" spans="1:5" x14ac:dyDescent="0.3">
      <c r="A585" t="s">
        <v>1032</v>
      </c>
      <c r="B585" s="1">
        <v>45662</v>
      </c>
      <c r="C585" t="s">
        <v>104</v>
      </c>
      <c r="D585" t="s">
        <v>375</v>
      </c>
      <c r="E585">
        <v>5</v>
      </c>
    </row>
    <row r="586" spans="1:5" x14ac:dyDescent="0.3">
      <c r="A586" t="s">
        <v>1033</v>
      </c>
      <c r="B586" s="1">
        <v>45839</v>
      </c>
      <c r="C586" t="s">
        <v>459</v>
      </c>
      <c r="D586" t="s">
        <v>371</v>
      </c>
      <c r="E586">
        <v>3</v>
      </c>
    </row>
    <row r="587" spans="1:5" x14ac:dyDescent="0.3">
      <c r="A587" t="s">
        <v>1034</v>
      </c>
      <c r="B587" s="1">
        <v>45683</v>
      </c>
      <c r="C587" t="s">
        <v>322</v>
      </c>
      <c r="D587" t="s">
        <v>345</v>
      </c>
      <c r="E587">
        <v>1</v>
      </c>
    </row>
    <row r="588" spans="1:5" x14ac:dyDescent="0.3">
      <c r="A588" t="s">
        <v>1035</v>
      </c>
      <c r="B588" s="1">
        <v>45913</v>
      </c>
      <c r="C588" t="s">
        <v>170</v>
      </c>
      <c r="D588" t="s">
        <v>377</v>
      </c>
      <c r="E588">
        <v>4</v>
      </c>
    </row>
    <row r="589" spans="1:5" x14ac:dyDescent="0.3">
      <c r="A589" t="s">
        <v>1036</v>
      </c>
      <c r="B589" s="1">
        <v>45840</v>
      </c>
      <c r="C589" t="s">
        <v>120</v>
      </c>
      <c r="D589" t="s">
        <v>388</v>
      </c>
      <c r="E589">
        <v>1</v>
      </c>
    </row>
    <row r="590" spans="1:5" x14ac:dyDescent="0.3">
      <c r="A590" t="s">
        <v>1037</v>
      </c>
      <c r="B590" s="1">
        <v>45730</v>
      </c>
      <c r="C590" t="s">
        <v>144</v>
      </c>
      <c r="D590" t="s">
        <v>402</v>
      </c>
      <c r="E590">
        <v>3</v>
      </c>
    </row>
    <row r="591" spans="1:5" x14ac:dyDescent="0.3">
      <c r="A591" t="s">
        <v>1038</v>
      </c>
      <c r="B591" s="1">
        <v>45816</v>
      </c>
      <c r="C591" t="s">
        <v>254</v>
      </c>
      <c r="D591" t="s">
        <v>410</v>
      </c>
      <c r="E591">
        <v>4</v>
      </c>
    </row>
    <row r="592" spans="1:5" x14ac:dyDescent="0.3">
      <c r="A592" t="s">
        <v>1039</v>
      </c>
      <c r="B592" s="1">
        <v>45658</v>
      </c>
      <c r="C592" t="s">
        <v>134</v>
      </c>
      <c r="D592" t="s">
        <v>436</v>
      </c>
      <c r="E592">
        <v>5</v>
      </c>
    </row>
    <row r="593" spans="1:5" x14ac:dyDescent="0.3">
      <c r="A593" t="s">
        <v>1040</v>
      </c>
      <c r="B593" s="1">
        <v>45991</v>
      </c>
      <c r="C593" t="s">
        <v>76</v>
      </c>
      <c r="D593" t="s">
        <v>398</v>
      </c>
      <c r="E593">
        <v>5</v>
      </c>
    </row>
    <row r="594" spans="1:5" x14ac:dyDescent="0.3">
      <c r="A594" t="s">
        <v>1041</v>
      </c>
      <c r="B594" s="1">
        <v>45974</v>
      </c>
      <c r="C594" t="s">
        <v>9</v>
      </c>
      <c r="D594" t="s">
        <v>347</v>
      </c>
      <c r="E594">
        <v>5</v>
      </c>
    </row>
    <row r="595" spans="1:5" x14ac:dyDescent="0.3">
      <c r="A595" t="s">
        <v>1042</v>
      </c>
      <c r="B595" s="1">
        <v>45904</v>
      </c>
      <c r="C595" t="s">
        <v>273</v>
      </c>
      <c r="D595" t="s">
        <v>345</v>
      </c>
      <c r="E595">
        <v>4</v>
      </c>
    </row>
    <row r="596" spans="1:5" x14ac:dyDescent="0.3">
      <c r="A596" t="s">
        <v>1043</v>
      </c>
      <c r="B596" s="1">
        <v>45988</v>
      </c>
      <c r="C596" t="s">
        <v>113</v>
      </c>
      <c r="D596" t="s">
        <v>437</v>
      </c>
      <c r="E596">
        <v>4</v>
      </c>
    </row>
    <row r="597" spans="1:5" x14ac:dyDescent="0.3">
      <c r="A597" t="s">
        <v>1044</v>
      </c>
      <c r="B597" s="1">
        <v>45986</v>
      </c>
      <c r="C597" t="s">
        <v>299</v>
      </c>
      <c r="D597" t="s">
        <v>328</v>
      </c>
      <c r="E597">
        <v>5</v>
      </c>
    </row>
    <row r="598" spans="1:5" x14ac:dyDescent="0.3">
      <c r="A598" t="s">
        <v>1045</v>
      </c>
      <c r="B598" s="1">
        <v>45672</v>
      </c>
      <c r="C598" t="s">
        <v>214</v>
      </c>
      <c r="D598" t="s">
        <v>391</v>
      </c>
      <c r="E598">
        <v>2</v>
      </c>
    </row>
    <row r="599" spans="1:5" x14ac:dyDescent="0.3">
      <c r="A599" t="s">
        <v>1046</v>
      </c>
      <c r="B599" s="1">
        <v>45732</v>
      </c>
      <c r="C599" t="s">
        <v>91</v>
      </c>
      <c r="D599" t="s">
        <v>348</v>
      </c>
      <c r="E599">
        <v>2</v>
      </c>
    </row>
    <row r="600" spans="1:5" x14ac:dyDescent="0.3">
      <c r="A600" t="s">
        <v>1047</v>
      </c>
      <c r="B600" s="1">
        <v>45923</v>
      </c>
      <c r="C600" t="s">
        <v>134</v>
      </c>
      <c r="D600" t="s">
        <v>437</v>
      </c>
      <c r="E600">
        <v>4</v>
      </c>
    </row>
    <row r="601" spans="1:5" x14ac:dyDescent="0.3">
      <c r="A601" t="s">
        <v>1048</v>
      </c>
      <c r="B601" s="1">
        <v>45838</v>
      </c>
      <c r="C601" t="s">
        <v>248</v>
      </c>
      <c r="D601" t="s">
        <v>434</v>
      </c>
      <c r="E601">
        <v>5</v>
      </c>
    </row>
    <row r="602" spans="1:5" x14ac:dyDescent="0.3">
      <c r="A602" t="s">
        <v>1049</v>
      </c>
      <c r="B602" s="1">
        <v>46006</v>
      </c>
      <c r="C602" t="s">
        <v>176</v>
      </c>
      <c r="D602" t="s">
        <v>376</v>
      </c>
      <c r="E602">
        <v>4</v>
      </c>
    </row>
    <row r="603" spans="1:5" x14ac:dyDescent="0.3">
      <c r="A603" t="s">
        <v>1050</v>
      </c>
      <c r="B603" s="1">
        <v>46020</v>
      </c>
      <c r="C603" t="s">
        <v>204</v>
      </c>
      <c r="D603" t="s">
        <v>440</v>
      </c>
      <c r="E603">
        <v>2</v>
      </c>
    </row>
    <row r="604" spans="1:5" x14ac:dyDescent="0.3">
      <c r="A604" t="s">
        <v>1051</v>
      </c>
      <c r="B604" s="1">
        <v>45874</v>
      </c>
      <c r="C604" t="s">
        <v>120</v>
      </c>
      <c r="D604" t="s">
        <v>439</v>
      </c>
      <c r="E604">
        <v>2</v>
      </c>
    </row>
    <row r="605" spans="1:5" x14ac:dyDescent="0.3">
      <c r="A605" t="s">
        <v>1052</v>
      </c>
      <c r="B605" s="1">
        <v>45682</v>
      </c>
      <c r="C605" t="s">
        <v>224</v>
      </c>
      <c r="D605" t="s">
        <v>380</v>
      </c>
      <c r="E605">
        <v>1</v>
      </c>
    </row>
    <row r="606" spans="1:5" x14ac:dyDescent="0.3">
      <c r="A606" t="s">
        <v>1053</v>
      </c>
      <c r="B606" s="1">
        <v>45704</v>
      </c>
      <c r="C606" t="s">
        <v>284</v>
      </c>
      <c r="D606" t="s">
        <v>437</v>
      </c>
      <c r="E606">
        <v>4</v>
      </c>
    </row>
    <row r="607" spans="1:5" x14ac:dyDescent="0.3">
      <c r="A607" t="s">
        <v>1054</v>
      </c>
      <c r="B607" s="1">
        <v>45917</v>
      </c>
      <c r="C607" t="s">
        <v>41</v>
      </c>
      <c r="D607" t="s">
        <v>371</v>
      </c>
      <c r="E607">
        <v>1</v>
      </c>
    </row>
    <row r="608" spans="1:5" x14ac:dyDescent="0.3">
      <c r="A608" t="s">
        <v>1055</v>
      </c>
      <c r="B608" s="1">
        <v>45967</v>
      </c>
      <c r="C608" t="s">
        <v>305</v>
      </c>
      <c r="D608" t="s">
        <v>399</v>
      </c>
      <c r="E608">
        <v>4</v>
      </c>
    </row>
    <row r="609" spans="1:5" x14ac:dyDescent="0.3">
      <c r="A609" t="s">
        <v>1056</v>
      </c>
      <c r="B609" s="1">
        <v>45918</v>
      </c>
      <c r="C609" t="s">
        <v>189</v>
      </c>
      <c r="D609" t="s">
        <v>359</v>
      </c>
      <c r="E609">
        <v>1</v>
      </c>
    </row>
    <row r="610" spans="1:5" x14ac:dyDescent="0.3">
      <c r="A610" t="s">
        <v>1057</v>
      </c>
      <c r="B610" s="1">
        <v>45803</v>
      </c>
      <c r="C610" t="s">
        <v>74</v>
      </c>
      <c r="D610" t="s">
        <v>427</v>
      </c>
      <c r="E610">
        <v>5</v>
      </c>
    </row>
    <row r="611" spans="1:5" x14ac:dyDescent="0.3">
      <c r="A611" t="s">
        <v>1058</v>
      </c>
      <c r="B611" s="1">
        <v>45798</v>
      </c>
      <c r="C611" t="s">
        <v>188</v>
      </c>
      <c r="D611" t="s">
        <v>409</v>
      </c>
      <c r="E611">
        <v>2</v>
      </c>
    </row>
    <row r="612" spans="1:5" x14ac:dyDescent="0.3">
      <c r="A612" t="s">
        <v>1059</v>
      </c>
      <c r="B612" s="1">
        <v>45969</v>
      </c>
      <c r="C612" t="s">
        <v>223</v>
      </c>
      <c r="D612" t="s">
        <v>437</v>
      </c>
      <c r="E612">
        <v>1</v>
      </c>
    </row>
    <row r="613" spans="1:5" x14ac:dyDescent="0.3">
      <c r="A613" t="s">
        <v>1060</v>
      </c>
      <c r="B613" s="1">
        <v>45804</v>
      </c>
      <c r="C613" t="s">
        <v>23</v>
      </c>
      <c r="D613" t="s">
        <v>406</v>
      </c>
      <c r="E613">
        <v>3</v>
      </c>
    </row>
    <row r="614" spans="1:5" x14ac:dyDescent="0.3">
      <c r="A614" t="s">
        <v>1061</v>
      </c>
      <c r="B614" s="1">
        <v>45963</v>
      </c>
      <c r="C614" t="s">
        <v>304</v>
      </c>
      <c r="D614" t="s">
        <v>418</v>
      </c>
      <c r="E614">
        <v>5</v>
      </c>
    </row>
    <row r="615" spans="1:5" x14ac:dyDescent="0.3">
      <c r="A615" t="s">
        <v>1062</v>
      </c>
      <c r="B615" s="1">
        <v>46017</v>
      </c>
      <c r="C615" t="s">
        <v>237</v>
      </c>
      <c r="D615" t="s">
        <v>349</v>
      </c>
      <c r="E615">
        <v>5</v>
      </c>
    </row>
    <row r="616" spans="1:5" x14ac:dyDescent="0.3">
      <c r="A616" t="s">
        <v>1063</v>
      </c>
      <c r="B616" s="1">
        <v>45948</v>
      </c>
      <c r="C616" t="s">
        <v>81</v>
      </c>
      <c r="D616" t="s">
        <v>339</v>
      </c>
      <c r="E616">
        <v>3</v>
      </c>
    </row>
    <row r="617" spans="1:5" x14ac:dyDescent="0.3">
      <c r="A617" t="s">
        <v>1064</v>
      </c>
      <c r="B617" s="1">
        <v>45965</v>
      </c>
      <c r="C617" t="s">
        <v>102</v>
      </c>
      <c r="D617" t="s">
        <v>421</v>
      </c>
      <c r="E617">
        <v>1</v>
      </c>
    </row>
    <row r="618" spans="1:5" x14ac:dyDescent="0.3">
      <c r="A618" t="s">
        <v>1065</v>
      </c>
      <c r="B618" s="1">
        <v>45940</v>
      </c>
      <c r="C618" t="s">
        <v>321</v>
      </c>
      <c r="D618" t="s">
        <v>426</v>
      </c>
      <c r="E618">
        <v>3</v>
      </c>
    </row>
    <row r="619" spans="1:5" x14ac:dyDescent="0.3">
      <c r="A619" t="s">
        <v>1066</v>
      </c>
      <c r="B619" s="1">
        <v>45950</v>
      </c>
      <c r="C619" t="s">
        <v>459</v>
      </c>
      <c r="D619" t="s">
        <v>440</v>
      </c>
      <c r="E619">
        <v>5</v>
      </c>
    </row>
    <row r="620" spans="1:5" x14ac:dyDescent="0.3">
      <c r="A620" t="s">
        <v>1067</v>
      </c>
      <c r="B620" s="1">
        <v>45831</v>
      </c>
      <c r="C620" t="s">
        <v>314</v>
      </c>
      <c r="D620" t="s">
        <v>425</v>
      </c>
      <c r="E620">
        <v>2</v>
      </c>
    </row>
    <row r="621" spans="1:5" x14ac:dyDescent="0.3">
      <c r="A621" t="s">
        <v>1068</v>
      </c>
      <c r="B621" s="1">
        <v>45874</v>
      </c>
      <c r="C621" t="s">
        <v>78</v>
      </c>
      <c r="D621" t="s">
        <v>408</v>
      </c>
      <c r="E621">
        <v>4</v>
      </c>
    </row>
    <row r="622" spans="1:5" x14ac:dyDescent="0.3">
      <c r="A622" t="s">
        <v>1069</v>
      </c>
      <c r="B622" s="1">
        <v>45781</v>
      </c>
      <c r="C622" t="s">
        <v>254</v>
      </c>
      <c r="D622" t="s">
        <v>418</v>
      </c>
      <c r="E622">
        <v>4</v>
      </c>
    </row>
    <row r="623" spans="1:5" x14ac:dyDescent="0.3">
      <c r="A623" t="s">
        <v>1070</v>
      </c>
      <c r="B623" s="1">
        <v>45688</v>
      </c>
      <c r="C623" t="s">
        <v>231</v>
      </c>
      <c r="D623" t="s">
        <v>408</v>
      </c>
      <c r="E623">
        <v>1</v>
      </c>
    </row>
    <row r="624" spans="1:5" x14ac:dyDescent="0.3">
      <c r="A624" t="s">
        <v>1071</v>
      </c>
      <c r="B624" s="1">
        <v>45773</v>
      </c>
      <c r="C624" t="s">
        <v>145</v>
      </c>
      <c r="D624" t="s">
        <v>423</v>
      </c>
      <c r="E624">
        <v>3</v>
      </c>
    </row>
    <row r="625" spans="1:5" x14ac:dyDescent="0.3">
      <c r="A625" t="s">
        <v>1072</v>
      </c>
      <c r="B625" s="1">
        <v>45905</v>
      </c>
      <c r="C625" t="s">
        <v>112</v>
      </c>
      <c r="D625" t="s">
        <v>393</v>
      </c>
      <c r="E625">
        <v>1</v>
      </c>
    </row>
    <row r="626" spans="1:5" x14ac:dyDescent="0.3">
      <c r="A626" t="s">
        <v>1073</v>
      </c>
      <c r="B626" s="1">
        <v>45814</v>
      </c>
      <c r="C626" t="s">
        <v>138</v>
      </c>
      <c r="D626" t="s">
        <v>413</v>
      </c>
      <c r="E626">
        <v>3</v>
      </c>
    </row>
    <row r="627" spans="1:5" x14ac:dyDescent="0.3">
      <c r="A627" t="s">
        <v>1074</v>
      </c>
      <c r="B627" s="1">
        <v>45827</v>
      </c>
      <c r="C627" t="s">
        <v>264</v>
      </c>
      <c r="D627" t="s">
        <v>336</v>
      </c>
      <c r="E627">
        <v>3</v>
      </c>
    </row>
    <row r="628" spans="1:5" x14ac:dyDescent="0.3">
      <c r="A628" t="s">
        <v>1075</v>
      </c>
      <c r="B628" s="1">
        <v>45878</v>
      </c>
      <c r="C628" t="s">
        <v>268</v>
      </c>
      <c r="D628" t="s">
        <v>440</v>
      </c>
      <c r="E628">
        <v>1</v>
      </c>
    </row>
    <row r="629" spans="1:5" x14ac:dyDescent="0.3">
      <c r="A629" t="s">
        <v>1076</v>
      </c>
      <c r="B629" s="1">
        <v>45809</v>
      </c>
      <c r="C629" t="s">
        <v>268</v>
      </c>
      <c r="D629" t="s">
        <v>413</v>
      </c>
      <c r="E629">
        <v>1</v>
      </c>
    </row>
    <row r="630" spans="1:5" x14ac:dyDescent="0.3">
      <c r="A630" t="s">
        <v>1077</v>
      </c>
      <c r="B630" s="1">
        <v>46017</v>
      </c>
      <c r="C630" t="s">
        <v>109</v>
      </c>
      <c r="D630" t="s">
        <v>442</v>
      </c>
      <c r="E630">
        <v>3</v>
      </c>
    </row>
    <row r="631" spans="1:5" x14ac:dyDescent="0.3">
      <c r="A631" t="s">
        <v>1078</v>
      </c>
      <c r="B631" s="1">
        <v>45962</v>
      </c>
      <c r="C631" t="s">
        <v>92</v>
      </c>
      <c r="D631" t="s">
        <v>432</v>
      </c>
      <c r="E631">
        <v>1</v>
      </c>
    </row>
    <row r="632" spans="1:5" x14ac:dyDescent="0.3">
      <c r="A632" t="s">
        <v>1079</v>
      </c>
      <c r="B632" s="1">
        <v>45754</v>
      </c>
      <c r="C632" t="s">
        <v>64</v>
      </c>
      <c r="D632" t="s">
        <v>391</v>
      </c>
      <c r="E632">
        <v>4</v>
      </c>
    </row>
    <row r="633" spans="1:5" x14ac:dyDescent="0.3">
      <c r="A633" t="s">
        <v>1080</v>
      </c>
      <c r="B633" s="1">
        <v>46014</v>
      </c>
      <c r="C633" t="s">
        <v>152</v>
      </c>
      <c r="D633" t="s">
        <v>375</v>
      </c>
      <c r="E633">
        <v>5</v>
      </c>
    </row>
    <row r="634" spans="1:5" x14ac:dyDescent="0.3">
      <c r="A634" t="s">
        <v>1081</v>
      </c>
      <c r="B634" s="1">
        <v>45978</v>
      </c>
      <c r="C634" t="s">
        <v>223</v>
      </c>
      <c r="D634" t="s">
        <v>365</v>
      </c>
      <c r="E634">
        <v>4</v>
      </c>
    </row>
    <row r="635" spans="1:5" x14ac:dyDescent="0.3">
      <c r="A635" t="s">
        <v>1082</v>
      </c>
      <c r="B635" s="1">
        <v>46002</v>
      </c>
      <c r="C635" t="s">
        <v>138</v>
      </c>
      <c r="D635" t="s">
        <v>390</v>
      </c>
      <c r="E635">
        <v>4</v>
      </c>
    </row>
    <row r="636" spans="1:5" x14ac:dyDescent="0.3">
      <c r="A636" t="s">
        <v>1083</v>
      </c>
      <c r="B636" s="1">
        <v>45778</v>
      </c>
      <c r="C636" t="s">
        <v>50</v>
      </c>
      <c r="D636" t="s">
        <v>336</v>
      </c>
      <c r="E636">
        <v>3</v>
      </c>
    </row>
    <row r="637" spans="1:5" x14ac:dyDescent="0.3">
      <c r="A637" t="s">
        <v>1084</v>
      </c>
      <c r="B637" s="1">
        <v>45799</v>
      </c>
      <c r="C637" t="s">
        <v>55</v>
      </c>
      <c r="D637" t="s">
        <v>364</v>
      </c>
      <c r="E637">
        <v>3</v>
      </c>
    </row>
    <row r="638" spans="1:5" x14ac:dyDescent="0.3">
      <c r="A638" t="s">
        <v>1085</v>
      </c>
      <c r="B638" s="1">
        <v>45914</v>
      </c>
      <c r="C638" t="s">
        <v>202</v>
      </c>
      <c r="D638" t="s">
        <v>402</v>
      </c>
      <c r="E638">
        <v>2</v>
      </c>
    </row>
    <row r="639" spans="1:5" x14ac:dyDescent="0.3">
      <c r="A639" t="s">
        <v>1086</v>
      </c>
      <c r="B639" s="1">
        <v>46003</v>
      </c>
      <c r="C639" t="s">
        <v>221</v>
      </c>
      <c r="D639" t="s">
        <v>402</v>
      </c>
      <c r="E639">
        <v>3</v>
      </c>
    </row>
    <row r="640" spans="1:5" x14ac:dyDescent="0.3">
      <c r="A640" t="s">
        <v>1087</v>
      </c>
      <c r="B640" s="1">
        <v>45963</v>
      </c>
      <c r="C640" t="s">
        <v>213</v>
      </c>
      <c r="D640" t="s">
        <v>436</v>
      </c>
      <c r="E640">
        <v>2</v>
      </c>
    </row>
    <row r="641" spans="1:5" x14ac:dyDescent="0.3">
      <c r="A641" t="s">
        <v>1088</v>
      </c>
      <c r="B641" s="1">
        <v>45719</v>
      </c>
      <c r="C641" t="s">
        <v>155</v>
      </c>
      <c r="D641" t="s">
        <v>336</v>
      </c>
      <c r="E641">
        <v>3</v>
      </c>
    </row>
    <row r="642" spans="1:5" x14ac:dyDescent="0.3">
      <c r="A642" t="s">
        <v>1089</v>
      </c>
      <c r="B642" s="1">
        <v>45662</v>
      </c>
      <c r="C642" t="s">
        <v>89</v>
      </c>
      <c r="D642" t="s">
        <v>377</v>
      </c>
      <c r="E642">
        <v>3</v>
      </c>
    </row>
    <row r="643" spans="1:5" x14ac:dyDescent="0.3">
      <c r="A643" t="s">
        <v>1090</v>
      </c>
      <c r="B643" s="1">
        <v>45825</v>
      </c>
      <c r="C643" t="s">
        <v>33</v>
      </c>
      <c r="D643" t="s">
        <v>395</v>
      </c>
      <c r="E643">
        <v>2</v>
      </c>
    </row>
    <row r="644" spans="1:5" x14ac:dyDescent="0.3">
      <c r="A644" t="s">
        <v>1091</v>
      </c>
      <c r="B644" s="1">
        <v>45855</v>
      </c>
      <c r="C644" t="s">
        <v>116</v>
      </c>
      <c r="D644" t="s">
        <v>420</v>
      </c>
      <c r="E644">
        <v>5</v>
      </c>
    </row>
    <row r="645" spans="1:5" x14ac:dyDescent="0.3">
      <c r="A645" t="s">
        <v>1092</v>
      </c>
      <c r="B645" s="1">
        <v>45879</v>
      </c>
      <c r="C645" t="s">
        <v>156</v>
      </c>
      <c r="D645" t="s">
        <v>389</v>
      </c>
      <c r="E645">
        <v>4</v>
      </c>
    </row>
    <row r="646" spans="1:5" x14ac:dyDescent="0.3">
      <c r="A646" t="s">
        <v>1093</v>
      </c>
      <c r="B646" s="1">
        <v>46004</v>
      </c>
      <c r="C646" t="s">
        <v>95</v>
      </c>
      <c r="D646" t="s">
        <v>439</v>
      </c>
      <c r="E646">
        <v>4</v>
      </c>
    </row>
    <row r="647" spans="1:5" x14ac:dyDescent="0.3">
      <c r="A647" t="s">
        <v>1094</v>
      </c>
      <c r="B647" s="1">
        <v>45910</v>
      </c>
      <c r="C647" t="s">
        <v>299</v>
      </c>
      <c r="D647" t="s">
        <v>405</v>
      </c>
      <c r="E647">
        <v>2</v>
      </c>
    </row>
    <row r="648" spans="1:5" x14ac:dyDescent="0.3">
      <c r="A648" t="s">
        <v>1095</v>
      </c>
      <c r="B648" s="1">
        <v>45974</v>
      </c>
      <c r="C648" t="s">
        <v>83</v>
      </c>
      <c r="D648" t="s">
        <v>345</v>
      </c>
      <c r="E648">
        <v>1</v>
      </c>
    </row>
    <row r="649" spans="1:5" x14ac:dyDescent="0.3">
      <c r="A649" t="s">
        <v>1096</v>
      </c>
      <c r="B649" s="1">
        <v>45816</v>
      </c>
      <c r="C649" t="s">
        <v>290</v>
      </c>
      <c r="D649" t="s">
        <v>395</v>
      </c>
      <c r="E649">
        <v>3</v>
      </c>
    </row>
    <row r="650" spans="1:5" x14ac:dyDescent="0.3">
      <c r="A650" t="s">
        <v>1097</v>
      </c>
      <c r="B650" s="1">
        <v>45907</v>
      </c>
      <c r="C650" t="s">
        <v>198</v>
      </c>
      <c r="D650" t="s">
        <v>363</v>
      </c>
      <c r="E650">
        <v>1</v>
      </c>
    </row>
    <row r="651" spans="1:5" x14ac:dyDescent="0.3">
      <c r="A651" t="s">
        <v>1098</v>
      </c>
      <c r="B651" s="1">
        <v>45695</v>
      </c>
      <c r="C651" t="s">
        <v>469</v>
      </c>
      <c r="D651" t="s">
        <v>431</v>
      </c>
      <c r="E651">
        <v>5</v>
      </c>
    </row>
    <row r="652" spans="1:5" x14ac:dyDescent="0.3">
      <c r="A652" t="s">
        <v>1099</v>
      </c>
      <c r="B652" s="1">
        <v>45799</v>
      </c>
      <c r="C652" t="s">
        <v>459</v>
      </c>
      <c r="D652" t="s">
        <v>414</v>
      </c>
      <c r="E652">
        <v>4</v>
      </c>
    </row>
    <row r="653" spans="1:5" x14ac:dyDescent="0.3">
      <c r="A653" t="s">
        <v>1100</v>
      </c>
      <c r="B653" s="1">
        <v>45921</v>
      </c>
      <c r="C653" t="s">
        <v>237</v>
      </c>
      <c r="D653" t="s">
        <v>349</v>
      </c>
      <c r="E653">
        <v>5</v>
      </c>
    </row>
    <row r="654" spans="1:5" x14ac:dyDescent="0.3">
      <c r="A654" t="s">
        <v>1101</v>
      </c>
      <c r="B654" s="1">
        <v>45966</v>
      </c>
      <c r="C654" t="s">
        <v>41</v>
      </c>
      <c r="D654" t="s">
        <v>411</v>
      </c>
      <c r="E654">
        <v>4</v>
      </c>
    </row>
    <row r="655" spans="1:5" x14ac:dyDescent="0.3">
      <c r="A655" t="s">
        <v>1102</v>
      </c>
      <c r="B655" s="1">
        <v>45908</v>
      </c>
      <c r="C655" t="s">
        <v>228</v>
      </c>
      <c r="D655" t="s">
        <v>432</v>
      </c>
      <c r="E655">
        <v>2</v>
      </c>
    </row>
    <row r="656" spans="1:5" x14ac:dyDescent="0.3">
      <c r="A656" t="s">
        <v>1103</v>
      </c>
      <c r="B656" s="1">
        <v>45663</v>
      </c>
      <c r="C656" t="s">
        <v>82</v>
      </c>
      <c r="D656" t="s">
        <v>441</v>
      </c>
      <c r="E656">
        <v>2</v>
      </c>
    </row>
    <row r="657" spans="1:5" x14ac:dyDescent="0.3">
      <c r="A657" t="s">
        <v>1104</v>
      </c>
      <c r="B657" s="1">
        <v>45768</v>
      </c>
      <c r="C657" t="s">
        <v>63</v>
      </c>
      <c r="D657" t="s">
        <v>408</v>
      </c>
      <c r="E657">
        <v>2</v>
      </c>
    </row>
    <row r="658" spans="1:5" x14ac:dyDescent="0.3">
      <c r="A658" t="s">
        <v>1105</v>
      </c>
      <c r="B658" s="1">
        <v>45917</v>
      </c>
      <c r="C658" t="s">
        <v>9</v>
      </c>
      <c r="D658" t="s">
        <v>410</v>
      </c>
      <c r="E658">
        <v>1</v>
      </c>
    </row>
    <row r="659" spans="1:5" x14ac:dyDescent="0.3">
      <c r="A659" t="s">
        <v>1106</v>
      </c>
      <c r="B659" s="1">
        <v>45687</v>
      </c>
      <c r="C659" t="s">
        <v>88</v>
      </c>
      <c r="D659" t="s">
        <v>431</v>
      </c>
      <c r="E659">
        <v>1</v>
      </c>
    </row>
    <row r="660" spans="1:5" x14ac:dyDescent="0.3">
      <c r="A660" t="s">
        <v>1107</v>
      </c>
      <c r="B660" s="1">
        <v>45777</v>
      </c>
      <c r="C660" t="s">
        <v>227</v>
      </c>
      <c r="D660" t="s">
        <v>435</v>
      </c>
      <c r="E660">
        <v>4</v>
      </c>
    </row>
    <row r="661" spans="1:5" x14ac:dyDescent="0.3">
      <c r="A661" t="s">
        <v>1108</v>
      </c>
      <c r="B661" s="1">
        <v>45686</v>
      </c>
      <c r="C661" t="s">
        <v>214</v>
      </c>
      <c r="D661" t="s">
        <v>403</v>
      </c>
      <c r="E661">
        <v>1</v>
      </c>
    </row>
    <row r="662" spans="1:5" x14ac:dyDescent="0.3">
      <c r="A662" t="s">
        <v>1109</v>
      </c>
      <c r="B662" s="1">
        <v>45768</v>
      </c>
      <c r="C662" t="s">
        <v>166</v>
      </c>
      <c r="D662" t="s">
        <v>430</v>
      </c>
      <c r="E662">
        <v>5</v>
      </c>
    </row>
    <row r="663" spans="1:5" x14ac:dyDescent="0.3">
      <c r="A663" t="s">
        <v>1110</v>
      </c>
      <c r="B663" s="1">
        <v>45764</v>
      </c>
      <c r="C663" t="s">
        <v>112</v>
      </c>
      <c r="D663" t="s">
        <v>331</v>
      </c>
      <c r="E663">
        <v>2</v>
      </c>
    </row>
    <row r="664" spans="1:5" x14ac:dyDescent="0.3">
      <c r="A664" t="s">
        <v>1111</v>
      </c>
      <c r="B664" s="1">
        <v>45919</v>
      </c>
      <c r="C664" t="s">
        <v>321</v>
      </c>
      <c r="D664" t="s">
        <v>356</v>
      </c>
      <c r="E664">
        <v>2</v>
      </c>
    </row>
    <row r="665" spans="1:5" x14ac:dyDescent="0.3">
      <c r="A665" t="s">
        <v>1112</v>
      </c>
      <c r="B665" s="1">
        <v>45756</v>
      </c>
      <c r="C665" t="s">
        <v>35</v>
      </c>
      <c r="D665" t="s">
        <v>367</v>
      </c>
      <c r="E665">
        <v>3</v>
      </c>
    </row>
    <row r="666" spans="1:5" x14ac:dyDescent="0.3">
      <c r="A666" t="s">
        <v>1113</v>
      </c>
      <c r="B666" s="1">
        <v>45884</v>
      </c>
      <c r="C666" t="s">
        <v>110</v>
      </c>
      <c r="D666" t="s">
        <v>351</v>
      </c>
      <c r="E666">
        <v>4</v>
      </c>
    </row>
    <row r="667" spans="1:5" x14ac:dyDescent="0.3">
      <c r="A667" t="s">
        <v>1114</v>
      </c>
      <c r="B667" s="1">
        <v>45865</v>
      </c>
      <c r="C667" t="s">
        <v>469</v>
      </c>
      <c r="D667" t="s">
        <v>432</v>
      </c>
      <c r="E667">
        <v>4</v>
      </c>
    </row>
    <row r="668" spans="1:5" x14ac:dyDescent="0.3">
      <c r="A668" t="s">
        <v>1115</v>
      </c>
      <c r="B668" s="1">
        <v>45840</v>
      </c>
      <c r="C668" t="s">
        <v>132</v>
      </c>
      <c r="D668" t="s">
        <v>343</v>
      </c>
      <c r="E668">
        <v>2</v>
      </c>
    </row>
    <row r="669" spans="1:5" x14ac:dyDescent="0.3">
      <c r="A669" t="s">
        <v>1116</v>
      </c>
      <c r="B669" s="1">
        <v>45720</v>
      </c>
      <c r="C669" t="s">
        <v>167</v>
      </c>
      <c r="D669" t="s">
        <v>352</v>
      </c>
      <c r="E669">
        <v>2</v>
      </c>
    </row>
    <row r="670" spans="1:5" x14ac:dyDescent="0.3">
      <c r="A670" t="s">
        <v>1117</v>
      </c>
      <c r="B670" s="1">
        <v>45854</v>
      </c>
      <c r="C670" t="s">
        <v>71</v>
      </c>
      <c r="D670" t="s">
        <v>430</v>
      </c>
      <c r="E670">
        <v>4</v>
      </c>
    </row>
    <row r="671" spans="1:5" x14ac:dyDescent="0.3">
      <c r="A671" t="s">
        <v>1118</v>
      </c>
      <c r="B671" s="1">
        <v>45803</v>
      </c>
      <c r="C671" t="s">
        <v>108</v>
      </c>
      <c r="D671" t="s">
        <v>381</v>
      </c>
      <c r="E671">
        <v>2</v>
      </c>
    </row>
    <row r="672" spans="1:5" x14ac:dyDescent="0.3">
      <c r="A672" t="s">
        <v>1119</v>
      </c>
      <c r="B672" s="1">
        <v>45938</v>
      </c>
      <c r="C672" t="s">
        <v>305</v>
      </c>
      <c r="D672" t="s">
        <v>432</v>
      </c>
      <c r="E672">
        <v>5</v>
      </c>
    </row>
    <row r="673" spans="1:5" x14ac:dyDescent="0.3">
      <c r="A673" t="s">
        <v>1120</v>
      </c>
      <c r="B673" s="1">
        <v>45868</v>
      </c>
      <c r="C673" t="s">
        <v>60</v>
      </c>
      <c r="D673" t="s">
        <v>415</v>
      </c>
      <c r="E673">
        <v>4</v>
      </c>
    </row>
    <row r="674" spans="1:5" x14ac:dyDescent="0.3">
      <c r="A674" t="s">
        <v>1121</v>
      </c>
      <c r="B674" s="1">
        <v>45990</v>
      </c>
      <c r="C674" t="s">
        <v>36</v>
      </c>
      <c r="D674" t="s">
        <v>403</v>
      </c>
      <c r="E674">
        <v>4</v>
      </c>
    </row>
    <row r="675" spans="1:5" x14ac:dyDescent="0.3">
      <c r="A675" t="s">
        <v>1122</v>
      </c>
      <c r="B675" s="1">
        <v>45990</v>
      </c>
      <c r="C675" t="s">
        <v>259</v>
      </c>
      <c r="D675" t="s">
        <v>438</v>
      </c>
      <c r="E675">
        <v>2</v>
      </c>
    </row>
    <row r="676" spans="1:5" x14ac:dyDescent="0.3">
      <c r="A676" t="s">
        <v>1123</v>
      </c>
      <c r="B676" s="1">
        <v>45710</v>
      </c>
      <c r="C676" t="s">
        <v>38</v>
      </c>
      <c r="D676" t="s">
        <v>364</v>
      </c>
      <c r="E676">
        <v>2</v>
      </c>
    </row>
    <row r="677" spans="1:5" x14ac:dyDescent="0.3">
      <c r="A677" t="s">
        <v>1124</v>
      </c>
      <c r="B677" s="1">
        <v>45683</v>
      </c>
      <c r="C677" t="s">
        <v>58</v>
      </c>
      <c r="D677" t="s">
        <v>372</v>
      </c>
      <c r="E677">
        <v>1</v>
      </c>
    </row>
    <row r="678" spans="1:5" x14ac:dyDescent="0.3">
      <c r="A678" t="s">
        <v>1125</v>
      </c>
      <c r="B678" s="1">
        <v>45885</v>
      </c>
      <c r="C678" t="s">
        <v>91</v>
      </c>
      <c r="D678" t="s">
        <v>380</v>
      </c>
      <c r="E678">
        <v>3</v>
      </c>
    </row>
    <row r="679" spans="1:5" x14ac:dyDescent="0.3">
      <c r="A679" t="s">
        <v>1126</v>
      </c>
      <c r="B679" s="1">
        <v>45926</v>
      </c>
      <c r="C679" t="s">
        <v>303</v>
      </c>
      <c r="D679" t="s">
        <v>395</v>
      </c>
      <c r="E679">
        <v>3</v>
      </c>
    </row>
    <row r="680" spans="1:5" x14ac:dyDescent="0.3">
      <c r="A680" t="s">
        <v>1127</v>
      </c>
      <c r="B680" s="1">
        <v>45834</v>
      </c>
      <c r="C680" t="s">
        <v>51</v>
      </c>
      <c r="D680" t="s">
        <v>438</v>
      </c>
      <c r="E680">
        <v>2</v>
      </c>
    </row>
    <row r="681" spans="1:5" x14ac:dyDescent="0.3">
      <c r="A681" t="s">
        <v>1128</v>
      </c>
      <c r="B681" s="1">
        <v>45898</v>
      </c>
      <c r="C681" t="s">
        <v>23</v>
      </c>
      <c r="D681" t="s">
        <v>345</v>
      </c>
      <c r="E681">
        <v>1</v>
      </c>
    </row>
    <row r="682" spans="1:5" x14ac:dyDescent="0.3">
      <c r="A682" t="s">
        <v>1129</v>
      </c>
      <c r="B682" s="1">
        <v>45780</v>
      </c>
      <c r="C682" t="s">
        <v>281</v>
      </c>
      <c r="D682" t="s">
        <v>443</v>
      </c>
      <c r="E682">
        <v>3</v>
      </c>
    </row>
    <row r="683" spans="1:5" x14ac:dyDescent="0.3">
      <c r="A683" t="s">
        <v>1130</v>
      </c>
      <c r="B683" s="1">
        <v>46022</v>
      </c>
      <c r="C683" t="s">
        <v>204</v>
      </c>
      <c r="D683" t="s">
        <v>416</v>
      </c>
      <c r="E683">
        <v>4</v>
      </c>
    </row>
    <row r="684" spans="1:5" x14ac:dyDescent="0.3">
      <c r="A684" t="s">
        <v>1131</v>
      </c>
      <c r="B684" s="1">
        <v>45812</v>
      </c>
      <c r="C684" t="s">
        <v>220</v>
      </c>
      <c r="D684" t="s">
        <v>357</v>
      </c>
      <c r="E684">
        <v>3</v>
      </c>
    </row>
    <row r="685" spans="1:5" x14ac:dyDescent="0.3">
      <c r="A685" t="s">
        <v>1132</v>
      </c>
      <c r="B685" s="1">
        <v>45702</v>
      </c>
      <c r="C685" t="s">
        <v>295</v>
      </c>
      <c r="D685" t="s">
        <v>425</v>
      </c>
      <c r="E685">
        <v>3</v>
      </c>
    </row>
    <row r="686" spans="1:5" x14ac:dyDescent="0.3">
      <c r="A686" t="s">
        <v>1133</v>
      </c>
      <c r="B686" s="1">
        <v>46005</v>
      </c>
      <c r="C686" t="s">
        <v>258</v>
      </c>
      <c r="D686" t="s">
        <v>439</v>
      </c>
      <c r="E686">
        <v>1</v>
      </c>
    </row>
    <row r="687" spans="1:5" x14ac:dyDescent="0.3">
      <c r="A687" t="s">
        <v>1134</v>
      </c>
      <c r="B687" s="1">
        <v>45778</v>
      </c>
      <c r="C687" t="s">
        <v>235</v>
      </c>
      <c r="D687" t="s">
        <v>408</v>
      </c>
      <c r="E687">
        <v>3</v>
      </c>
    </row>
    <row r="688" spans="1:5" x14ac:dyDescent="0.3">
      <c r="A688" t="s">
        <v>1135</v>
      </c>
      <c r="B688" s="1">
        <v>45948</v>
      </c>
      <c r="C688" t="s">
        <v>97</v>
      </c>
      <c r="D688" t="s">
        <v>391</v>
      </c>
      <c r="E688">
        <v>1</v>
      </c>
    </row>
    <row r="689" spans="1:5" x14ac:dyDescent="0.3">
      <c r="A689" t="s">
        <v>1136</v>
      </c>
      <c r="B689" s="1">
        <v>45863</v>
      </c>
      <c r="C689" t="s">
        <v>242</v>
      </c>
      <c r="D689" t="s">
        <v>421</v>
      </c>
      <c r="E689">
        <v>2</v>
      </c>
    </row>
    <row r="690" spans="1:5" x14ac:dyDescent="0.3">
      <c r="A690" t="s">
        <v>1137</v>
      </c>
      <c r="B690" s="1">
        <v>45873</v>
      </c>
      <c r="C690" t="s">
        <v>469</v>
      </c>
      <c r="D690" t="s">
        <v>413</v>
      </c>
      <c r="E690">
        <v>3</v>
      </c>
    </row>
    <row r="691" spans="1:5" x14ac:dyDescent="0.3">
      <c r="A691" t="s">
        <v>1138</v>
      </c>
      <c r="B691" s="1">
        <v>46012</v>
      </c>
      <c r="C691" t="s">
        <v>186</v>
      </c>
      <c r="D691" t="s">
        <v>359</v>
      </c>
      <c r="E691">
        <v>4</v>
      </c>
    </row>
    <row r="692" spans="1:5" x14ac:dyDescent="0.3">
      <c r="A692" t="s">
        <v>1139</v>
      </c>
      <c r="B692" s="1">
        <v>45847</v>
      </c>
      <c r="C692" t="s">
        <v>181</v>
      </c>
      <c r="D692" t="s">
        <v>370</v>
      </c>
      <c r="E692">
        <v>5</v>
      </c>
    </row>
    <row r="693" spans="1:5" x14ac:dyDescent="0.3">
      <c r="A693" t="s">
        <v>1140</v>
      </c>
      <c r="B693" s="1">
        <v>45875</v>
      </c>
      <c r="C693" t="s">
        <v>214</v>
      </c>
      <c r="D693" t="s">
        <v>331</v>
      </c>
      <c r="E693">
        <v>5</v>
      </c>
    </row>
    <row r="694" spans="1:5" x14ac:dyDescent="0.3">
      <c r="A694" t="s">
        <v>1141</v>
      </c>
      <c r="B694" s="1">
        <v>45674</v>
      </c>
      <c r="C694" t="s">
        <v>245</v>
      </c>
      <c r="D694" t="s">
        <v>360</v>
      </c>
      <c r="E694">
        <v>3</v>
      </c>
    </row>
    <row r="695" spans="1:5" x14ac:dyDescent="0.3">
      <c r="A695" t="s">
        <v>1142</v>
      </c>
      <c r="B695" s="1">
        <v>45792</v>
      </c>
      <c r="C695" t="s">
        <v>139</v>
      </c>
      <c r="D695" t="s">
        <v>356</v>
      </c>
      <c r="E695">
        <v>4</v>
      </c>
    </row>
    <row r="696" spans="1:5" x14ac:dyDescent="0.3">
      <c r="A696" t="s">
        <v>1143</v>
      </c>
      <c r="B696" s="1">
        <v>45939</v>
      </c>
      <c r="C696" t="s">
        <v>228</v>
      </c>
      <c r="D696" t="s">
        <v>364</v>
      </c>
      <c r="E696">
        <v>5</v>
      </c>
    </row>
    <row r="697" spans="1:5" x14ac:dyDescent="0.3">
      <c r="A697" t="s">
        <v>1144</v>
      </c>
      <c r="B697" s="1">
        <v>45873</v>
      </c>
      <c r="C697" t="s">
        <v>135</v>
      </c>
      <c r="D697" t="s">
        <v>336</v>
      </c>
      <c r="E697">
        <v>5</v>
      </c>
    </row>
    <row r="698" spans="1:5" x14ac:dyDescent="0.3">
      <c r="A698" t="s">
        <v>1145</v>
      </c>
      <c r="B698" s="1">
        <v>46003</v>
      </c>
      <c r="C698" t="s">
        <v>459</v>
      </c>
      <c r="D698" t="s">
        <v>433</v>
      </c>
      <c r="E698">
        <v>4</v>
      </c>
    </row>
    <row r="699" spans="1:5" x14ac:dyDescent="0.3">
      <c r="A699" t="s">
        <v>1146</v>
      </c>
      <c r="B699" s="1">
        <v>45660</v>
      </c>
      <c r="C699" t="s">
        <v>212</v>
      </c>
      <c r="D699" t="s">
        <v>403</v>
      </c>
      <c r="E699">
        <v>5</v>
      </c>
    </row>
    <row r="700" spans="1:5" x14ac:dyDescent="0.3">
      <c r="A700" t="s">
        <v>1147</v>
      </c>
      <c r="B700" s="1">
        <v>45812</v>
      </c>
      <c r="C700" t="s">
        <v>114</v>
      </c>
      <c r="D700" t="s">
        <v>413</v>
      </c>
      <c r="E700">
        <v>1</v>
      </c>
    </row>
    <row r="701" spans="1:5" x14ac:dyDescent="0.3">
      <c r="A701" t="s">
        <v>1148</v>
      </c>
      <c r="B701" s="1">
        <v>45858</v>
      </c>
      <c r="C701" t="s">
        <v>187</v>
      </c>
      <c r="D701" t="s">
        <v>334</v>
      </c>
      <c r="E701">
        <v>1</v>
      </c>
    </row>
    <row r="702" spans="1:5" x14ac:dyDescent="0.3">
      <c r="A702" t="s">
        <v>1149</v>
      </c>
      <c r="B702" s="1">
        <v>45843</v>
      </c>
      <c r="C702" t="s">
        <v>97</v>
      </c>
      <c r="D702" t="s">
        <v>397</v>
      </c>
      <c r="E702">
        <v>4</v>
      </c>
    </row>
    <row r="703" spans="1:5" x14ac:dyDescent="0.3">
      <c r="A703" t="s">
        <v>1150</v>
      </c>
      <c r="B703" s="1">
        <v>45717</v>
      </c>
      <c r="C703" t="s">
        <v>41</v>
      </c>
      <c r="D703" t="s">
        <v>366</v>
      </c>
      <c r="E703">
        <v>3</v>
      </c>
    </row>
    <row r="704" spans="1:5" x14ac:dyDescent="0.3">
      <c r="A704" t="s">
        <v>1151</v>
      </c>
      <c r="B704" s="1">
        <v>45738</v>
      </c>
      <c r="C704" t="s">
        <v>116</v>
      </c>
      <c r="D704" t="s">
        <v>376</v>
      </c>
      <c r="E704">
        <v>4</v>
      </c>
    </row>
    <row r="705" spans="1:5" x14ac:dyDescent="0.3">
      <c r="A705" t="s">
        <v>1152</v>
      </c>
      <c r="B705" s="1">
        <v>45835</v>
      </c>
      <c r="C705" t="s">
        <v>167</v>
      </c>
      <c r="D705" t="s">
        <v>388</v>
      </c>
      <c r="E705">
        <v>2</v>
      </c>
    </row>
    <row r="706" spans="1:5" x14ac:dyDescent="0.3">
      <c r="A706" t="s">
        <v>1153</v>
      </c>
      <c r="B706" s="1">
        <v>45900</v>
      </c>
      <c r="C706" t="s">
        <v>215</v>
      </c>
      <c r="D706" t="s">
        <v>358</v>
      </c>
      <c r="E706">
        <v>2</v>
      </c>
    </row>
    <row r="707" spans="1:5" x14ac:dyDescent="0.3">
      <c r="A707" t="s">
        <v>1154</v>
      </c>
      <c r="B707" s="1">
        <v>45840</v>
      </c>
      <c r="C707" t="s">
        <v>97</v>
      </c>
      <c r="D707" t="s">
        <v>352</v>
      </c>
      <c r="E707">
        <v>1</v>
      </c>
    </row>
    <row r="708" spans="1:5" x14ac:dyDescent="0.3">
      <c r="A708" t="s">
        <v>1155</v>
      </c>
      <c r="B708" s="1">
        <v>45681</v>
      </c>
      <c r="C708" t="s">
        <v>126</v>
      </c>
      <c r="D708" t="s">
        <v>354</v>
      </c>
      <c r="E708">
        <v>2</v>
      </c>
    </row>
    <row r="709" spans="1:5" x14ac:dyDescent="0.3">
      <c r="A709" t="s">
        <v>1156</v>
      </c>
      <c r="B709" s="1">
        <v>45680</v>
      </c>
      <c r="C709" t="s">
        <v>229</v>
      </c>
      <c r="D709" t="s">
        <v>339</v>
      </c>
      <c r="E709">
        <v>1</v>
      </c>
    </row>
    <row r="710" spans="1:5" x14ac:dyDescent="0.3">
      <c r="A710" t="s">
        <v>1157</v>
      </c>
      <c r="B710" s="1">
        <v>45865</v>
      </c>
      <c r="C710" t="s">
        <v>89</v>
      </c>
      <c r="D710" t="s">
        <v>410</v>
      </c>
      <c r="E710">
        <v>5</v>
      </c>
    </row>
    <row r="711" spans="1:5" x14ac:dyDescent="0.3">
      <c r="A711" t="s">
        <v>1158</v>
      </c>
      <c r="B711" s="1">
        <v>45786</v>
      </c>
      <c r="C711" t="s">
        <v>32</v>
      </c>
      <c r="D711" t="s">
        <v>357</v>
      </c>
      <c r="E711">
        <v>4</v>
      </c>
    </row>
    <row r="712" spans="1:5" x14ac:dyDescent="0.3">
      <c r="A712" t="s">
        <v>1159</v>
      </c>
      <c r="B712" s="1">
        <v>45893</v>
      </c>
      <c r="C712" t="s">
        <v>195</v>
      </c>
      <c r="D712" t="s">
        <v>403</v>
      </c>
      <c r="E712">
        <v>2</v>
      </c>
    </row>
    <row r="713" spans="1:5" x14ac:dyDescent="0.3">
      <c r="A713" t="s">
        <v>1160</v>
      </c>
      <c r="B713" s="1">
        <v>45734</v>
      </c>
      <c r="C713" t="s">
        <v>296</v>
      </c>
      <c r="D713" t="s">
        <v>381</v>
      </c>
      <c r="E713">
        <v>1</v>
      </c>
    </row>
    <row r="714" spans="1:5" x14ac:dyDescent="0.3">
      <c r="A714" t="s">
        <v>1161</v>
      </c>
      <c r="B714" s="1">
        <v>45913</v>
      </c>
      <c r="C714" t="s">
        <v>157</v>
      </c>
      <c r="D714" t="s">
        <v>352</v>
      </c>
      <c r="E714">
        <v>4</v>
      </c>
    </row>
    <row r="715" spans="1:5" x14ac:dyDescent="0.3">
      <c r="A715" t="s">
        <v>1162</v>
      </c>
      <c r="B715" s="1">
        <v>45797</v>
      </c>
      <c r="C715" t="s">
        <v>227</v>
      </c>
      <c r="D715" t="s">
        <v>380</v>
      </c>
      <c r="E715">
        <v>4</v>
      </c>
    </row>
    <row r="716" spans="1:5" x14ac:dyDescent="0.3">
      <c r="A716" t="s">
        <v>1163</v>
      </c>
      <c r="B716" s="1">
        <v>45785</v>
      </c>
      <c r="C716" t="s">
        <v>243</v>
      </c>
      <c r="D716" t="s">
        <v>383</v>
      </c>
      <c r="E716">
        <v>3</v>
      </c>
    </row>
    <row r="717" spans="1:5" x14ac:dyDescent="0.3">
      <c r="A717" t="s">
        <v>1164</v>
      </c>
      <c r="B717" s="1">
        <v>45809</v>
      </c>
      <c r="C717" t="s">
        <v>86</v>
      </c>
      <c r="D717" t="s">
        <v>427</v>
      </c>
      <c r="E717">
        <v>1</v>
      </c>
    </row>
    <row r="718" spans="1:5" x14ac:dyDescent="0.3">
      <c r="A718" t="s">
        <v>1165</v>
      </c>
      <c r="B718" s="1">
        <v>45679</v>
      </c>
      <c r="C718" t="s">
        <v>79</v>
      </c>
      <c r="D718" t="s">
        <v>420</v>
      </c>
      <c r="E718">
        <v>2</v>
      </c>
    </row>
    <row r="719" spans="1:5" x14ac:dyDescent="0.3">
      <c r="A719" t="s">
        <v>1166</v>
      </c>
      <c r="B719" s="1">
        <v>45700</v>
      </c>
      <c r="C719" t="s">
        <v>293</v>
      </c>
      <c r="D719" t="s">
        <v>334</v>
      </c>
      <c r="E719">
        <v>1</v>
      </c>
    </row>
    <row r="720" spans="1:5" x14ac:dyDescent="0.3">
      <c r="A720" t="s">
        <v>1167</v>
      </c>
      <c r="B720" s="1">
        <v>45741</v>
      </c>
      <c r="C720" t="s">
        <v>119</v>
      </c>
      <c r="D720" t="s">
        <v>345</v>
      </c>
      <c r="E720">
        <v>5</v>
      </c>
    </row>
    <row r="721" spans="1:5" x14ac:dyDescent="0.3">
      <c r="A721" t="s">
        <v>1168</v>
      </c>
      <c r="B721" s="1">
        <v>45975</v>
      </c>
      <c r="C721" t="s">
        <v>176</v>
      </c>
      <c r="D721" t="s">
        <v>362</v>
      </c>
      <c r="E721">
        <v>4</v>
      </c>
    </row>
    <row r="722" spans="1:5" x14ac:dyDescent="0.3">
      <c r="A722" t="s">
        <v>1169</v>
      </c>
      <c r="B722" s="1">
        <v>45994</v>
      </c>
      <c r="C722" t="s">
        <v>132</v>
      </c>
      <c r="D722" t="s">
        <v>436</v>
      </c>
      <c r="E722">
        <v>4</v>
      </c>
    </row>
    <row r="723" spans="1:5" x14ac:dyDescent="0.3">
      <c r="A723" t="s">
        <v>1170</v>
      </c>
      <c r="B723" s="1">
        <v>45868</v>
      </c>
      <c r="C723" t="s">
        <v>143</v>
      </c>
      <c r="D723" t="s">
        <v>381</v>
      </c>
      <c r="E723">
        <v>5</v>
      </c>
    </row>
    <row r="724" spans="1:5" x14ac:dyDescent="0.3">
      <c r="A724" t="s">
        <v>1171</v>
      </c>
      <c r="B724" s="1">
        <v>45848</v>
      </c>
      <c r="C724" t="s">
        <v>469</v>
      </c>
      <c r="D724" t="s">
        <v>406</v>
      </c>
      <c r="E724">
        <v>3</v>
      </c>
    </row>
    <row r="725" spans="1:5" x14ac:dyDescent="0.3">
      <c r="A725" t="s">
        <v>1172</v>
      </c>
      <c r="B725" s="1">
        <v>45803</v>
      </c>
      <c r="C725" t="s">
        <v>235</v>
      </c>
      <c r="D725" t="s">
        <v>361</v>
      </c>
      <c r="E725">
        <v>3</v>
      </c>
    </row>
    <row r="726" spans="1:5" x14ac:dyDescent="0.3">
      <c r="A726" t="s">
        <v>1173</v>
      </c>
      <c r="B726" s="1">
        <v>45887</v>
      </c>
      <c r="C726" t="s">
        <v>308</v>
      </c>
      <c r="D726" t="s">
        <v>400</v>
      </c>
      <c r="E726">
        <v>5</v>
      </c>
    </row>
    <row r="727" spans="1:5" x14ac:dyDescent="0.3">
      <c r="A727" t="s">
        <v>1174</v>
      </c>
      <c r="B727" s="1">
        <v>45866</v>
      </c>
      <c r="C727" t="s">
        <v>236</v>
      </c>
      <c r="D727" t="s">
        <v>366</v>
      </c>
      <c r="E727">
        <v>3</v>
      </c>
    </row>
    <row r="728" spans="1:5" x14ac:dyDescent="0.3">
      <c r="A728" t="s">
        <v>1175</v>
      </c>
      <c r="B728" s="1">
        <v>45666</v>
      </c>
      <c r="C728" t="s">
        <v>268</v>
      </c>
      <c r="D728" t="s">
        <v>356</v>
      </c>
      <c r="E728">
        <v>3</v>
      </c>
    </row>
    <row r="729" spans="1:5" x14ac:dyDescent="0.3">
      <c r="A729" t="s">
        <v>1176</v>
      </c>
      <c r="B729" s="1">
        <v>45724</v>
      </c>
      <c r="C729" t="s">
        <v>294</v>
      </c>
      <c r="D729" t="s">
        <v>374</v>
      </c>
      <c r="E729">
        <v>1</v>
      </c>
    </row>
    <row r="730" spans="1:5" x14ac:dyDescent="0.3">
      <c r="A730" t="s">
        <v>1177</v>
      </c>
      <c r="B730" s="1">
        <v>45941</v>
      </c>
      <c r="C730" t="s">
        <v>279</v>
      </c>
      <c r="D730" t="s">
        <v>334</v>
      </c>
      <c r="E730">
        <v>1</v>
      </c>
    </row>
    <row r="731" spans="1:5" x14ac:dyDescent="0.3">
      <c r="A731" t="s">
        <v>1178</v>
      </c>
      <c r="B731" s="1">
        <v>46007</v>
      </c>
      <c r="C731" t="s">
        <v>242</v>
      </c>
      <c r="D731" t="s">
        <v>437</v>
      </c>
      <c r="E731">
        <v>1</v>
      </c>
    </row>
    <row r="732" spans="1:5" x14ac:dyDescent="0.3">
      <c r="A732" t="s">
        <v>1179</v>
      </c>
      <c r="B732" s="1">
        <v>45810</v>
      </c>
      <c r="C732" t="s">
        <v>270</v>
      </c>
      <c r="D732" t="s">
        <v>387</v>
      </c>
      <c r="E732">
        <v>3</v>
      </c>
    </row>
    <row r="733" spans="1:5" x14ac:dyDescent="0.3">
      <c r="A733" t="s">
        <v>1180</v>
      </c>
      <c r="B733" s="1">
        <v>45850</v>
      </c>
      <c r="C733" t="s">
        <v>136</v>
      </c>
      <c r="D733" t="s">
        <v>430</v>
      </c>
      <c r="E733">
        <v>1</v>
      </c>
    </row>
    <row r="734" spans="1:5" x14ac:dyDescent="0.3">
      <c r="A734" t="s">
        <v>1181</v>
      </c>
      <c r="B734" s="1">
        <v>45928</v>
      </c>
      <c r="C734" t="s">
        <v>124</v>
      </c>
      <c r="D734" t="s">
        <v>394</v>
      </c>
      <c r="E734">
        <v>1</v>
      </c>
    </row>
    <row r="735" spans="1:5" x14ac:dyDescent="0.3">
      <c r="A735" t="s">
        <v>1182</v>
      </c>
      <c r="B735" s="1">
        <v>46007</v>
      </c>
      <c r="C735" t="s">
        <v>120</v>
      </c>
      <c r="D735" t="s">
        <v>376</v>
      </c>
      <c r="E735">
        <v>5</v>
      </c>
    </row>
    <row r="736" spans="1:5" x14ac:dyDescent="0.3">
      <c r="A736" t="s">
        <v>1183</v>
      </c>
      <c r="B736" s="1">
        <v>45938</v>
      </c>
      <c r="C736" t="s">
        <v>124</v>
      </c>
      <c r="D736" t="s">
        <v>428</v>
      </c>
      <c r="E736">
        <v>4</v>
      </c>
    </row>
    <row r="737" spans="1:5" x14ac:dyDescent="0.3">
      <c r="A737" t="s">
        <v>1184</v>
      </c>
      <c r="B737" s="1">
        <v>45774</v>
      </c>
      <c r="C737" t="s">
        <v>254</v>
      </c>
      <c r="D737" t="s">
        <v>430</v>
      </c>
      <c r="E737">
        <v>5</v>
      </c>
    </row>
    <row r="738" spans="1:5" x14ac:dyDescent="0.3">
      <c r="A738" t="s">
        <v>1185</v>
      </c>
      <c r="B738" s="1">
        <v>45714</v>
      </c>
      <c r="C738" t="s">
        <v>176</v>
      </c>
      <c r="D738" t="s">
        <v>349</v>
      </c>
      <c r="E738">
        <v>4</v>
      </c>
    </row>
    <row r="739" spans="1:5" x14ac:dyDescent="0.3">
      <c r="A739" t="s">
        <v>1186</v>
      </c>
      <c r="B739" s="1">
        <v>45887</v>
      </c>
      <c r="C739" t="s">
        <v>93</v>
      </c>
      <c r="D739" t="s">
        <v>372</v>
      </c>
      <c r="E739">
        <v>4</v>
      </c>
    </row>
    <row r="740" spans="1:5" x14ac:dyDescent="0.3">
      <c r="A740" t="s">
        <v>1187</v>
      </c>
      <c r="B740" s="1">
        <v>45880</v>
      </c>
      <c r="C740" t="s">
        <v>160</v>
      </c>
      <c r="D740" t="s">
        <v>401</v>
      </c>
      <c r="E740">
        <v>2</v>
      </c>
    </row>
    <row r="741" spans="1:5" x14ac:dyDescent="0.3">
      <c r="A741" t="s">
        <v>1188</v>
      </c>
      <c r="B741" s="1">
        <v>45957</v>
      </c>
      <c r="C741" t="s">
        <v>217</v>
      </c>
      <c r="D741" t="s">
        <v>424</v>
      </c>
      <c r="E741">
        <v>2</v>
      </c>
    </row>
    <row r="742" spans="1:5" x14ac:dyDescent="0.3">
      <c r="A742" t="s">
        <v>1189</v>
      </c>
      <c r="B742" s="1">
        <v>45676</v>
      </c>
      <c r="C742" t="s">
        <v>116</v>
      </c>
      <c r="D742" t="s">
        <v>433</v>
      </c>
      <c r="E742">
        <v>1</v>
      </c>
    </row>
    <row r="743" spans="1:5" x14ac:dyDescent="0.3">
      <c r="A743" t="s">
        <v>1190</v>
      </c>
      <c r="B743" s="1">
        <v>45952</v>
      </c>
      <c r="C743" t="s">
        <v>83</v>
      </c>
      <c r="D743" t="s">
        <v>400</v>
      </c>
      <c r="E743">
        <v>2</v>
      </c>
    </row>
    <row r="744" spans="1:5" x14ac:dyDescent="0.3">
      <c r="A744" t="s">
        <v>1191</v>
      </c>
      <c r="B744" s="1">
        <v>45878</v>
      </c>
      <c r="C744" t="s">
        <v>314</v>
      </c>
      <c r="D744" t="s">
        <v>338</v>
      </c>
      <c r="E744">
        <v>5</v>
      </c>
    </row>
    <row r="745" spans="1:5" x14ac:dyDescent="0.3">
      <c r="A745" t="s">
        <v>1192</v>
      </c>
      <c r="B745" s="1">
        <v>45737</v>
      </c>
      <c r="C745" t="s">
        <v>26</v>
      </c>
      <c r="D745" t="s">
        <v>406</v>
      </c>
      <c r="E745">
        <v>3</v>
      </c>
    </row>
    <row r="746" spans="1:5" x14ac:dyDescent="0.3">
      <c r="A746" t="s">
        <v>1193</v>
      </c>
      <c r="B746" s="1">
        <v>45712</v>
      </c>
      <c r="C746" t="s">
        <v>174</v>
      </c>
      <c r="D746" t="s">
        <v>375</v>
      </c>
      <c r="E746">
        <v>3</v>
      </c>
    </row>
    <row r="747" spans="1:5" x14ac:dyDescent="0.3">
      <c r="A747" t="s">
        <v>1194</v>
      </c>
      <c r="B747" s="1">
        <v>45816</v>
      </c>
      <c r="C747" t="s">
        <v>57</v>
      </c>
      <c r="D747" t="s">
        <v>443</v>
      </c>
      <c r="E747">
        <v>4</v>
      </c>
    </row>
    <row r="748" spans="1:5" x14ac:dyDescent="0.3">
      <c r="A748" t="s">
        <v>1195</v>
      </c>
      <c r="B748" s="1">
        <v>45916</v>
      </c>
      <c r="C748" t="s">
        <v>290</v>
      </c>
      <c r="D748" t="s">
        <v>400</v>
      </c>
      <c r="E748">
        <v>3</v>
      </c>
    </row>
    <row r="749" spans="1:5" x14ac:dyDescent="0.3">
      <c r="A749" t="s">
        <v>1196</v>
      </c>
      <c r="B749" s="1">
        <v>45792</v>
      </c>
      <c r="C749" t="s">
        <v>173</v>
      </c>
      <c r="D749" t="s">
        <v>328</v>
      </c>
      <c r="E749">
        <v>1</v>
      </c>
    </row>
    <row r="750" spans="1:5" x14ac:dyDescent="0.3">
      <c r="A750" t="s">
        <v>1197</v>
      </c>
      <c r="B750" s="1">
        <v>45979</v>
      </c>
      <c r="C750" t="s">
        <v>290</v>
      </c>
      <c r="D750" t="s">
        <v>342</v>
      </c>
      <c r="E750">
        <v>2</v>
      </c>
    </row>
    <row r="751" spans="1:5" x14ac:dyDescent="0.3">
      <c r="A751" t="s">
        <v>1198</v>
      </c>
      <c r="B751" s="1">
        <v>45796</v>
      </c>
      <c r="C751" t="s">
        <v>234</v>
      </c>
      <c r="D751" t="s">
        <v>360</v>
      </c>
      <c r="E751">
        <v>3</v>
      </c>
    </row>
    <row r="752" spans="1:5" x14ac:dyDescent="0.3">
      <c r="A752" t="s">
        <v>1199</v>
      </c>
      <c r="B752" s="1">
        <v>45885</v>
      </c>
      <c r="C752" t="s">
        <v>137</v>
      </c>
      <c r="D752" t="s">
        <v>351</v>
      </c>
      <c r="E752">
        <v>3</v>
      </c>
    </row>
    <row r="753" spans="1:5" x14ac:dyDescent="0.3">
      <c r="A753" t="s">
        <v>1200</v>
      </c>
      <c r="B753" s="1">
        <v>46009</v>
      </c>
      <c r="C753" t="s">
        <v>249</v>
      </c>
      <c r="D753" t="s">
        <v>371</v>
      </c>
      <c r="E753">
        <v>1</v>
      </c>
    </row>
    <row r="754" spans="1:5" x14ac:dyDescent="0.3">
      <c r="A754" t="s">
        <v>1201</v>
      </c>
      <c r="B754" s="1">
        <v>45717</v>
      </c>
      <c r="C754" t="s">
        <v>211</v>
      </c>
      <c r="D754" t="s">
        <v>429</v>
      </c>
      <c r="E754">
        <v>3</v>
      </c>
    </row>
    <row r="755" spans="1:5" x14ac:dyDescent="0.3">
      <c r="A755" t="s">
        <v>1202</v>
      </c>
      <c r="B755" s="1">
        <v>45881</v>
      </c>
      <c r="C755" t="s">
        <v>53</v>
      </c>
      <c r="D755" t="s">
        <v>412</v>
      </c>
      <c r="E755">
        <v>2</v>
      </c>
    </row>
    <row r="756" spans="1:5" x14ac:dyDescent="0.3">
      <c r="A756" t="s">
        <v>1203</v>
      </c>
      <c r="B756" s="1">
        <v>45958</v>
      </c>
      <c r="C756" t="s">
        <v>156</v>
      </c>
      <c r="D756" t="s">
        <v>349</v>
      </c>
      <c r="E756">
        <v>2</v>
      </c>
    </row>
    <row r="757" spans="1:5" x14ac:dyDescent="0.3">
      <c r="A757" t="s">
        <v>1204</v>
      </c>
      <c r="B757" s="1">
        <v>45816</v>
      </c>
      <c r="C757" t="s">
        <v>167</v>
      </c>
      <c r="D757" t="s">
        <v>363</v>
      </c>
      <c r="E757">
        <v>3</v>
      </c>
    </row>
    <row r="758" spans="1:5" x14ac:dyDescent="0.3">
      <c r="A758" t="s">
        <v>1205</v>
      </c>
      <c r="B758" s="1">
        <v>45853</v>
      </c>
      <c r="C758" t="s">
        <v>263</v>
      </c>
      <c r="D758" t="s">
        <v>354</v>
      </c>
      <c r="E758">
        <v>4</v>
      </c>
    </row>
    <row r="759" spans="1:5" x14ac:dyDescent="0.3">
      <c r="A759" t="s">
        <v>1206</v>
      </c>
      <c r="B759" s="1">
        <v>45808</v>
      </c>
      <c r="C759" t="s">
        <v>287</v>
      </c>
      <c r="D759" t="s">
        <v>374</v>
      </c>
      <c r="E759">
        <v>5</v>
      </c>
    </row>
    <row r="760" spans="1:5" x14ac:dyDescent="0.3">
      <c r="A760" t="s">
        <v>1207</v>
      </c>
      <c r="B760" s="1">
        <v>45896</v>
      </c>
      <c r="C760" t="s">
        <v>71</v>
      </c>
      <c r="D760" t="s">
        <v>381</v>
      </c>
      <c r="E760">
        <v>1</v>
      </c>
    </row>
    <row r="761" spans="1:5" x14ac:dyDescent="0.3">
      <c r="A761" t="s">
        <v>1208</v>
      </c>
      <c r="B761" s="1">
        <v>45971</v>
      </c>
      <c r="C761" t="s">
        <v>280</v>
      </c>
      <c r="D761" t="s">
        <v>341</v>
      </c>
      <c r="E761">
        <v>4</v>
      </c>
    </row>
    <row r="762" spans="1:5" x14ac:dyDescent="0.3">
      <c r="A762" t="s">
        <v>1209</v>
      </c>
      <c r="B762" s="1">
        <v>45685</v>
      </c>
      <c r="C762" t="s">
        <v>230</v>
      </c>
      <c r="D762" t="s">
        <v>341</v>
      </c>
      <c r="E762">
        <v>4</v>
      </c>
    </row>
    <row r="763" spans="1:5" x14ac:dyDescent="0.3">
      <c r="A763" t="s">
        <v>1210</v>
      </c>
      <c r="B763" s="1">
        <v>45684</v>
      </c>
      <c r="C763" t="s">
        <v>469</v>
      </c>
      <c r="D763" t="s">
        <v>393</v>
      </c>
      <c r="E763">
        <v>5</v>
      </c>
    </row>
    <row r="764" spans="1:5" x14ac:dyDescent="0.3">
      <c r="A764" t="s">
        <v>1211</v>
      </c>
      <c r="B764" s="1">
        <v>45703</v>
      </c>
      <c r="C764" t="s">
        <v>278</v>
      </c>
      <c r="D764" t="s">
        <v>442</v>
      </c>
      <c r="E764">
        <v>4</v>
      </c>
    </row>
    <row r="765" spans="1:5" x14ac:dyDescent="0.3">
      <c r="A765" t="s">
        <v>1212</v>
      </c>
      <c r="B765" s="1">
        <v>45982</v>
      </c>
      <c r="C765" t="s">
        <v>6</v>
      </c>
      <c r="D765" t="s">
        <v>422</v>
      </c>
      <c r="E765">
        <v>2</v>
      </c>
    </row>
    <row r="766" spans="1:5" x14ac:dyDescent="0.3">
      <c r="A766" t="s">
        <v>1213</v>
      </c>
      <c r="B766" s="1">
        <v>45960</v>
      </c>
      <c r="C766" t="s">
        <v>313</v>
      </c>
      <c r="D766" t="s">
        <v>373</v>
      </c>
      <c r="E766">
        <v>5</v>
      </c>
    </row>
    <row r="767" spans="1:5" x14ac:dyDescent="0.3">
      <c r="A767" t="s">
        <v>1214</v>
      </c>
      <c r="B767" s="1">
        <v>45916</v>
      </c>
      <c r="C767" t="s">
        <v>15</v>
      </c>
      <c r="D767" t="s">
        <v>358</v>
      </c>
      <c r="E767">
        <v>3</v>
      </c>
    </row>
    <row r="768" spans="1:5" x14ac:dyDescent="0.3">
      <c r="A768" t="s">
        <v>1215</v>
      </c>
      <c r="B768" s="1">
        <v>46019</v>
      </c>
      <c r="C768" t="s">
        <v>278</v>
      </c>
      <c r="D768" t="s">
        <v>328</v>
      </c>
      <c r="E768">
        <v>1</v>
      </c>
    </row>
    <row r="769" spans="1:5" x14ac:dyDescent="0.3">
      <c r="A769" t="s">
        <v>1216</v>
      </c>
      <c r="B769" s="1">
        <v>45981</v>
      </c>
      <c r="C769" t="s">
        <v>25</v>
      </c>
      <c r="D769" t="s">
        <v>406</v>
      </c>
      <c r="E769">
        <v>3</v>
      </c>
    </row>
    <row r="770" spans="1:5" x14ac:dyDescent="0.3">
      <c r="A770" t="s">
        <v>1217</v>
      </c>
      <c r="B770" s="1">
        <v>45891</v>
      </c>
      <c r="C770" t="s">
        <v>231</v>
      </c>
      <c r="D770" t="s">
        <v>351</v>
      </c>
      <c r="E770">
        <v>4</v>
      </c>
    </row>
    <row r="771" spans="1:5" x14ac:dyDescent="0.3">
      <c r="A771" t="s">
        <v>1218</v>
      </c>
      <c r="B771" s="1">
        <v>45861</v>
      </c>
      <c r="C771" t="s">
        <v>181</v>
      </c>
      <c r="D771" t="s">
        <v>426</v>
      </c>
      <c r="E771">
        <v>4</v>
      </c>
    </row>
    <row r="772" spans="1:5" x14ac:dyDescent="0.3">
      <c r="A772" t="s">
        <v>1219</v>
      </c>
      <c r="B772" s="1">
        <v>45996</v>
      </c>
      <c r="C772" t="s">
        <v>304</v>
      </c>
      <c r="D772" t="s">
        <v>370</v>
      </c>
      <c r="E772">
        <v>3</v>
      </c>
    </row>
    <row r="773" spans="1:5" x14ac:dyDescent="0.3">
      <c r="A773" t="s">
        <v>1220</v>
      </c>
      <c r="B773" s="1">
        <v>45705</v>
      </c>
      <c r="C773" t="s">
        <v>50</v>
      </c>
      <c r="D773" t="s">
        <v>377</v>
      </c>
      <c r="E773">
        <v>1</v>
      </c>
    </row>
    <row r="774" spans="1:5" x14ac:dyDescent="0.3">
      <c r="A774" t="s">
        <v>1221</v>
      </c>
      <c r="B774" s="1">
        <v>45796</v>
      </c>
      <c r="C774" t="s">
        <v>124</v>
      </c>
      <c r="D774" t="s">
        <v>373</v>
      </c>
      <c r="E774">
        <v>3</v>
      </c>
    </row>
    <row r="775" spans="1:5" x14ac:dyDescent="0.3">
      <c r="A775" t="s">
        <v>1222</v>
      </c>
      <c r="B775" s="1">
        <v>45804</v>
      </c>
      <c r="C775" t="s">
        <v>242</v>
      </c>
      <c r="D775" t="s">
        <v>406</v>
      </c>
      <c r="E775">
        <v>1</v>
      </c>
    </row>
    <row r="776" spans="1:5" x14ac:dyDescent="0.3">
      <c r="A776" t="s">
        <v>1223</v>
      </c>
      <c r="B776" s="1">
        <v>45724</v>
      </c>
      <c r="C776" t="s">
        <v>118</v>
      </c>
      <c r="D776" t="s">
        <v>403</v>
      </c>
      <c r="E776">
        <v>5</v>
      </c>
    </row>
    <row r="777" spans="1:5" x14ac:dyDescent="0.3">
      <c r="A777" t="s">
        <v>1224</v>
      </c>
      <c r="B777" s="1">
        <v>45931</v>
      </c>
      <c r="C777" t="s">
        <v>86</v>
      </c>
      <c r="D777" t="s">
        <v>359</v>
      </c>
      <c r="E777">
        <v>1</v>
      </c>
    </row>
    <row r="778" spans="1:5" x14ac:dyDescent="0.3">
      <c r="A778" t="s">
        <v>1225</v>
      </c>
      <c r="B778" s="1">
        <v>45812</v>
      </c>
      <c r="C778" t="s">
        <v>41</v>
      </c>
      <c r="D778" t="s">
        <v>420</v>
      </c>
      <c r="E778">
        <v>3</v>
      </c>
    </row>
    <row r="779" spans="1:5" x14ac:dyDescent="0.3">
      <c r="A779" t="s">
        <v>1226</v>
      </c>
      <c r="B779" s="1">
        <v>45698</v>
      </c>
      <c r="C779" t="s">
        <v>122</v>
      </c>
      <c r="D779" t="s">
        <v>433</v>
      </c>
      <c r="E779">
        <v>5</v>
      </c>
    </row>
    <row r="780" spans="1:5" x14ac:dyDescent="0.3">
      <c r="A780" t="s">
        <v>1227</v>
      </c>
      <c r="B780" s="1">
        <v>45709</v>
      </c>
      <c r="C780" t="s">
        <v>469</v>
      </c>
      <c r="D780" t="s">
        <v>429</v>
      </c>
      <c r="E780">
        <v>3</v>
      </c>
    </row>
    <row r="781" spans="1:5" x14ac:dyDescent="0.3">
      <c r="A781" t="s">
        <v>1228</v>
      </c>
      <c r="B781" s="1">
        <v>45704</v>
      </c>
      <c r="C781" t="s">
        <v>254</v>
      </c>
      <c r="D781" t="s">
        <v>390</v>
      </c>
      <c r="E781">
        <v>3</v>
      </c>
    </row>
    <row r="782" spans="1:5" x14ac:dyDescent="0.3">
      <c r="A782" t="s">
        <v>1229</v>
      </c>
      <c r="B782" s="1">
        <v>45917</v>
      </c>
      <c r="C782" t="s">
        <v>58</v>
      </c>
      <c r="D782" t="s">
        <v>410</v>
      </c>
      <c r="E782">
        <v>4</v>
      </c>
    </row>
    <row r="783" spans="1:5" x14ac:dyDescent="0.3">
      <c r="A783" t="s">
        <v>1230</v>
      </c>
      <c r="B783" s="1">
        <v>45891</v>
      </c>
      <c r="C783" t="s">
        <v>213</v>
      </c>
      <c r="D783" t="s">
        <v>401</v>
      </c>
      <c r="E783">
        <v>4</v>
      </c>
    </row>
    <row r="784" spans="1:5" x14ac:dyDescent="0.3">
      <c r="A784" t="s">
        <v>1231</v>
      </c>
      <c r="B784" s="1">
        <v>45667</v>
      </c>
      <c r="C784" t="s">
        <v>278</v>
      </c>
      <c r="D784" t="s">
        <v>385</v>
      </c>
      <c r="E784">
        <v>1</v>
      </c>
    </row>
    <row r="785" spans="1:5" x14ac:dyDescent="0.3">
      <c r="A785" t="s">
        <v>1232</v>
      </c>
      <c r="B785" s="1">
        <v>45896</v>
      </c>
      <c r="C785" t="s">
        <v>298</v>
      </c>
      <c r="D785" t="s">
        <v>436</v>
      </c>
      <c r="E785">
        <v>3</v>
      </c>
    </row>
    <row r="786" spans="1:5" x14ac:dyDescent="0.3">
      <c r="A786" t="s">
        <v>1233</v>
      </c>
      <c r="B786" s="1">
        <v>45816</v>
      </c>
      <c r="C786" t="s">
        <v>469</v>
      </c>
      <c r="D786" t="s">
        <v>365</v>
      </c>
      <c r="E786">
        <v>2</v>
      </c>
    </row>
    <row r="787" spans="1:5" x14ac:dyDescent="0.3">
      <c r="A787" t="s">
        <v>1234</v>
      </c>
      <c r="B787" s="1">
        <v>45922</v>
      </c>
      <c r="C787" t="s">
        <v>157</v>
      </c>
      <c r="D787" t="s">
        <v>400</v>
      </c>
      <c r="E787">
        <v>5</v>
      </c>
    </row>
    <row r="788" spans="1:5" x14ac:dyDescent="0.3">
      <c r="A788" t="s">
        <v>1235</v>
      </c>
      <c r="B788" s="1">
        <v>46006</v>
      </c>
      <c r="C788" t="s">
        <v>318</v>
      </c>
      <c r="D788" t="s">
        <v>434</v>
      </c>
      <c r="E788">
        <v>5</v>
      </c>
    </row>
    <row r="789" spans="1:5" x14ac:dyDescent="0.3">
      <c r="A789" t="s">
        <v>1236</v>
      </c>
      <c r="B789" s="1">
        <v>45892</v>
      </c>
      <c r="C789" t="s">
        <v>68</v>
      </c>
      <c r="D789" t="s">
        <v>390</v>
      </c>
      <c r="E789">
        <v>3</v>
      </c>
    </row>
    <row r="790" spans="1:5" x14ac:dyDescent="0.3">
      <c r="A790" t="s">
        <v>1237</v>
      </c>
      <c r="B790" s="1">
        <v>45962</v>
      </c>
      <c r="C790" t="s">
        <v>241</v>
      </c>
      <c r="D790" t="s">
        <v>394</v>
      </c>
      <c r="E790">
        <v>1</v>
      </c>
    </row>
    <row r="791" spans="1:5" x14ac:dyDescent="0.3">
      <c r="A791" t="s">
        <v>1238</v>
      </c>
      <c r="B791" s="1">
        <v>45877</v>
      </c>
      <c r="C791" t="s">
        <v>59</v>
      </c>
      <c r="D791" t="s">
        <v>356</v>
      </c>
      <c r="E791">
        <v>1</v>
      </c>
    </row>
    <row r="792" spans="1:5" x14ac:dyDescent="0.3">
      <c r="A792" t="s">
        <v>1239</v>
      </c>
      <c r="B792" s="1">
        <v>45830</v>
      </c>
      <c r="C792" t="s">
        <v>150</v>
      </c>
      <c r="D792" t="s">
        <v>341</v>
      </c>
      <c r="E792">
        <v>5</v>
      </c>
    </row>
    <row r="793" spans="1:5" x14ac:dyDescent="0.3">
      <c r="A793" t="s">
        <v>1240</v>
      </c>
      <c r="B793" s="1">
        <v>45950</v>
      </c>
      <c r="C793" t="s">
        <v>233</v>
      </c>
      <c r="D793" t="s">
        <v>414</v>
      </c>
      <c r="E793">
        <v>3</v>
      </c>
    </row>
    <row r="794" spans="1:5" x14ac:dyDescent="0.3">
      <c r="A794" t="s">
        <v>1241</v>
      </c>
      <c r="B794" s="1">
        <v>45817</v>
      </c>
      <c r="C794" t="s">
        <v>152</v>
      </c>
      <c r="D794" t="s">
        <v>360</v>
      </c>
      <c r="E794">
        <v>3</v>
      </c>
    </row>
    <row r="795" spans="1:5" x14ac:dyDescent="0.3">
      <c r="A795" t="s">
        <v>1242</v>
      </c>
      <c r="B795" s="1">
        <v>45833</v>
      </c>
      <c r="C795" t="s">
        <v>26</v>
      </c>
      <c r="D795" t="s">
        <v>389</v>
      </c>
      <c r="E795">
        <v>3</v>
      </c>
    </row>
    <row r="796" spans="1:5" x14ac:dyDescent="0.3">
      <c r="A796" t="s">
        <v>1243</v>
      </c>
      <c r="B796" s="1">
        <v>45825</v>
      </c>
      <c r="C796" t="s">
        <v>240</v>
      </c>
      <c r="D796" t="s">
        <v>341</v>
      </c>
      <c r="E796">
        <v>4</v>
      </c>
    </row>
    <row r="797" spans="1:5" x14ac:dyDescent="0.3">
      <c r="A797" t="s">
        <v>1244</v>
      </c>
      <c r="B797" s="1">
        <v>45782</v>
      </c>
      <c r="C797" t="s">
        <v>280</v>
      </c>
      <c r="D797" t="s">
        <v>400</v>
      </c>
      <c r="E797">
        <v>3</v>
      </c>
    </row>
    <row r="798" spans="1:5" x14ac:dyDescent="0.3">
      <c r="A798" t="s">
        <v>1245</v>
      </c>
      <c r="B798" s="1">
        <v>45808</v>
      </c>
      <c r="C798" t="s">
        <v>113</v>
      </c>
      <c r="D798" t="s">
        <v>407</v>
      </c>
      <c r="E798">
        <v>5</v>
      </c>
    </row>
    <row r="799" spans="1:5" x14ac:dyDescent="0.3">
      <c r="A799" t="s">
        <v>1246</v>
      </c>
      <c r="B799" s="1">
        <v>45677</v>
      </c>
      <c r="C799" t="s">
        <v>279</v>
      </c>
      <c r="D799" t="s">
        <v>367</v>
      </c>
      <c r="E799">
        <v>5</v>
      </c>
    </row>
    <row r="800" spans="1:5" x14ac:dyDescent="0.3">
      <c r="A800" t="s">
        <v>1247</v>
      </c>
      <c r="B800" s="1">
        <v>45912</v>
      </c>
      <c r="C800" t="s">
        <v>307</v>
      </c>
      <c r="D800" t="s">
        <v>424</v>
      </c>
      <c r="E800">
        <v>4</v>
      </c>
    </row>
    <row r="801" spans="1:5" x14ac:dyDescent="0.3">
      <c r="A801" t="s">
        <v>1248</v>
      </c>
      <c r="B801" s="1">
        <v>45671</v>
      </c>
      <c r="C801" t="s">
        <v>459</v>
      </c>
      <c r="D801" t="s">
        <v>442</v>
      </c>
      <c r="E801">
        <v>5</v>
      </c>
    </row>
    <row r="802" spans="1:5" x14ac:dyDescent="0.3">
      <c r="A802" t="s">
        <v>1249</v>
      </c>
      <c r="B802" s="1">
        <v>45876</v>
      </c>
      <c r="C802" t="s">
        <v>156</v>
      </c>
      <c r="D802" t="s">
        <v>415</v>
      </c>
      <c r="E802">
        <v>4</v>
      </c>
    </row>
    <row r="803" spans="1:5" x14ac:dyDescent="0.3">
      <c r="A803" t="s">
        <v>1250</v>
      </c>
      <c r="B803" s="1">
        <v>45989</v>
      </c>
      <c r="C803" t="s">
        <v>56</v>
      </c>
      <c r="D803" t="s">
        <v>408</v>
      </c>
      <c r="E803">
        <v>4</v>
      </c>
    </row>
    <row r="804" spans="1:5" x14ac:dyDescent="0.3">
      <c r="A804" t="s">
        <v>1251</v>
      </c>
      <c r="B804" s="1">
        <v>45778</v>
      </c>
      <c r="C804" t="s">
        <v>33</v>
      </c>
      <c r="D804" t="s">
        <v>385</v>
      </c>
      <c r="E804">
        <v>5</v>
      </c>
    </row>
    <row r="805" spans="1:5" x14ac:dyDescent="0.3">
      <c r="A805" t="s">
        <v>1252</v>
      </c>
      <c r="B805" s="1">
        <v>45904</v>
      </c>
      <c r="C805" t="s">
        <v>266</v>
      </c>
      <c r="D805" t="s">
        <v>338</v>
      </c>
      <c r="E805">
        <v>2</v>
      </c>
    </row>
    <row r="806" spans="1:5" x14ac:dyDescent="0.3">
      <c r="A806" t="s">
        <v>1253</v>
      </c>
      <c r="B806" s="1">
        <v>45869</v>
      </c>
      <c r="C806" t="s">
        <v>86</v>
      </c>
      <c r="D806" t="s">
        <v>426</v>
      </c>
      <c r="E806">
        <v>3</v>
      </c>
    </row>
    <row r="807" spans="1:5" x14ac:dyDescent="0.3">
      <c r="A807" t="s">
        <v>1254</v>
      </c>
      <c r="B807" s="1">
        <v>45828</v>
      </c>
      <c r="C807" t="s">
        <v>206</v>
      </c>
      <c r="D807" t="s">
        <v>370</v>
      </c>
      <c r="E807">
        <v>3</v>
      </c>
    </row>
    <row r="808" spans="1:5" x14ac:dyDescent="0.3">
      <c r="A808" t="s">
        <v>1255</v>
      </c>
      <c r="B808" s="1">
        <v>45961</v>
      </c>
      <c r="C808" t="s">
        <v>110</v>
      </c>
      <c r="D808" t="s">
        <v>381</v>
      </c>
      <c r="E808">
        <v>4</v>
      </c>
    </row>
    <row r="809" spans="1:5" x14ac:dyDescent="0.3">
      <c r="A809" t="s">
        <v>1256</v>
      </c>
      <c r="B809" s="1">
        <v>45946</v>
      </c>
      <c r="C809" t="s">
        <v>40</v>
      </c>
      <c r="D809" t="s">
        <v>358</v>
      </c>
      <c r="E809">
        <v>4</v>
      </c>
    </row>
    <row r="810" spans="1:5" x14ac:dyDescent="0.3">
      <c r="A810" t="s">
        <v>1257</v>
      </c>
      <c r="B810" s="1">
        <v>45872</v>
      </c>
      <c r="C810" t="s">
        <v>15</v>
      </c>
      <c r="D810" t="s">
        <v>377</v>
      </c>
      <c r="E810">
        <v>2</v>
      </c>
    </row>
    <row r="811" spans="1:5" x14ac:dyDescent="0.3">
      <c r="A811" t="s">
        <v>1258</v>
      </c>
      <c r="B811" s="1">
        <v>45727</v>
      </c>
      <c r="C811" t="s">
        <v>160</v>
      </c>
      <c r="D811" t="s">
        <v>341</v>
      </c>
      <c r="E811">
        <v>4</v>
      </c>
    </row>
    <row r="812" spans="1:5" x14ac:dyDescent="0.3">
      <c r="A812" t="s">
        <v>1259</v>
      </c>
      <c r="B812" s="1">
        <v>45795</v>
      </c>
      <c r="C812" t="s">
        <v>88</v>
      </c>
      <c r="D812" t="s">
        <v>432</v>
      </c>
      <c r="E812">
        <v>2</v>
      </c>
    </row>
    <row r="813" spans="1:5" x14ac:dyDescent="0.3">
      <c r="A813" t="s">
        <v>1260</v>
      </c>
      <c r="B813" s="1">
        <v>45683</v>
      </c>
      <c r="C813" t="s">
        <v>469</v>
      </c>
      <c r="D813" t="s">
        <v>355</v>
      </c>
      <c r="E813">
        <v>1</v>
      </c>
    </row>
    <row r="814" spans="1:5" x14ac:dyDescent="0.3">
      <c r="A814" t="s">
        <v>1261</v>
      </c>
      <c r="B814" s="1">
        <v>45784</v>
      </c>
      <c r="C814" t="s">
        <v>95</v>
      </c>
      <c r="D814" t="s">
        <v>399</v>
      </c>
      <c r="E814">
        <v>3</v>
      </c>
    </row>
    <row r="815" spans="1:5" x14ac:dyDescent="0.3">
      <c r="A815" t="s">
        <v>1262</v>
      </c>
      <c r="B815" s="1">
        <v>46014</v>
      </c>
      <c r="C815" t="s">
        <v>281</v>
      </c>
      <c r="D815" t="s">
        <v>417</v>
      </c>
      <c r="E815">
        <v>1</v>
      </c>
    </row>
    <row r="816" spans="1:5" x14ac:dyDescent="0.3">
      <c r="A816" t="s">
        <v>1263</v>
      </c>
      <c r="B816" s="1">
        <v>45782</v>
      </c>
      <c r="C816" t="s">
        <v>171</v>
      </c>
      <c r="D816" t="s">
        <v>345</v>
      </c>
      <c r="E816">
        <v>3</v>
      </c>
    </row>
    <row r="817" spans="1:5" x14ac:dyDescent="0.3">
      <c r="A817" t="s">
        <v>1264</v>
      </c>
      <c r="B817" s="1">
        <v>45866</v>
      </c>
      <c r="C817" t="s">
        <v>119</v>
      </c>
      <c r="D817" t="s">
        <v>366</v>
      </c>
      <c r="E817">
        <v>3</v>
      </c>
    </row>
    <row r="818" spans="1:5" x14ac:dyDescent="0.3">
      <c r="A818" t="s">
        <v>1265</v>
      </c>
      <c r="B818" s="1">
        <v>45665</v>
      </c>
      <c r="C818" t="s">
        <v>116</v>
      </c>
      <c r="D818" t="s">
        <v>436</v>
      </c>
      <c r="E818">
        <v>3</v>
      </c>
    </row>
    <row r="819" spans="1:5" x14ac:dyDescent="0.3">
      <c r="A819" t="s">
        <v>1266</v>
      </c>
      <c r="B819" s="1">
        <v>45821</v>
      </c>
      <c r="C819" t="s">
        <v>268</v>
      </c>
      <c r="D819" t="s">
        <v>416</v>
      </c>
      <c r="E819">
        <v>4</v>
      </c>
    </row>
    <row r="820" spans="1:5" x14ac:dyDescent="0.3">
      <c r="A820" t="s">
        <v>1267</v>
      </c>
      <c r="B820" s="1">
        <v>45675</v>
      </c>
      <c r="C820" t="s">
        <v>185</v>
      </c>
      <c r="D820" t="s">
        <v>366</v>
      </c>
      <c r="E820">
        <v>5</v>
      </c>
    </row>
    <row r="821" spans="1:5" x14ac:dyDescent="0.3">
      <c r="A821" t="s">
        <v>1268</v>
      </c>
      <c r="B821" s="1">
        <v>45744</v>
      </c>
      <c r="C821" t="s">
        <v>89</v>
      </c>
      <c r="D821" t="s">
        <v>394</v>
      </c>
      <c r="E821">
        <v>5</v>
      </c>
    </row>
    <row r="822" spans="1:5" x14ac:dyDescent="0.3">
      <c r="A822" t="s">
        <v>1269</v>
      </c>
      <c r="B822" s="1">
        <v>45705</v>
      </c>
      <c r="C822" t="s">
        <v>186</v>
      </c>
      <c r="D822" t="s">
        <v>360</v>
      </c>
      <c r="E822">
        <v>3</v>
      </c>
    </row>
    <row r="823" spans="1:5" x14ac:dyDescent="0.3">
      <c r="A823" t="s">
        <v>1270</v>
      </c>
      <c r="B823" s="1">
        <v>45860</v>
      </c>
      <c r="C823" t="s">
        <v>317</v>
      </c>
      <c r="D823" t="s">
        <v>398</v>
      </c>
      <c r="E823">
        <v>5</v>
      </c>
    </row>
    <row r="824" spans="1:5" x14ac:dyDescent="0.3">
      <c r="A824" t="s">
        <v>1271</v>
      </c>
      <c r="B824" s="1">
        <v>45820</v>
      </c>
      <c r="C824" t="s">
        <v>288</v>
      </c>
      <c r="D824" t="s">
        <v>395</v>
      </c>
      <c r="E824">
        <v>1</v>
      </c>
    </row>
    <row r="825" spans="1:5" x14ac:dyDescent="0.3">
      <c r="A825" t="s">
        <v>1272</v>
      </c>
      <c r="B825" s="1">
        <v>45979</v>
      </c>
      <c r="C825" t="s">
        <v>469</v>
      </c>
      <c r="D825" t="s">
        <v>403</v>
      </c>
      <c r="E825">
        <v>1</v>
      </c>
    </row>
    <row r="826" spans="1:5" x14ac:dyDescent="0.3">
      <c r="A826" t="s">
        <v>1273</v>
      </c>
      <c r="B826" s="1">
        <v>45920</v>
      </c>
      <c r="C826" t="s">
        <v>314</v>
      </c>
      <c r="D826" t="s">
        <v>401</v>
      </c>
      <c r="E826">
        <v>3</v>
      </c>
    </row>
    <row r="827" spans="1:5" x14ac:dyDescent="0.3">
      <c r="A827" t="s">
        <v>1274</v>
      </c>
      <c r="B827" s="1">
        <v>45978</v>
      </c>
      <c r="C827" t="s">
        <v>34</v>
      </c>
      <c r="D827" t="s">
        <v>399</v>
      </c>
      <c r="E827">
        <v>5</v>
      </c>
    </row>
    <row r="828" spans="1:5" x14ac:dyDescent="0.3">
      <c r="A828" t="s">
        <v>1275</v>
      </c>
      <c r="B828" s="1">
        <v>45717</v>
      </c>
      <c r="C828" t="s">
        <v>161</v>
      </c>
      <c r="D828" t="s">
        <v>383</v>
      </c>
      <c r="E828">
        <v>4</v>
      </c>
    </row>
    <row r="829" spans="1:5" x14ac:dyDescent="0.3">
      <c r="A829" t="s">
        <v>1276</v>
      </c>
      <c r="B829" s="1">
        <v>45796</v>
      </c>
      <c r="C829" t="s">
        <v>170</v>
      </c>
      <c r="D829" t="s">
        <v>402</v>
      </c>
      <c r="E829">
        <v>5</v>
      </c>
    </row>
    <row r="830" spans="1:5" x14ac:dyDescent="0.3">
      <c r="A830" t="s">
        <v>1277</v>
      </c>
      <c r="B830" s="1">
        <v>45924</v>
      </c>
      <c r="C830" t="s">
        <v>64</v>
      </c>
      <c r="D830" t="s">
        <v>389</v>
      </c>
      <c r="E830">
        <v>1</v>
      </c>
    </row>
    <row r="831" spans="1:5" x14ac:dyDescent="0.3">
      <c r="A831" t="s">
        <v>1278</v>
      </c>
      <c r="B831" s="1">
        <v>45861</v>
      </c>
      <c r="C831" t="s">
        <v>240</v>
      </c>
      <c r="D831" t="s">
        <v>391</v>
      </c>
      <c r="E831">
        <v>1</v>
      </c>
    </row>
    <row r="832" spans="1:5" x14ac:dyDescent="0.3">
      <c r="A832" t="s">
        <v>1279</v>
      </c>
      <c r="B832" s="1">
        <v>45995</v>
      </c>
      <c r="C832" t="s">
        <v>151</v>
      </c>
      <c r="D832" t="s">
        <v>343</v>
      </c>
      <c r="E832">
        <v>3</v>
      </c>
    </row>
    <row r="833" spans="1:5" x14ac:dyDescent="0.3">
      <c r="A833" t="s">
        <v>1280</v>
      </c>
      <c r="B833" s="1">
        <v>45959</v>
      </c>
      <c r="C833" t="s">
        <v>73</v>
      </c>
      <c r="D833" t="s">
        <v>372</v>
      </c>
      <c r="E833">
        <v>2</v>
      </c>
    </row>
    <row r="834" spans="1:5" x14ac:dyDescent="0.3">
      <c r="A834" t="s">
        <v>1281</v>
      </c>
      <c r="B834" s="1">
        <v>45995</v>
      </c>
      <c r="C834" t="s">
        <v>141</v>
      </c>
      <c r="D834" t="s">
        <v>360</v>
      </c>
      <c r="E834">
        <v>1</v>
      </c>
    </row>
    <row r="835" spans="1:5" x14ac:dyDescent="0.3">
      <c r="A835" t="s">
        <v>1282</v>
      </c>
      <c r="B835" s="1">
        <v>46009</v>
      </c>
      <c r="C835" t="s">
        <v>98</v>
      </c>
      <c r="D835" t="s">
        <v>334</v>
      </c>
      <c r="E835">
        <v>4</v>
      </c>
    </row>
    <row r="836" spans="1:5" x14ac:dyDescent="0.3">
      <c r="A836" t="s">
        <v>1283</v>
      </c>
      <c r="B836" s="1">
        <v>45696</v>
      </c>
      <c r="C836" t="s">
        <v>276</v>
      </c>
      <c r="D836" t="s">
        <v>396</v>
      </c>
      <c r="E836">
        <v>3</v>
      </c>
    </row>
    <row r="837" spans="1:5" x14ac:dyDescent="0.3">
      <c r="A837" t="s">
        <v>1284</v>
      </c>
      <c r="B837" s="1">
        <v>45862</v>
      </c>
      <c r="C837" t="s">
        <v>118</v>
      </c>
      <c r="D837" t="s">
        <v>362</v>
      </c>
      <c r="E837">
        <v>1</v>
      </c>
    </row>
    <row r="838" spans="1:5" x14ac:dyDescent="0.3">
      <c r="A838" t="s">
        <v>1285</v>
      </c>
      <c r="B838" s="1">
        <v>45683</v>
      </c>
      <c r="C838" t="s">
        <v>227</v>
      </c>
      <c r="D838" t="s">
        <v>439</v>
      </c>
      <c r="E838">
        <v>4</v>
      </c>
    </row>
    <row r="839" spans="1:5" x14ac:dyDescent="0.3">
      <c r="A839" t="s">
        <v>1286</v>
      </c>
      <c r="B839" s="1">
        <v>45869</v>
      </c>
      <c r="C839" t="s">
        <v>205</v>
      </c>
      <c r="D839" t="s">
        <v>402</v>
      </c>
      <c r="E839">
        <v>2</v>
      </c>
    </row>
    <row r="840" spans="1:5" x14ac:dyDescent="0.3">
      <c r="A840" t="s">
        <v>1287</v>
      </c>
      <c r="B840" s="1">
        <v>45916</v>
      </c>
      <c r="C840" t="s">
        <v>78</v>
      </c>
      <c r="D840" t="s">
        <v>438</v>
      </c>
      <c r="E840">
        <v>1</v>
      </c>
    </row>
    <row r="841" spans="1:5" x14ac:dyDescent="0.3">
      <c r="A841" t="s">
        <v>1288</v>
      </c>
      <c r="B841" s="1">
        <v>45982</v>
      </c>
      <c r="C841" t="s">
        <v>119</v>
      </c>
      <c r="D841" t="s">
        <v>372</v>
      </c>
      <c r="E841">
        <v>1</v>
      </c>
    </row>
    <row r="842" spans="1:5" x14ac:dyDescent="0.3">
      <c r="A842" t="s">
        <v>1289</v>
      </c>
      <c r="B842" s="1">
        <v>46014</v>
      </c>
      <c r="C842" t="s">
        <v>212</v>
      </c>
      <c r="D842" t="s">
        <v>443</v>
      </c>
      <c r="E842">
        <v>2</v>
      </c>
    </row>
    <row r="843" spans="1:5" x14ac:dyDescent="0.3">
      <c r="A843" t="s">
        <v>1290</v>
      </c>
      <c r="B843" s="1">
        <v>45943</v>
      </c>
      <c r="C843" t="s">
        <v>319</v>
      </c>
      <c r="D843" t="s">
        <v>441</v>
      </c>
      <c r="E843">
        <v>5</v>
      </c>
    </row>
    <row r="844" spans="1:5" x14ac:dyDescent="0.3">
      <c r="A844" t="s">
        <v>1291</v>
      </c>
      <c r="B844" s="1">
        <v>45953</v>
      </c>
      <c r="C844" t="s">
        <v>156</v>
      </c>
      <c r="D844" t="s">
        <v>328</v>
      </c>
      <c r="E844">
        <v>3</v>
      </c>
    </row>
    <row r="845" spans="1:5" x14ac:dyDescent="0.3">
      <c r="A845" t="s">
        <v>1292</v>
      </c>
      <c r="B845" s="1">
        <v>45930</v>
      </c>
      <c r="C845" t="s">
        <v>204</v>
      </c>
      <c r="D845" t="s">
        <v>426</v>
      </c>
      <c r="E845">
        <v>1</v>
      </c>
    </row>
    <row r="846" spans="1:5" x14ac:dyDescent="0.3">
      <c r="A846" t="s">
        <v>1293</v>
      </c>
      <c r="B846" s="1">
        <v>46022</v>
      </c>
      <c r="C846" t="s">
        <v>298</v>
      </c>
      <c r="D846" t="s">
        <v>366</v>
      </c>
      <c r="E846">
        <v>5</v>
      </c>
    </row>
    <row r="847" spans="1:5" x14ac:dyDescent="0.3">
      <c r="A847" t="s">
        <v>1294</v>
      </c>
      <c r="B847" s="1">
        <v>45892</v>
      </c>
      <c r="C847" t="s">
        <v>295</v>
      </c>
      <c r="D847" t="s">
        <v>403</v>
      </c>
      <c r="E847">
        <v>1</v>
      </c>
    </row>
    <row r="848" spans="1:5" x14ac:dyDescent="0.3">
      <c r="A848" t="s">
        <v>1295</v>
      </c>
      <c r="B848" s="1">
        <v>45795</v>
      </c>
      <c r="C848" t="s">
        <v>266</v>
      </c>
      <c r="D848" t="s">
        <v>358</v>
      </c>
      <c r="E848">
        <v>3</v>
      </c>
    </row>
    <row r="849" spans="1:5" x14ac:dyDescent="0.3">
      <c r="A849" t="s">
        <v>1296</v>
      </c>
      <c r="B849" s="1">
        <v>45669</v>
      </c>
      <c r="C849" t="s">
        <v>165</v>
      </c>
      <c r="D849" t="s">
        <v>421</v>
      </c>
      <c r="E849">
        <v>1</v>
      </c>
    </row>
    <row r="850" spans="1:5" x14ac:dyDescent="0.3">
      <c r="A850" t="s">
        <v>1297</v>
      </c>
      <c r="B850" s="1">
        <v>45838</v>
      </c>
      <c r="C850" t="s">
        <v>60</v>
      </c>
      <c r="D850" t="s">
        <v>376</v>
      </c>
      <c r="E850">
        <v>5</v>
      </c>
    </row>
    <row r="851" spans="1:5" x14ac:dyDescent="0.3">
      <c r="A851" t="s">
        <v>1298</v>
      </c>
      <c r="B851" s="1">
        <v>45935</v>
      </c>
      <c r="C851" t="s">
        <v>197</v>
      </c>
      <c r="D851" t="s">
        <v>348</v>
      </c>
      <c r="E851">
        <v>4</v>
      </c>
    </row>
    <row r="852" spans="1:5" x14ac:dyDescent="0.3">
      <c r="A852" t="s">
        <v>1299</v>
      </c>
      <c r="B852" s="1">
        <v>46007</v>
      </c>
      <c r="C852" t="s">
        <v>18</v>
      </c>
      <c r="D852" t="s">
        <v>375</v>
      </c>
      <c r="E852">
        <v>4</v>
      </c>
    </row>
    <row r="853" spans="1:5" x14ac:dyDescent="0.3">
      <c r="A853" t="s">
        <v>1300</v>
      </c>
      <c r="B853" s="1">
        <v>45779</v>
      </c>
      <c r="C853" t="s">
        <v>41</v>
      </c>
      <c r="D853" t="s">
        <v>359</v>
      </c>
      <c r="E853">
        <v>1</v>
      </c>
    </row>
    <row r="854" spans="1:5" x14ac:dyDescent="0.3">
      <c r="A854" t="s">
        <v>1301</v>
      </c>
      <c r="B854" s="1">
        <v>45956</v>
      </c>
      <c r="C854" t="s">
        <v>216</v>
      </c>
      <c r="D854" t="s">
        <v>384</v>
      </c>
      <c r="E854">
        <v>1</v>
      </c>
    </row>
    <row r="855" spans="1:5" x14ac:dyDescent="0.3">
      <c r="A855" t="s">
        <v>1302</v>
      </c>
      <c r="B855" s="1">
        <v>45711</v>
      </c>
      <c r="C855" t="s">
        <v>215</v>
      </c>
      <c r="D855" t="s">
        <v>425</v>
      </c>
      <c r="E855">
        <v>4</v>
      </c>
    </row>
    <row r="856" spans="1:5" x14ac:dyDescent="0.3">
      <c r="A856" t="s">
        <v>1303</v>
      </c>
      <c r="B856" s="1">
        <v>45921</v>
      </c>
      <c r="C856" t="s">
        <v>301</v>
      </c>
      <c r="D856" t="s">
        <v>393</v>
      </c>
      <c r="E856">
        <v>4</v>
      </c>
    </row>
    <row r="857" spans="1:5" x14ac:dyDescent="0.3">
      <c r="A857" t="s">
        <v>1304</v>
      </c>
      <c r="B857" s="1">
        <v>45840</v>
      </c>
      <c r="C857" t="s">
        <v>254</v>
      </c>
      <c r="D857" t="s">
        <v>343</v>
      </c>
      <c r="E857">
        <v>4</v>
      </c>
    </row>
    <row r="858" spans="1:5" x14ac:dyDescent="0.3">
      <c r="A858" t="s">
        <v>1305</v>
      </c>
      <c r="B858" s="1">
        <v>45927</v>
      </c>
      <c r="C858" t="s">
        <v>3</v>
      </c>
      <c r="D858" t="s">
        <v>413</v>
      </c>
      <c r="E858">
        <v>1</v>
      </c>
    </row>
    <row r="859" spans="1:5" x14ac:dyDescent="0.3">
      <c r="A859" t="s">
        <v>1306</v>
      </c>
      <c r="B859" s="1">
        <v>45814</v>
      </c>
      <c r="C859" t="s">
        <v>284</v>
      </c>
      <c r="D859" t="s">
        <v>409</v>
      </c>
      <c r="E859">
        <v>5</v>
      </c>
    </row>
    <row r="860" spans="1:5" x14ac:dyDescent="0.3">
      <c r="A860" t="s">
        <v>1307</v>
      </c>
      <c r="B860" s="1">
        <v>45988</v>
      </c>
      <c r="C860" t="s">
        <v>299</v>
      </c>
      <c r="D860" t="s">
        <v>331</v>
      </c>
      <c r="E860">
        <v>2</v>
      </c>
    </row>
    <row r="861" spans="1:5" x14ac:dyDescent="0.3">
      <c r="A861" t="s">
        <v>1308</v>
      </c>
      <c r="B861" s="1">
        <v>45875</v>
      </c>
      <c r="C861" t="s">
        <v>459</v>
      </c>
      <c r="D861" t="s">
        <v>432</v>
      </c>
      <c r="E861">
        <v>1</v>
      </c>
    </row>
    <row r="862" spans="1:5" x14ac:dyDescent="0.3">
      <c r="A862" t="s">
        <v>1309</v>
      </c>
      <c r="B862" s="1">
        <v>45978</v>
      </c>
      <c r="C862" t="s">
        <v>120</v>
      </c>
      <c r="D862" t="s">
        <v>367</v>
      </c>
      <c r="E862">
        <v>5</v>
      </c>
    </row>
    <row r="863" spans="1:5" x14ac:dyDescent="0.3">
      <c r="A863" t="s">
        <v>1310</v>
      </c>
      <c r="B863" s="1">
        <v>45941</v>
      </c>
      <c r="C863" t="s">
        <v>62</v>
      </c>
      <c r="D863" t="s">
        <v>403</v>
      </c>
      <c r="E863">
        <v>2</v>
      </c>
    </row>
    <row r="864" spans="1:5" x14ac:dyDescent="0.3">
      <c r="A864" t="s">
        <v>1311</v>
      </c>
      <c r="B864" s="1">
        <v>45988</v>
      </c>
      <c r="C864" t="s">
        <v>177</v>
      </c>
      <c r="D864" t="s">
        <v>422</v>
      </c>
      <c r="E864">
        <v>4</v>
      </c>
    </row>
    <row r="865" spans="1:5" x14ac:dyDescent="0.3">
      <c r="A865" t="s">
        <v>1312</v>
      </c>
      <c r="B865" s="1">
        <v>45931</v>
      </c>
      <c r="C865" t="s">
        <v>151</v>
      </c>
      <c r="D865" t="s">
        <v>396</v>
      </c>
      <c r="E865">
        <v>2</v>
      </c>
    </row>
    <row r="866" spans="1:5" x14ac:dyDescent="0.3">
      <c r="A866" t="s">
        <v>1313</v>
      </c>
      <c r="B866" s="1">
        <v>45808</v>
      </c>
      <c r="C866" t="s">
        <v>196</v>
      </c>
      <c r="D866" t="s">
        <v>376</v>
      </c>
      <c r="E866">
        <v>5</v>
      </c>
    </row>
    <row r="867" spans="1:5" x14ac:dyDescent="0.3">
      <c r="A867" t="s">
        <v>1314</v>
      </c>
      <c r="B867" s="1">
        <v>45775</v>
      </c>
      <c r="C867" t="s">
        <v>459</v>
      </c>
      <c r="D867" t="s">
        <v>383</v>
      </c>
      <c r="E867">
        <v>5</v>
      </c>
    </row>
    <row r="868" spans="1:5" x14ac:dyDescent="0.3">
      <c r="A868" t="s">
        <v>1315</v>
      </c>
      <c r="B868" s="1">
        <v>45658</v>
      </c>
      <c r="C868" t="s">
        <v>127</v>
      </c>
      <c r="D868" t="s">
        <v>366</v>
      </c>
      <c r="E868">
        <v>5</v>
      </c>
    </row>
    <row r="869" spans="1:5" x14ac:dyDescent="0.3">
      <c r="A869" t="s">
        <v>1316</v>
      </c>
      <c r="B869" s="1">
        <v>45787</v>
      </c>
      <c r="C869" t="s">
        <v>313</v>
      </c>
      <c r="D869" t="s">
        <v>427</v>
      </c>
      <c r="E869">
        <v>2</v>
      </c>
    </row>
    <row r="870" spans="1:5" x14ac:dyDescent="0.3">
      <c r="A870" t="s">
        <v>1317</v>
      </c>
      <c r="B870" s="1">
        <v>45988</v>
      </c>
      <c r="C870" t="s">
        <v>199</v>
      </c>
      <c r="D870" t="s">
        <v>428</v>
      </c>
      <c r="E870">
        <v>3</v>
      </c>
    </row>
    <row r="871" spans="1:5" x14ac:dyDescent="0.3">
      <c r="A871" t="s">
        <v>1318</v>
      </c>
      <c r="B871" s="1">
        <v>45959</v>
      </c>
      <c r="C871" t="s">
        <v>179</v>
      </c>
      <c r="D871" t="s">
        <v>415</v>
      </c>
      <c r="E871">
        <v>5</v>
      </c>
    </row>
    <row r="872" spans="1:5" x14ac:dyDescent="0.3">
      <c r="A872" t="s">
        <v>1319</v>
      </c>
      <c r="B872" s="1">
        <v>45808</v>
      </c>
      <c r="C872" t="s">
        <v>50</v>
      </c>
      <c r="D872" t="s">
        <v>351</v>
      </c>
      <c r="E872">
        <v>2</v>
      </c>
    </row>
    <row r="873" spans="1:5" x14ac:dyDescent="0.3">
      <c r="A873" t="s">
        <v>1320</v>
      </c>
      <c r="B873" s="1">
        <v>45871</v>
      </c>
      <c r="C873" t="s">
        <v>236</v>
      </c>
      <c r="D873" t="s">
        <v>380</v>
      </c>
      <c r="E873">
        <v>1</v>
      </c>
    </row>
    <row r="874" spans="1:5" x14ac:dyDescent="0.3">
      <c r="A874" t="s">
        <v>1321</v>
      </c>
      <c r="B874" s="1">
        <v>45850</v>
      </c>
      <c r="C874" t="s">
        <v>231</v>
      </c>
      <c r="D874" t="s">
        <v>362</v>
      </c>
      <c r="E874">
        <v>3</v>
      </c>
    </row>
    <row r="875" spans="1:5" x14ac:dyDescent="0.3">
      <c r="A875" t="s">
        <v>1322</v>
      </c>
      <c r="B875" s="1">
        <v>45954</v>
      </c>
      <c r="C875" t="s">
        <v>243</v>
      </c>
      <c r="D875" t="s">
        <v>426</v>
      </c>
      <c r="E875">
        <v>1</v>
      </c>
    </row>
    <row r="876" spans="1:5" x14ac:dyDescent="0.3">
      <c r="A876" t="s">
        <v>1323</v>
      </c>
      <c r="B876" s="1">
        <v>45846</v>
      </c>
      <c r="C876" t="s">
        <v>183</v>
      </c>
      <c r="D876" t="s">
        <v>406</v>
      </c>
      <c r="E876">
        <v>4</v>
      </c>
    </row>
    <row r="877" spans="1:5" x14ac:dyDescent="0.3">
      <c r="A877" t="s">
        <v>1324</v>
      </c>
      <c r="B877" s="1">
        <v>45732</v>
      </c>
      <c r="C877" t="s">
        <v>63</v>
      </c>
      <c r="D877" t="s">
        <v>358</v>
      </c>
      <c r="E877">
        <v>1</v>
      </c>
    </row>
    <row r="878" spans="1:5" x14ac:dyDescent="0.3">
      <c r="A878" t="s">
        <v>1325</v>
      </c>
      <c r="B878" s="1">
        <v>45713</v>
      </c>
      <c r="C878" t="s">
        <v>243</v>
      </c>
      <c r="D878" t="s">
        <v>441</v>
      </c>
      <c r="E878">
        <v>3</v>
      </c>
    </row>
    <row r="879" spans="1:5" x14ac:dyDescent="0.3">
      <c r="A879" t="s">
        <v>1326</v>
      </c>
      <c r="B879" s="1">
        <v>46011</v>
      </c>
      <c r="C879" t="s">
        <v>231</v>
      </c>
      <c r="D879" t="s">
        <v>384</v>
      </c>
      <c r="E879">
        <v>3</v>
      </c>
    </row>
    <row r="880" spans="1:5" x14ac:dyDescent="0.3">
      <c r="A880" t="s">
        <v>1327</v>
      </c>
      <c r="B880" s="1">
        <v>45878</v>
      </c>
      <c r="C880" t="s">
        <v>26</v>
      </c>
      <c r="D880" t="s">
        <v>418</v>
      </c>
      <c r="E880">
        <v>4</v>
      </c>
    </row>
    <row r="881" spans="1:5" x14ac:dyDescent="0.3">
      <c r="A881" t="s">
        <v>1328</v>
      </c>
      <c r="B881" s="1">
        <v>45824</v>
      </c>
      <c r="C881" t="s">
        <v>294</v>
      </c>
      <c r="D881" t="s">
        <v>393</v>
      </c>
      <c r="E881">
        <v>5</v>
      </c>
    </row>
    <row r="882" spans="1:5" x14ac:dyDescent="0.3">
      <c r="A882" t="s">
        <v>1329</v>
      </c>
      <c r="B882" s="1">
        <v>45965</v>
      </c>
      <c r="C882" t="s">
        <v>275</v>
      </c>
      <c r="D882" t="s">
        <v>341</v>
      </c>
      <c r="E882">
        <v>2</v>
      </c>
    </row>
    <row r="883" spans="1:5" x14ac:dyDescent="0.3">
      <c r="A883" t="s">
        <v>1330</v>
      </c>
      <c r="B883" s="1">
        <v>45828</v>
      </c>
      <c r="C883" t="s">
        <v>88</v>
      </c>
      <c r="D883" t="s">
        <v>438</v>
      </c>
      <c r="E883">
        <v>4</v>
      </c>
    </row>
    <row r="884" spans="1:5" x14ac:dyDescent="0.3">
      <c r="A884" t="s">
        <v>1331</v>
      </c>
      <c r="B884" s="1">
        <v>45970</v>
      </c>
      <c r="C884" t="s">
        <v>173</v>
      </c>
      <c r="D884" t="s">
        <v>443</v>
      </c>
      <c r="E884">
        <v>4</v>
      </c>
    </row>
    <row r="885" spans="1:5" x14ac:dyDescent="0.3">
      <c r="A885" t="s">
        <v>1332</v>
      </c>
      <c r="B885" s="1">
        <v>45937</v>
      </c>
      <c r="C885" t="s">
        <v>94</v>
      </c>
      <c r="D885" t="s">
        <v>386</v>
      </c>
      <c r="E885">
        <v>2</v>
      </c>
    </row>
    <row r="886" spans="1:5" x14ac:dyDescent="0.3">
      <c r="A886" t="s">
        <v>1333</v>
      </c>
      <c r="B886" s="1">
        <v>45886</v>
      </c>
      <c r="C886" t="s">
        <v>199</v>
      </c>
      <c r="D886" t="s">
        <v>380</v>
      </c>
      <c r="E886">
        <v>2</v>
      </c>
    </row>
    <row r="887" spans="1:5" x14ac:dyDescent="0.3">
      <c r="A887" t="s">
        <v>1334</v>
      </c>
      <c r="B887" s="1">
        <v>46001</v>
      </c>
      <c r="C887" t="s">
        <v>469</v>
      </c>
      <c r="D887" t="s">
        <v>397</v>
      </c>
      <c r="E887">
        <v>3</v>
      </c>
    </row>
    <row r="888" spans="1:5" x14ac:dyDescent="0.3">
      <c r="A888" t="s">
        <v>1335</v>
      </c>
      <c r="B888" s="1">
        <v>45901</v>
      </c>
      <c r="C888" t="s">
        <v>81</v>
      </c>
      <c r="D888" t="s">
        <v>388</v>
      </c>
      <c r="E888">
        <v>4</v>
      </c>
    </row>
    <row r="889" spans="1:5" x14ac:dyDescent="0.3">
      <c r="A889" t="s">
        <v>1336</v>
      </c>
      <c r="B889" s="1">
        <v>45822</v>
      </c>
      <c r="C889" t="s">
        <v>254</v>
      </c>
      <c r="D889" t="s">
        <v>407</v>
      </c>
      <c r="E889">
        <v>1</v>
      </c>
    </row>
    <row r="890" spans="1:5" x14ac:dyDescent="0.3">
      <c r="A890" t="s">
        <v>1337</v>
      </c>
      <c r="B890" s="1">
        <v>45899</v>
      </c>
      <c r="C890" t="s">
        <v>196</v>
      </c>
      <c r="D890" t="s">
        <v>438</v>
      </c>
      <c r="E890">
        <v>4</v>
      </c>
    </row>
    <row r="891" spans="1:5" x14ac:dyDescent="0.3">
      <c r="A891" t="s">
        <v>1338</v>
      </c>
      <c r="B891" s="1">
        <v>45734</v>
      </c>
      <c r="C891" t="s">
        <v>151</v>
      </c>
      <c r="D891" t="s">
        <v>431</v>
      </c>
      <c r="E891">
        <v>3</v>
      </c>
    </row>
    <row r="892" spans="1:5" x14ac:dyDescent="0.3">
      <c r="A892" t="s">
        <v>1339</v>
      </c>
      <c r="B892" s="1">
        <v>45675</v>
      </c>
      <c r="C892" t="s">
        <v>13</v>
      </c>
      <c r="D892" t="s">
        <v>420</v>
      </c>
      <c r="E892">
        <v>1</v>
      </c>
    </row>
    <row r="893" spans="1:5" x14ac:dyDescent="0.3">
      <c r="A893" t="s">
        <v>1340</v>
      </c>
      <c r="B893" s="1">
        <v>45879</v>
      </c>
      <c r="C893" t="s">
        <v>206</v>
      </c>
      <c r="D893" t="s">
        <v>380</v>
      </c>
      <c r="E893">
        <v>1</v>
      </c>
    </row>
    <row r="894" spans="1:5" x14ac:dyDescent="0.3">
      <c r="A894" t="s">
        <v>1341</v>
      </c>
      <c r="B894" s="1">
        <v>45912</v>
      </c>
      <c r="C894" t="s">
        <v>276</v>
      </c>
      <c r="D894" t="s">
        <v>387</v>
      </c>
      <c r="E894">
        <v>4</v>
      </c>
    </row>
    <row r="895" spans="1:5" x14ac:dyDescent="0.3">
      <c r="A895" t="s">
        <v>1342</v>
      </c>
      <c r="B895" s="1">
        <v>45770</v>
      </c>
      <c r="C895" t="s">
        <v>62</v>
      </c>
      <c r="D895" t="s">
        <v>428</v>
      </c>
      <c r="E895">
        <v>1</v>
      </c>
    </row>
    <row r="896" spans="1:5" x14ac:dyDescent="0.3">
      <c r="A896" t="s">
        <v>1343</v>
      </c>
      <c r="B896" s="1">
        <v>45846</v>
      </c>
      <c r="C896" t="s">
        <v>233</v>
      </c>
      <c r="D896" t="s">
        <v>354</v>
      </c>
      <c r="E896">
        <v>5</v>
      </c>
    </row>
    <row r="897" spans="1:5" x14ac:dyDescent="0.3">
      <c r="A897" t="s">
        <v>1344</v>
      </c>
      <c r="B897" s="1">
        <v>45851</v>
      </c>
      <c r="C897" t="s">
        <v>15</v>
      </c>
      <c r="D897" t="s">
        <v>433</v>
      </c>
      <c r="E897">
        <v>1</v>
      </c>
    </row>
    <row r="898" spans="1:5" x14ac:dyDescent="0.3">
      <c r="A898" t="s">
        <v>1345</v>
      </c>
      <c r="B898" s="1">
        <v>45715</v>
      </c>
      <c r="C898" t="s">
        <v>262</v>
      </c>
      <c r="D898" t="s">
        <v>352</v>
      </c>
      <c r="E898">
        <v>4</v>
      </c>
    </row>
    <row r="899" spans="1:5" x14ac:dyDescent="0.3">
      <c r="A899" t="s">
        <v>1346</v>
      </c>
      <c r="B899" s="1">
        <v>45710</v>
      </c>
      <c r="C899" t="s">
        <v>3</v>
      </c>
      <c r="D899" t="s">
        <v>383</v>
      </c>
      <c r="E899">
        <v>2</v>
      </c>
    </row>
    <row r="900" spans="1:5" x14ac:dyDescent="0.3">
      <c r="A900" t="s">
        <v>1347</v>
      </c>
      <c r="B900" s="1">
        <v>46007</v>
      </c>
      <c r="C900" t="s">
        <v>108</v>
      </c>
      <c r="D900" t="s">
        <v>371</v>
      </c>
      <c r="E900">
        <v>4</v>
      </c>
    </row>
    <row r="901" spans="1:5" x14ac:dyDescent="0.3">
      <c r="A901" t="s">
        <v>1348</v>
      </c>
      <c r="B901" s="1">
        <v>46017</v>
      </c>
      <c r="C901" t="s">
        <v>268</v>
      </c>
      <c r="D901" t="s">
        <v>419</v>
      </c>
      <c r="E901">
        <v>2</v>
      </c>
    </row>
    <row r="902" spans="1:5" x14ac:dyDescent="0.3">
      <c r="A902" t="s">
        <v>1349</v>
      </c>
      <c r="B902" s="1">
        <v>45918</v>
      </c>
      <c r="C902" t="s">
        <v>318</v>
      </c>
      <c r="D902" t="s">
        <v>438</v>
      </c>
      <c r="E902">
        <v>4</v>
      </c>
    </row>
    <row r="903" spans="1:5" x14ac:dyDescent="0.3">
      <c r="A903" t="s">
        <v>1350</v>
      </c>
      <c r="B903" s="1">
        <v>45771</v>
      </c>
      <c r="C903" t="s">
        <v>151</v>
      </c>
      <c r="D903" t="s">
        <v>418</v>
      </c>
      <c r="E903">
        <v>4</v>
      </c>
    </row>
    <row r="904" spans="1:5" x14ac:dyDescent="0.3">
      <c r="A904" t="s">
        <v>1351</v>
      </c>
      <c r="B904" s="1">
        <v>45729</v>
      </c>
      <c r="C904" t="s">
        <v>469</v>
      </c>
      <c r="D904" t="s">
        <v>362</v>
      </c>
      <c r="E904">
        <v>5</v>
      </c>
    </row>
    <row r="905" spans="1:5" x14ac:dyDescent="0.3">
      <c r="A905" t="s">
        <v>1352</v>
      </c>
      <c r="B905" s="1">
        <v>45848</v>
      </c>
      <c r="C905" t="s">
        <v>301</v>
      </c>
      <c r="D905" t="s">
        <v>411</v>
      </c>
      <c r="E905">
        <v>5</v>
      </c>
    </row>
    <row r="906" spans="1:5" x14ac:dyDescent="0.3">
      <c r="A906" t="s">
        <v>1353</v>
      </c>
      <c r="B906" s="1">
        <v>45770</v>
      </c>
      <c r="C906" t="s">
        <v>87</v>
      </c>
      <c r="D906" t="s">
        <v>349</v>
      </c>
      <c r="E906">
        <v>5</v>
      </c>
    </row>
    <row r="907" spans="1:5" x14ac:dyDescent="0.3">
      <c r="A907" t="s">
        <v>1354</v>
      </c>
      <c r="B907" s="1">
        <v>45881</v>
      </c>
      <c r="C907" t="s">
        <v>202</v>
      </c>
      <c r="D907" t="s">
        <v>372</v>
      </c>
      <c r="E907">
        <v>5</v>
      </c>
    </row>
    <row r="908" spans="1:5" x14ac:dyDescent="0.3">
      <c r="A908" t="s">
        <v>1355</v>
      </c>
      <c r="B908" s="1">
        <v>45756</v>
      </c>
      <c r="C908" t="s">
        <v>156</v>
      </c>
      <c r="D908" t="s">
        <v>348</v>
      </c>
      <c r="E908">
        <v>4</v>
      </c>
    </row>
    <row r="909" spans="1:5" x14ac:dyDescent="0.3">
      <c r="A909" t="s">
        <v>1356</v>
      </c>
      <c r="B909" s="1">
        <v>45834</v>
      </c>
      <c r="C909" t="s">
        <v>300</v>
      </c>
      <c r="D909" t="s">
        <v>410</v>
      </c>
      <c r="E909">
        <v>1</v>
      </c>
    </row>
    <row r="910" spans="1:5" x14ac:dyDescent="0.3">
      <c r="A910" t="s">
        <v>1357</v>
      </c>
      <c r="B910" s="1">
        <v>45704</v>
      </c>
      <c r="C910" t="s">
        <v>155</v>
      </c>
      <c r="D910" t="s">
        <v>386</v>
      </c>
      <c r="E910">
        <v>2</v>
      </c>
    </row>
    <row r="911" spans="1:5" x14ac:dyDescent="0.3">
      <c r="A911" t="s">
        <v>1358</v>
      </c>
      <c r="B911" s="1">
        <v>45769</v>
      </c>
      <c r="C911" t="s">
        <v>256</v>
      </c>
      <c r="D911" t="s">
        <v>366</v>
      </c>
      <c r="E911">
        <v>4</v>
      </c>
    </row>
    <row r="912" spans="1:5" x14ac:dyDescent="0.3">
      <c r="A912" t="s">
        <v>1359</v>
      </c>
      <c r="B912" s="1">
        <v>46003</v>
      </c>
      <c r="C912" t="s">
        <v>469</v>
      </c>
      <c r="D912" t="s">
        <v>403</v>
      </c>
      <c r="E912">
        <v>1</v>
      </c>
    </row>
    <row r="913" spans="1:5" x14ac:dyDescent="0.3">
      <c r="A913" t="s">
        <v>1360</v>
      </c>
      <c r="B913" s="1">
        <v>45963</v>
      </c>
      <c r="C913" t="s">
        <v>207</v>
      </c>
      <c r="D913" t="s">
        <v>373</v>
      </c>
      <c r="E913">
        <v>4</v>
      </c>
    </row>
    <row r="914" spans="1:5" x14ac:dyDescent="0.3">
      <c r="A914" t="s">
        <v>1361</v>
      </c>
      <c r="B914" s="1">
        <v>45974</v>
      </c>
      <c r="C914" t="s">
        <v>290</v>
      </c>
      <c r="D914" t="s">
        <v>395</v>
      </c>
      <c r="E914">
        <v>3</v>
      </c>
    </row>
    <row r="915" spans="1:5" x14ac:dyDescent="0.3">
      <c r="A915" t="s">
        <v>1362</v>
      </c>
      <c r="B915" s="1">
        <v>45676</v>
      </c>
      <c r="C915" t="s">
        <v>172</v>
      </c>
      <c r="D915" t="s">
        <v>405</v>
      </c>
      <c r="E915">
        <v>2</v>
      </c>
    </row>
    <row r="916" spans="1:5" x14ac:dyDescent="0.3">
      <c r="A916" t="s">
        <v>1363</v>
      </c>
      <c r="B916" s="1">
        <v>45942</v>
      </c>
      <c r="C916" t="s">
        <v>195</v>
      </c>
      <c r="D916" t="s">
        <v>396</v>
      </c>
      <c r="E916">
        <v>1</v>
      </c>
    </row>
    <row r="917" spans="1:5" x14ac:dyDescent="0.3">
      <c r="A917" t="s">
        <v>1364</v>
      </c>
      <c r="B917" s="1">
        <v>45764</v>
      </c>
      <c r="C917" t="s">
        <v>95</v>
      </c>
      <c r="D917" t="s">
        <v>398</v>
      </c>
      <c r="E917">
        <v>3</v>
      </c>
    </row>
    <row r="918" spans="1:5" x14ac:dyDescent="0.3">
      <c r="A918" t="s">
        <v>1365</v>
      </c>
      <c r="B918" s="1">
        <v>45784</v>
      </c>
      <c r="C918" t="s">
        <v>73</v>
      </c>
      <c r="D918" t="s">
        <v>357</v>
      </c>
      <c r="E918">
        <v>3</v>
      </c>
    </row>
    <row r="919" spans="1:5" x14ac:dyDescent="0.3">
      <c r="A919" t="s">
        <v>1366</v>
      </c>
      <c r="B919" s="1">
        <v>45660</v>
      </c>
      <c r="C919" t="s">
        <v>61</v>
      </c>
      <c r="D919" t="s">
        <v>431</v>
      </c>
      <c r="E919">
        <v>2</v>
      </c>
    </row>
    <row r="920" spans="1:5" x14ac:dyDescent="0.3">
      <c r="A920" t="s">
        <v>1367</v>
      </c>
      <c r="B920" s="1">
        <v>46019</v>
      </c>
      <c r="C920" t="s">
        <v>78</v>
      </c>
      <c r="D920" t="s">
        <v>358</v>
      </c>
      <c r="E920">
        <v>1</v>
      </c>
    </row>
    <row r="921" spans="1:5" x14ac:dyDescent="0.3">
      <c r="A921" t="s">
        <v>1368</v>
      </c>
      <c r="B921" s="1">
        <v>45700</v>
      </c>
      <c r="C921" t="s">
        <v>73</v>
      </c>
      <c r="D921" t="s">
        <v>410</v>
      </c>
      <c r="E921">
        <v>4</v>
      </c>
    </row>
    <row r="922" spans="1:5" x14ac:dyDescent="0.3">
      <c r="A922" t="s">
        <v>1369</v>
      </c>
      <c r="B922" s="1">
        <v>45914</v>
      </c>
      <c r="C922" t="s">
        <v>318</v>
      </c>
      <c r="D922" t="s">
        <v>342</v>
      </c>
      <c r="E922">
        <v>2</v>
      </c>
    </row>
    <row r="923" spans="1:5" x14ac:dyDescent="0.3">
      <c r="A923" t="s">
        <v>1370</v>
      </c>
      <c r="B923" s="1">
        <v>45957</v>
      </c>
      <c r="C923" t="s">
        <v>281</v>
      </c>
      <c r="D923" t="s">
        <v>348</v>
      </c>
      <c r="E923">
        <v>1</v>
      </c>
    </row>
    <row r="924" spans="1:5" x14ac:dyDescent="0.3">
      <c r="A924" t="s">
        <v>1371</v>
      </c>
      <c r="B924" s="1">
        <v>46003</v>
      </c>
      <c r="C924" t="s">
        <v>90</v>
      </c>
      <c r="D924" t="s">
        <v>370</v>
      </c>
      <c r="E924">
        <v>4</v>
      </c>
    </row>
    <row r="925" spans="1:5" x14ac:dyDescent="0.3">
      <c r="A925" t="s">
        <v>1372</v>
      </c>
      <c r="B925" s="1">
        <v>45982</v>
      </c>
      <c r="C925" t="s">
        <v>300</v>
      </c>
      <c r="D925" t="s">
        <v>373</v>
      </c>
      <c r="E925">
        <v>2</v>
      </c>
    </row>
    <row r="926" spans="1:5" x14ac:dyDescent="0.3">
      <c r="A926" t="s">
        <v>1373</v>
      </c>
      <c r="B926" s="1">
        <v>45796</v>
      </c>
      <c r="C926" t="s">
        <v>93</v>
      </c>
      <c r="D926" t="s">
        <v>442</v>
      </c>
      <c r="E926">
        <v>4</v>
      </c>
    </row>
    <row r="927" spans="1:5" x14ac:dyDescent="0.3">
      <c r="A927" t="s">
        <v>1374</v>
      </c>
      <c r="B927" s="1">
        <v>45807</v>
      </c>
      <c r="C927" t="s">
        <v>313</v>
      </c>
      <c r="D927" t="s">
        <v>359</v>
      </c>
      <c r="E927">
        <v>3</v>
      </c>
    </row>
    <row r="928" spans="1:5" x14ac:dyDescent="0.3">
      <c r="A928" t="s">
        <v>1375</v>
      </c>
      <c r="B928" s="1">
        <v>45973</v>
      </c>
      <c r="C928" t="s">
        <v>299</v>
      </c>
      <c r="D928" t="s">
        <v>389</v>
      </c>
      <c r="E928">
        <v>5</v>
      </c>
    </row>
    <row r="929" spans="1:5" x14ac:dyDescent="0.3">
      <c r="A929" t="s">
        <v>1376</v>
      </c>
      <c r="B929" s="1">
        <v>45696</v>
      </c>
      <c r="C929" t="s">
        <v>25</v>
      </c>
      <c r="D929" t="s">
        <v>419</v>
      </c>
      <c r="E929">
        <v>3</v>
      </c>
    </row>
    <row r="930" spans="1:5" x14ac:dyDescent="0.3">
      <c r="A930" t="s">
        <v>1377</v>
      </c>
      <c r="B930" s="1">
        <v>45799</v>
      </c>
      <c r="C930" t="s">
        <v>137</v>
      </c>
      <c r="D930" t="s">
        <v>355</v>
      </c>
      <c r="E930">
        <v>2</v>
      </c>
    </row>
    <row r="931" spans="1:5" x14ac:dyDescent="0.3">
      <c r="A931" t="s">
        <v>1378</v>
      </c>
      <c r="B931" s="1">
        <v>45671</v>
      </c>
      <c r="C931" t="s">
        <v>301</v>
      </c>
      <c r="D931" t="s">
        <v>338</v>
      </c>
      <c r="E931">
        <v>5</v>
      </c>
    </row>
    <row r="932" spans="1:5" x14ac:dyDescent="0.3">
      <c r="A932" t="s">
        <v>1379</v>
      </c>
      <c r="B932" s="1">
        <v>45737</v>
      </c>
      <c r="C932" t="s">
        <v>130</v>
      </c>
      <c r="D932" t="s">
        <v>385</v>
      </c>
      <c r="E932">
        <v>2</v>
      </c>
    </row>
    <row r="933" spans="1:5" x14ac:dyDescent="0.3">
      <c r="A933" t="s">
        <v>1380</v>
      </c>
      <c r="B933" s="1">
        <v>45932</v>
      </c>
      <c r="C933" t="s">
        <v>95</v>
      </c>
      <c r="D933" t="s">
        <v>362</v>
      </c>
      <c r="E933">
        <v>4</v>
      </c>
    </row>
    <row r="934" spans="1:5" x14ac:dyDescent="0.3">
      <c r="A934" t="s">
        <v>1381</v>
      </c>
      <c r="B934" s="1">
        <v>46001</v>
      </c>
      <c r="C934" t="s">
        <v>161</v>
      </c>
      <c r="D934" t="s">
        <v>396</v>
      </c>
      <c r="E934">
        <v>1</v>
      </c>
    </row>
    <row r="935" spans="1:5" x14ac:dyDescent="0.3">
      <c r="A935" t="s">
        <v>1382</v>
      </c>
      <c r="B935" s="1">
        <v>45908</v>
      </c>
      <c r="C935" t="s">
        <v>97</v>
      </c>
      <c r="D935" t="s">
        <v>426</v>
      </c>
      <c r="E935">
        <v>3</v>
      </c>
    </row>
    <row r="936" spans="1:5" x14ac:dyDescent="0.3">
      <c r="A936" t="s">
        <v>1383</v>
      </c>
      <c r="B936" s="1">
        <v>45919</v>
      </c>
      <c r="C936" t="s">
        <v>181</v>
      </c>
      <c r="D936" t="s">
        <v>401</v>
      </c>
      <c r="E936">
        <v>2</v>
      </c>
    </row>
    <row r="937" spans="1:5" x14ac:dyDescent="0.3">
      <c r="A937" t="s">
        <v>1384</v>
      </c>
      <c r="B937" s="1">
        <v>45808</v>
      </c>
      <c r="C937" t="s">
        <v>86</v>
      </c>
      <c r="D937" t="s">
        <v>375</v>
      </c>
      <c r="E937">
        <v>4</v>
      </c>
    </row>
    <row r="938" spans="1:5" x14ac:dyDescent="0.3">
      <c r="A938" t="s">
        <v>1385</v>
      </c>
      <c r="B938" s="1">
        <v>45871</v>
      </c>
      <c r="C938" t="s">
        <v>123</v>
      </c>
      <c r="D938" t="s">
        <v>358</v>
      </c>
      <c r="E938">
        <v>1</v>
      </c>
    </row>
    <row r="939" spans="1:5" x14ac:dyDescent="0.3">
      <c r="A939" t="s">
        <v>1386</v>
      </c>
      <c r="B939" s="1">
        <v>45770</v>
      </c>
      <c r="C939" t="s">
        <v>54</v>
      </c>
      <c r="D939" t="s">
        <v>390</v>
      </c>
      <c r="E939">
        <v>3</v>
      </c>
    </row>
    <row r="940" spans="1:5" x14ac:dyDescent="0.3">
      <c r="A940" t="s">
        <v>1387</v>
      </c>
      <c r="B940" s="1">
        <v>45878</v>
      </c>
      <c r="C940" t="s">
        <v>54</v>
      </c>
      <c r="D940" t="s">
        <v>437</v>
      </c>
      <c r="E940">
        <v>5</v>
      </c>
    </row>
    <row r="941" spans="1:5" x14ac:dyDescent="0.3">
      <c r="A941" t="s">
        <v>1388</v>
      </c>
      <c r="B941" s="1">
        <v>45668</v>
      </c>
      <c r="C941" t="s">
        <v>260</v>
      </c>
      <c r="D941" t="s">
        <v>442</v>
      </c>
      <c r="E941">
        <v>2</v>
      </c>
    </row>
    <row r="942" spans="1:5" x14ac:dyDescent="0.3">
      <c r="A942" t="s">
        <v>1389</v>
      </c>
      <c r="B942" s="1">
        <v>45999</v>
      </c>
      <c r="C942" t="s">
        <v>218</v>
      </c>
      <c r="D942" t="s">
        <v>384</v>
      </c>
      <c r="E942">
        <v>1</v>
      </c>
    </row>
    <row r="943" spans="1:5" x14ac:dyDescent="0.3">
      <c r="A943" t="s">
        <v>1390</v>
      </c>
      <c r="B943" s="1">
        <v>45728</v>
      </c>
      <c r="C943" t="s">
        <v>96</v>
      </c>
      <c r="D943" t="s">
        <v>406</v>
      </c>
      <c r="E943">
        <v>1</v>
      </c>
    </row>
    <row r="944" spans="1:5" x14ac:dyDescent="0.3">
      <c r="A944" t="s">
        <v>1391</v>
      </c>
      <c r="B944" s="1">
        <v>45925</v>
      </c>
      <c r="C944" t="s">
        <v>255</v>
      </c>
      <c r="D944" t="s">
        <v>406</v>
      </c>
      <c r="E944">
        <v>3</v>
      </c>
    </row>
    <row r="945" spans="1:5" x14ac:dyDescent="0.3">
      <c r="A945" t="s">
        <v>1392</v>
      </c>
      <c r="B945" s="1">
        <v>45905</v>
      </c>
      <c r="C945" t="s">
        <v>271</v>
      </c>
      <c r="D945" t="s">
        <v>400</v>
      </c>
      <c r="E945">
        <v>4</v>
      </c>
    </row>
    <row r="946" spans="1:5" x14ac:dyDescent="0.3">
      <c r="A946" t="s">
        <v>1393</v>
      </c>
      <c r="B946" s="1">
        <v>45691</v>
      </c>
      <c r="C946" t="s">
        <v>133</v>
      </c>
      <c r="D946" t="s">
        <v>407</v>
      </c>
      <c r="E946">
        <v>3</v>
      </c>
    </row>
    <row r="947" spans="1:5" x14ac:dyDescent="0.3">
      <c r="A947" t="s">
        <v>1394</v>
      </c>
      <c r="B947" s="1">
        <v>45807</v>
      </c>
      <c r="C947" t="s">
        <v>70</v>
      </c>
      <c r="D947" t="s">
        <v>433</v>
      </c>
      <c r="E947">
        <v>4</v>
      </c>
    </row>
    <row r="948" spans="1:5" x14ac:dyDescent="0.3">
      <c r="A948" t="s">
        <v>1395</v>
      </c>
      <c r="B948" s="1">
        <v>45705</v>
      </c>
      <c r="C948" t="s">
        <v>288</v>
      </c>
      <c r="D948" t="s">
        <v>334</v>
      </c>
      <c r="E948">
        <v>2</v>
      </c>
    </row>
    <row r="949" spans="1:5" x14ac:dyDescent="0.3">
      <c r="A949" t="s">
        <v>1396</v>
      </c>
      <c r="B949" s="1">
        <v>45667</v>
      </c>
      <c r="C949" t="s">
        <v>51</v>
      </c>
      <c r="D949" t="s">
        <v>409</v>
      </c>
      <c r="E949">
        <v>4</v>
      </c>
    </row>
    <row r="950" spans="1:5" x14ac:dyDescent="0.3">
      <c r="A950" t="s">
        <v>1397</v>
      </c>
      <c r="B950" s="1">
        <v>45659</v>
      </c>
      <c r="C950" t="s">
        <v>110</v>
      </c>
      <c r="D950" t="s">
        <v>443</v>
      </c>
      <c r="E950">
        <v>4</v>
      </c>
    </row>
    <row r="951" spans="1:5" x14ac:dyDescent="0.3">
      <c r="A951" t="s">
        <v>1398</v>
      </c>
      <c r="B951" s="1">
        <v>45761</v>
      </c>
      <c r="C951" t="s">
        <v>108</v>
      </c>
      <c r="D951" t="s">
        <v>415</v>
      </c>
      <c r="E951">
        <v>1</v>
      </c>
    </row>
    <row r="952" spans="1:5" x14ac:dyDescent="0.3">
      <c r="A952" t="s">
        <v>1399</v>
      </c>
      <c r="B952" s="1">
        <v>45965</v>
      </c>
      <c r="C952" t="s">
        <v>240</v>
      </c>
      <c r="D952" t="s">
        <v>437</v>
      </c>
      <c r="E952">
        <v>5</v>
      </c>
    </row>
    <row r="953" spans="1:5" x14ac:dyDescent="0.3">
      <c r="A953" t="s">
        <v>1400</v>
      </c>
      <c r="B953" s="1">
        <v>45863</v>
      </c>
      <c r="C953" t="s">
        <v>50</v>
      </c>
      <c r="D953" t="s">
        <v>400</v>
      </c>
      <c r="E953">
        <v>5</v>
      </c>
    </row>
    <row r="954" spans="1:5" x14ac:dyDescent="0.3">
      <c r="A954" t="s">
        <v>1401</v>
      </c>
      <c r="B954" s="1">
        <v>45973</v>
      </c>
      <c r="C954" t="s">
        <v>151</v>
      </c>
      <c r="D954" t="s">
        <v>418</v>
      </c>
      <c r="E954">
        <v>2</v>
      </c>
    </row>
    <row r="955" spans="1:5" x14ac:dyDescent="0.3">
      <c r="A955" t="s">
        <v>1402</v>
      </c>
      <c r="B955" s="1">
        <v>45821</v>
      </c>
      <c r="C955" t="s">
        <v>21</v>
      </c>
      <c r="D955" t="s">
        <v>357</v>
      </c>
      <c r="E955">
        <v>2</v>
      </c>
    </row>
    <row r="956" spans="1:5" x14ac:dyDescent="0.3">
      <c r="A956" t="s">
        <v>1403</v>
      </c>
      <c r="B956" s="1">
        <v>45981</v>
      </c>
      <c r="C956" t="s">
        <v>102</v>
      </c>
      <c r="D956" t="s">
        <v>358</v>
      </c>
      <c r="E956">
        <v>3</v>
      </c>
    </row>
    <row r="957" spans="1:5" x14ac:dyDescent="0.3">
      <c r="A957" t="s">
        <v>1404</v>
      </c>
      <c r="B957" s="1">
        <v>45870</v>
      </c>
      <c r="C957" t="s">
        <v>147</v>
      </c>
      <c r="D957" t="s">
        <v>355</v>
      </c>
      <c r="E957">
        <v>3</v>
      </c>
    </row>
    <row r="958" spans="1:5" x14ac:dyDescent="0.3">
      <c r="A958" t="s">
        <v>1405</v>
      </c>
      <c r="B958" s="1">
        <v>45779</v>
      </c>
      <c r="C958" t="s">
        <v>469</v>
      </c>
      <c r="D958" t="s">
        <v>371</v>
      </c>
      <c r="E958">
        <v>3</v>
      </c>
    </row>
    <row r="959" spans="1:5" x14ac:dyDescent="0.3">
      <c r="A959" t="s">
        <v>1406</v>
      </c>
      <c r="B959" s="1">
        <v>45851</v>
      </c>
      <c r="C959" t="s">
        <v>104</v>
      </c>
      <c r="D959" t="s">
        <v>341</v>
      </c>
      <c r="E959">
        <v>1</v>
      </c>
    </row>
    <row r="960" spans="1:5" x14ac:dyDescent="0.3">
      <c r="A960" t="s">
        <v>1407</v>
      </c>
      <c r="B960" s="1">
        <v>45742</v>
      </c>
      <c r="C960" t="s">
        <v>79</v>
      </c>
      <c r="D960" t="s">
        <v>416</v>
      </c>
      <c r="E960">
        <v>1</v>
      </c>
    </row>
    <row r="961" spans="1:5" x14ac:dyDescent="0.3">
      <c r="A961" t="s">
        <v>1408</v>
      </c>
      <c r="B961" s="1">
        <v>45713</v>
      </c>
      <c r="C961" t="s">
        <v>184</v>
      </c>
      <c r="D961" t="s">
        <v>434</v>
      </c>
      <c r="E961">
        <v>4</v>
      </c>
    </row>
    <row r="962" spans="1:5" x14ac:dyDescent="0.3">
      <c r="A962" t="s">
        <v>1409</v>
      </c>
      <c r="B962" s="1">
        <v>45862</v>
      </c>
      <c r="C962" t="s">
        <v>112</v>
      </c>
      <c r="D962" t="s">
        <v>386</v>
      </c>
      <c r="E962">
        <v>3</v>
      </c>
    </row>
    <row r="963" spans="1:5" x14ac:dyDescent="0.3">
      <c r="A963" t="s">
        <v>1410</v>
      </c>
      <c r="B963" s="1">
        <v>45668</v>
      </c>
      <c r="C963" t="s">
        <v>48</v>
      </c>
      <c r="D963" t="s">
        <v>412</v>
      </c>
      <c r="E963">
        <v>4</v>
      </c>
    </row>
    <row r="964" spans="1:5" x14ac:dyDescent="0.3">
      <c r="A964" t="s">
        <v>1411</v>
      </c>
      <c r="B964" s="1">
        <v>45960</v>
      </c>
      <c r="C964" t="s">
        <v>269</v>
      </c>
      <c r="D964" t="s">
        <v>438</v>
      </c>
      <c r="E964">
        <v>2</v>
      </c>
    </row>
    <row r="965" spans="1:5" x14ac:dyDescent="0.3">
      <c r="A965" t="s">
        <v>1412</v>
      </c>
      <c r="B965" s="1">
        <v>45830</v>
      </c>
      <c r="C965" t="s">
        <v>315</v>
      </c>
      <c r="D965" t="s">
        <v>367</v>
      </c>
      <c r="E965">
        <v>1</v>
      </c>
    </row>
    <row r="966" spans="1:5" x14ac:dyDescent="0.3">
      <c r="A966" t="s">
        <v>1413</v>
      </c>
      <c r="B966" s="1">
        <v>45687</v>
      </c>
      <c r="C966" t="s">
        <v>237</v>
      </c>
      <c r="D966" t="s">
        <v>431</v>
      </c>
      <c r="E966">
        <v>5</v>
      </c>
    </row>
    <row r="967" spans="1:5" x14ac:dyDescent="0.3">
      <c r="A967" t="s">
        <v>1414</v>
      </c>
      <c r="B967" s="1">
        <v>45678</v>
      </c>
      <c r="C967" t="s">
        <v>459</v>
      </c>
      <c r="D967" t="s">
        <v>437</v>
      </c>
      <c r="E967">
        <v>2</v>
      </c>
    </row>
    <row r="968" spans="1:5" x14ac:dyDescent="0.3">
      <c r="A968" t="s">
        <v>1415</v>
      </c>
      <c r="B968" s="1">
        <v>45720</v>
      </c>
      <c r="C968" t="s">
        <v>459</v>
      </c>
      <c r="D968" t="s">
        <v>380</v>
      </c>
      <c r="E968">
        <v>1</v>
      </c>
    </row>
    <row r="969" spans="1:5" x14ac:dyDescent="0.3">
      <c r="A969" t="s">
        <v>1416</v>
      </c>
      <c r="B969" s="1">
        <v>45954</v>
      </c>
      <c r="C969" t="s">
        <v>257</v>
      </c>
      <c r="D969" t="s">
        <v>375</v>
      </c>
      <c r="E969">
        <v>5</v>
      </c>
    </row>
    <row r="970" spans="1:5" x14ac:dyDescent="0.3">
      <c r="A970" t="s">
        <v>1417</v>
      </c>
      <c r="B970" s="1">
        <v>46018</v>
      </c>
      <c r="C970" t="s">
        <v>212</v>
      </c>
      <c r="D970" t="s">
        <v>436</v>
      </c>
      <c r="E970">
        <v>3</v>
      </c>
    </row>
    <row r="971" spans="1:5" x14ac:dyDescent="0.3">
      <c r="A971" t="s">
        <v>1418</v>
      </c>
      <c r="B971" s="1">
        <v>45666</v>
      </c>
      <c r="C971" t="s">
        <v>139</v>
      </c>
      <c r="D971" t="s">
        <v>351</v>
      </c>
      <c r="E971">
        <v>5</v>
      </c>
    </row>
    <row r="972" spans="1:5" x14ac:dyDescent="0.3">
      <c r="A972" t="s">
        <v>1419</v>
      </c>
      <c r="B972" s="1">
        <v>45870</v>
      </c>
      <c r="C972" t="s">
        <v>174</v>
      </c>
      <c r="D972" t="s">
        <v>389</v>
      </c>
      <c r="E972">
        <v>3</v>
      </c>
    </row>
    <row r="973" spans="1:5" x14ac:dyDescent="0.3">
      <c r="A973" t="s">
        <v>1420</v>
      </c>
      <c r="B973" s="1">
        <v>45728</v>
      </c>
      <c r="C973" t="s">
        <v>44</v>
      </c>
      <c r="D973" t="s">
        <v>376</v>
      </c>
      <c r="E973">
        <v>3</v>
      </c>
    </row>
    <row r="974" spans="1:5" x14ac:dyDescent="0.3">
      <c r="A974" t="s">
        <v>1421</v>
      </c>
      <c r="B974" s="1">
        <v>45680</v>
      </c>
      <c r="C974" t="s">
        <v>313</v>
      </c>
      <c r="D974" t="s">
        <v>393</v>
      </c>
      <c r="E974">
        <v>4</v>
      </c>
    </row>
    <row r="975" spans="1:5" x14ac:dyDescent="0.3">
      <c r="A975" t="s">
        <v>1422</v>
      </c>
      <c r="B975" s="1">
        <v>45713</v>
      </c>
      <c r="C975" t="s">
        <v>193</v>
      </c>
      <c r="D975" t="s">
        <v>386</v>
      </c>
      <c r="E975">
        <v>4</v>
      </c>
    </row>
    <row r="976" spans="1:5" x14ac:dyDescent="0.3">
      <c r="A976" t="s">
        <v>1423</v>
      </c>
      <c r="B976" s="1">
        <v>45658</v>
      </c>
      <c r="C976" t="s">
        <v>270</v>
      </c>
      <c r="D976" t="s">
        <v>377</v>
      </c>
      <c r="E976">
        <v>4</v>
      </c>
    </row>
    <row r="977" spans="1:5" x14ac:dyDescent="0.3">
      <c r="A977" t="s">
        <v>1424</v>
      </c>
      <c r="B977" s="1">
        <v>45936</v>
      </c>
      <c r="C977" t="s">
        <v>279</v>
      </c>
      <c r="D977" t="s">
        <v>356</v>
      </c>
      <c r="E977">
        <v>4</v>
      </c>
    </row>
    <row r="978" spans="1:5" x14ac:dyDescent="0.3">
      <c r="A978" t="s">
        <v>1425</v>
      </c>
      <c r="B978" s="1">
        <v>45941</v>
      </c>
      <c r="C978" t="s">
        <v>275</v>
      </c>
      <c r="D978" t="s">
        <v>406</v>
      </c>
      <c r="E978">
        <v>4</v>
      </c>
    </row>
    <row r="979" spans="1:5" x14ac:dyDescent="0.3">
      <c r="A979" t="s">
        <v>1426</v>
      </c>
      <c r="B979" s="1">
        <v>45804</v>
      </c>
      <c r="C979" t="s">
        <v>63</v>
      </c>
      <c r="D979" t="s">
        <v>399</v>
      </c>
      <c r="E979">
        <v>3</v>
      </c>
    </row>
    <row r="980" spans="1:5" x14ac:dyDescent="0.3">
      <c r="A980" t="s">
        <v>1427</v>
      </c>
      <c r="B980" s="1">
        <v>45884</v>
      </c>
      <c r="C980" t="s">
        <v>459</v>
      </c>
      <c r="D980" t="s">
        <v>385</v>
      </c>
      <c r="E980">
        <v>1</v>
      </c>
    </row>
    <row r="981" spans="1:5" x14ac:dyDescent="0.3">
      <c r="A981" t="s">
        <v>1428</v>
      </c>
      <c r="B981" s="1">
        <v>45719</v>
      </c>
      <c r="C981" t="s">
        <v>469</v>
      </c>
      <c r="D981" t="s">
        <v>352</v>
      </c>
      <c r="E981">
        <v>5</v>
      </c>
    </row>
    <row r="982" spans="1:5" x14ac:dyDescent="0.3">
      <c r="A982" t="s">
        <v>1429</v>
      </c>
      <c r="B982" s="1">
        <v>45809</v>
      </c>
      <c r="C982" t="s">
        <v>129</v>
      </c>
      <c r="D982" t="s">
        <v>362</v>
      </c>
      <c r="E982">
        <v>5</v>
      </c>
    </row>
    <row r="983" spans="1:5" x14ac:dyDescent="0.3">
      <c r="A983" t="s">
        <v>1430</v>
      </c>
      <c r="B983" s="1">
        <v>45718</v>
      </c>
      <c r="C983" t="s">
        <v>32</v>
      </c>
      <c r="D983" t="s">
        <v>398</v>
      </c>
      <c r="E983">
        <v>1</v>
      </c>
    </row>
    <row r="984" spans="1:5" x14ac:dyDescent="0.3">
      <c r="A984" t="s">
        <v>1431</v>
      </c>
      <c r="B984" s="1">
        <v>45899</v>
      </c>
      <c r="C984" t="s">
        <v>51</v>
      </c>
      <c r="D984" t="s">
        <v>434</v>
      </c>
      <c r="E984">
        <v>4</v>
      </c>
    </row>
    <row r="985" spans="1:5" x14ac:dyDescent="0.3">
      <c r="A985" t="s">
        <v>1432</v>
      </c>
      <c r="B985" s="1">
        <v>45879</v>
      </c>
      <c r="C985" t="s">
        <v>167</v>
      </c>
      <c r="D985" t="s">
        <v>370</v>
      </c>
      <c r="E985">
        <v>1</v>
      </c>
    </row>
    <row r="986" spans="1:5" x14ac:dyDescent="0.3">
      <c r="A986" t="s">
        <v>1433</v>
      </c>
      <c r="B986" s="1">
        <v>46011</v>
      </c>
      <c r="C986" t="s">
        <v>252</v>
      </c>
      <c r="D986" t="s">
        <v>371</v>
      </c>
      <c r="E986">
        <v>5</v>
      </c>
    </row>
    <row r="987" spans="1:5" x14ac:dyDescent="0.3">
      <c r="A987" t="s">
        <v>1434</v>
      </c>
      <c r="B987" s="1">
        <v>45797</v>
      </c>
      <c r="C987" t="s">
        <v>41</v>
      </c>
      <c r="D987" t="s">
        <v>417</v>
      </c>
      <c r="E987">
        <v>1</v>
      </c>
    </row>
    <row r="988" spans="1:5" x14ac:dyDescent="0.3">
      <c r="A988" t="s">
        <v>1435</v>
      </c>
      <c r="B988" s="1">
        <v>45692</v>
      </c>
      <c r="C988" t="s">
        <v>197</v>
      </c>
      <c r="D988" t="s">
        <v>416</v>
      </c>
      <c r="E988">
        <v>4</v>
      </c>
    </row>
    <row r="989" spans="1:5" x14ac:dyDescent="0.3">
      <c r="A989" t="s">
        <v>1436</v>
      </c>
      <c r="B989" s="1">
        <v>45895</v>
      </c>
      <c r="C989" t="s">
        <v>105</v>
      </c>
      <c r="D989" t="s">
        <v>347</v>
      </c>
      <c r="E989">
        <v>5</v>
      </c>
    </row>
    <row r="990" spans="1:5" x14ac:dyDescent="0.3">
      <c r="A990" t="s">
        <v>1437</v>
      </c>
      <c r="B990" s="1">
        <v>45748</v>
      </c>
      <c r="C990" t="s">
        <v>223</v>
      </c>
      <c r="D990" t="s">
        <v>423</v>
      </c>
      <c r="E990">
        <v>1</v>
      </c>
    </row>
    <row r="991" spans="1:5" x14ac:dyDescent="0.3">
      <c r="A991" t="s">
        <v>1438</v>
      </c>
      <c r="B991" s="1">
        <v>45706</v>
      </c>
      <c r="C991" t="s">
        <v>55</v>
      </c>
      <c r="D991" t="s">
        <v>395</v>
      </c>
      <c r="E991">
        <v>3</v>
      </c>
    </row>
    <row r="992" spans="1:5" x14ac:dyDescent="0.3">
      <c r="A992" t="s">
        <v>1439</v>
      </c>
      <c r="B992" s="1">
        <v>45967</v>
      </c>
      <c r="C992" t="s">
        <v>46</v>
      </c>
      <c r="D992" t="s">
        <v>383</v>
      </c>
      <c r="E992">
        <v>3</v>
      </c>
    </row>
    <row r="993" spans="1:5" x14ac:dyDescent="0.3">
      <c r="A993" t="s">
        <v>1440</v>
      </c>
      <c r="B993" s="1">
        <v>45897</v>
      </c>
      <c r="C993" t="s">
        <v>469</v>
      </c>
      <c r="D993" t="s">
        <v>338</v>
      </c>
      <c r="E993">
        <v>2</v>
      </c>
    </row>
    <row r="994" spans="1:5" x14ac:dyDescent="0.3">
      <c r="A994" t="s">
        <v>1441</v>
      </c>
      <c r="B994" s="1">
        <v>45908</v>
      </c>
      <c r="C994" t="s">
        <v>135</v>
      </c>
      <c r="D994" t="s">
        <v>418</v>
      </c>
      <c r="E994">
        <v>1</v>
      </c>
    </row>
    <row r="995" spans="1:5" x14ac:dyDescent="0.3">
      <c r="A995" t="s">
        <v>1442</v>
      </c>
      <c r="B995" s="1">
        <v>45799</v>
      </c>
      <c r="C995" t="s">
        <v>322</v>
      </c>
      <c r="D995" t="s">
        <v>427</v>
      </c>
      <c r="E995">
        <v>4</v>
      </c>
    </row>
    <row r="996" spans="1:5" x14ac:dyDescent="0.3">
      <c r="A996" t="s">
        <v>1443</v>
      </c>
      <c r="B996" s="1">
        <v>45934</v>
      </c>
      <c r="C996" t="s">
        <v>167</v>
      </c>
      <c r="D996" t="s">
        <v>441</v>
      </c>
      <c r="E996">
        <v>3</v>
      </c>
    </row>
    <row r="997" spans="1:5" x14ac:dyDescent="0.3">
      <c r="A997" t="s">
        <v>1444</v>
      </c>
      <c r="B997" s="1">
        <v>46019</v>
      </c>
      <c r="C997" t="s">
        <v>165</v>
      </c>
      <c r="D997" t="s">
        <v>352</v>
      </c>
      <c r="E997">
        <v>4</v>
      </c>
    </row>
    <row r="998" spans="1:5" x14ac:dyDescent="0.3">
      <c r="A998" t="s">
        <v>1445</v>
      </c>
      <c r="B998" s="1">
        <v>45975</v>
      </c>
      <c r="C998" t="s">
        <v>292</v>
      </c>
      <c r="D998" t="s">
        <v>432</v>
      </c>
      <c r="E998">
        <v>5</v>
      </c>
    </row>
    <row r="999" spans="1:5" x14ac:dyDescent="0.3">
      <c r="A999" t="s">
        <v>1446</v>
      </c>
      <c r="B999" s="1">
        <v>45759</v>
      </c>
      <c r="C999" t="s">
        <v>3</v>
      </c>
      <c r="D999" t="s">
        <v>369</v>
      </c>
      <c r="E999">
        <v>5</v>
      </c>
    </row>
    <row r="1000" spans="1:5" x14ac:dyDescent="0.3">
      <c r="A1000" t="s">
        <v>1447</v>
      </c>
      <c r="B1000" s="1">
        <v>45821</v>
      </c>
      <c r="C1000" t="s">
        <v>307</v>
      </c>
      <c r="D1000" t="s">
        <v>431</v>
      </c>
      <c r="E1000">
        <v>5</v>
      </c>
    </row>
    <row r="1001" spans="1:5" x14ac:dyDescent="0.3">
      <c r="A1001" t="s">
        <v>1448</v>
      </c>
      <c r="B1001" s="1">
        <v>45860</v>
      </c>
      <c r="C1001" t="s">
        <v>253</v>
      </c>
      <c r="D1001" t="s">
        <v>380</v>
      </c>
      <c r="E1001">
        <v>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ADEF1-1F93-4C9A-B9CD-20E4E19E4F20}">
  <dimension ref="A3:B12"/>
  <sheetViews>
    <sheetView workbookViewId="0">
      <selection activeCell="B18" sqref="B18"/>
    </sheetView>
  </sheetViews>
  <sheetFormatPr defaultRowHeight="14.4" x14ac:dyDescent="0.3"/>
  <cols>
    <col min="1" max="1" width="12.5546875" bestFit="1" customWidth="1"/>
    <col min="2" max="2" width="17.6640625" bestFit="1" customWidth="1"/>
  </cols>
  <sheetData>
    <row r="3" spans="1:2" x14ac:dyDescent="0.3">
      <c r="A3" s="4" t="s">
        <v>1472</v>
      </c>
      <c r="B3" t="s">
        <v>1490</v>
      </c>
    </row>
    <row r="4" spans="1:2" x14ac:dyDescent="0.3">
      <c r="A4" s="5" t="s">
        <v>340</v>
      </c>
      <c r="B4">
        <v>7500000</v>
      </c>
    </row>
    <row r="5" spans="1:2" x14ac:dyDescent="0.3">
      <c r="A5" s="5" t="s">
        <v>329</v>
      </c>
      <c r="B5">
        <v>3850000</v>
      </c>
    </row>
    <row r="6" spans="1:2" x14ac:dyDescent="0.3">
      <c r="A6" s="5" t="s">
        <v>346</v>
      </c>
      <c r="B6">
        <v>1536000</v>
      </c>
    </row>
    <row r="7" spans="1:2" x14ac:dyDescent="0.3">
      <c r="A7" s="5" t="s">
        <v>353</v>
      </c>
      <c r="B7">
        <v>1245000</v>
      </c>
    </row>
    <row r="8" spans="1:2" x14ac:dyDescent="0.3">
      <c r="A8" s="5" t="s">
        <v>337</v>
      </c>
      <c r="B8">
        <v>1116000</v>
      </c>
    </row>
    <row r="9" spans="1:2" x14ac:dyDescent="0.3">
      <c r="A9" s="5" t="s">
        <v>344</v>
      </c>
      <c r="B9">
        <v>360000</v>
      </c>
    </row>
    <row r="10" spans="1:2" x14ac:dyDescent="0.3">
      <c r="A10" s="5" t="s">
        <v>335</v>
      </c>
      <c r="B10">
        <v>232500</v>
      </c>
    </row>
    <row r="11" spans="1:2" x14ac:dyDescent="0.3">
      <c r="A11" s="5" t="s">
        <v>332</v>
      </c>
      <c r="B11">
        <v>118400</v>
      </c>
    </row>
    <row r="12" spans="1:2" x14ac:dyDescent="0.3">
      <c r="A12" s="5" t="s">
        <v>1473</v>
      </c>
      <c r="B12">
        <v>15957900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A1AB4-FC83-425E-A861-426E022D9280}">
  <dimension ref="A3:B12"/>
  <sheetViews>
    <sheetView workbookViewId="0">
      <selection activeCell="B6" sqref="B6"/>
    </sheetView>
  </sheetViews>
  <sheetFormatPr defaultRowHeight="14.4" x14ac:dyDescent="0.3"/>
  <cols>
    <col min="1" max="2" width="12.5546875" bestFit="1" customWidth="1"/>
  </cols>
  <sheetData>
    <row r="3" spans="1:2" x14ac:dyDescent="0.3">
      <c r="A3" s="4" t="s">
        <v>1472</v>
      </c>
      <c r="B3" t="s">
        <v>1475</v>
      </c>
    </row>
    <row r="4" spans="1:2" x14ac:dyDescent="0.3">
      <c r="A4" s="5" t="s">
        <v>332</v>
      </c>
      <c r="B4">
        <v>132300</v>
      </c>
    </row>
    <row r="5" spans="1:2" x14ac:dyDescent="0.3">
      <c r="A5" s="5" t="s">
        <v>335</v>
      </c>
      <c r="B5">
        <v>287400</v>
      </c>
    </row>
    <row r="6" spans="1:2" x14ac:dyDescent="0.3">
      <c r="A6" s="5" t="s">
        <v>344</v>
      </c>
      <c r="B6">
        <v>375000</v>
      </c>
    </row>
    <row r="7" spans="1:2" x14ac:dyDescent="0.3">
      <c r="A7" s="5" t="s">
        <v>337</v>
      </c>
      <c r="B7">
        <v>519000</v>
      </c>
    </row>
    <row r="8" spans="1:2" x14ac:dyDescent="0.3">
      <c r="A8" s="5" t="s">
        <v>353</v>
      </c>
      <c r="B8">
        <v>720000</v>
      </c>
    </row>
    <row r="9" spans="1:2" x14ac:dyDescent="0.3">
      <c r="A9" s="5" t="s">
        <v>346</v>
      </c>
      <c r="B9">
        <v>1257000</v>
      </c>
    </row>
    <row r="10" spans="1:2" x14ac:dyDescent="0.3">
      <c r="A10" s="5" t="s">
        <v>329</v>
      </c>
      <c r="B10">
        <v>2275000</v>
      </c>
    </row>
    <row r="11" spans="1:2" x14ac:dyDescent="0.3">
      <c r="A11" s="5" t="s">
        <v>340</v>
      </c>
      <c r="B11">
        <v>3592000</v>
      </c>
    </row>
    <row r="12" spans="1:2" x14ac:dyDescent="0.3">
      <c r="A12" s="5" t="s">
        <v>1473</v>
      </c>
      <c r="B12">
        <v>9157700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4B0EB-A48C-4E71-8B1C-3C0795855E79}">
  <dimension ref="A3:B13"/>
  <sheetViews>
    <sheetView workbookViewId="0">
      <selection activeCell="H2" sqref="H2"/>
    </sheetView>
  </sheetViews>
  <sheetFormatPr defaultRowHeight="14.4" x14ac:dyDescent="0.3"/>
  <cols>
    <col min="1" max="1" width="12.5546875" bestFit="1" customWidth="1"/>
    <col min="2" max="2" width="16.77734375" bestFit="1" customWidth="1"/>
  </cols>
  <sheetData>
    <row r="3" spans="1:2" x14ac:dyDescent="0.3">
      <c r="A3" s="4" t="s">
        <v>1472</v>
      </c>
      <c r="B3" t="s">
        <v>1474</v>
      </c>
    </row>
    <row r="4" spans="1:2" x14ac:dyDescent="0.3">
      <c r="A4" s="5" t="s">
        <v>14</v>
      </c>
      <c r="B4">
        <v>7768800</v>
      </c>
    </row>
    <row r="5" spans="1:2" x14ac:dyDescent="0.3">
      <c r="A5" s="5" t="s">
        <v>20</v>
      </c>
      <c r="B5">
        <v>7753800</v>
      </c>
    </row>
    <row r="6" spans="1:2" x14ac:dyDescent="0.3">
      <c r="A6" s="5" t="s">
        <v>27</v>
      </c>
      <c r="B6">
        <v>6942400</v>
      </c>
    </row>
    <row r="7" spans="1:2" x14ac:dyDescent="0.3">
      <c r="A7" s="5" t="s">
        <v>8</v>
      </c>
      <c r="B7">
        <v>4979100</v>
      </c>
    </row>
    <row r="8" spans="1:2" x14ac:dyDescent="0.3">
      <c r="A8" s="5" t="s">
        <v>31</v>
      </c>
      <c r="B8">
        <v>4261800</v>
      </c>
    </row>
    <row r="9" spans="1:2" x14ac:dyDescent="0.3">
      <c r="A9" s="5"/>
      <c r="B9">
        <v>4249600</v>
      </c>
    </row>
    <row r="10" spans="1:2" x14ac:dyDescent="0.3">
      <c r="A10" s="5" t="s">
        <v>17</v>
      </c>
      <c r="B10">
        <v>4063500</v>
      </c>
    </row>
    <row r="11" spans="1:2" x14ac:dyDescent="0.3">
      <c r="A11" s="5" t="s">
        <v>5</v>
      </c>
      <c r="B11">
        <v>3956300</v>
      </c>
    </row>
    <row r="12" spans="1:2" x14ac:dyDescent="0.3">
      <c r="A12" s="5" t="s">
        <v>39</v>
      </c>
      <c r="B12">
        <v>3788000</v>
      </c>
    </row>
    <row r="13" spans="1:2" x14ac:dyDescent="0.3">
      <c r="A13" s="5" t="s">
        <v>1473</v>
      </c>
      <c r="B13">
        <v>47763300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81B9E-4242-476B-BAD9-F36FAEEFEB80}">
  <dimension ref="A3:B16"/>
  <sheetViews>
    <sheetView workbookViewId="0">
      <selection activeCell="J5" sqref="J5"/>
    </sheetView>
  </sheetViews>
  <sheetFormatPr defaultRowHeight="14.4" x14ac:dyDescent="0.3"/>
  <cols>
    <col min="1" max="1" width="12.5546875" bestFit="1" customWidth="1"/>
    <col min="2" max="2" width="16.77734375" bestFit="1" customWidth="1"/>
  </cols>
  <sheetData>
    <row r="3" spans="1:2" x14ac:dyDescent="0.3">
      <c r="A3" s="4" t="s">
        <v>1472</v>
      </c>
      <c r="B3" t="s">
        <v>1474</v>
      </c>
    </row>
    <row r="4" spans="1:2" x14ac:dyDescent="0.3">
      <c r="A4" s="5" t="s">
        <v>1476</v>
      </c>
      <c r="B4">
        <v>4719300</v>
      </c>
    </row>
    <row r="5" spans="1:2" x14ac:dyDescent="0.3">
      <c r="A5" s="5" t="s">
        <v>1477</v>
      </c>
      <c r="B5">
        <v>3330300</v>
      </c>
    </row>
    <row r="6" spans="1:2" x14ac:dyDescent="0.3">
      <c r="A6" s="5" t="s">
        <v>1478</v>
      </c>
      <c r="B6">
        <v>3274600</v>
      </c>
    </row>
    <row r="7" spans="1:2" x14ac:dyDescent="0.3">
      <c r="A7" s="5" t="s">
        <v>1479</v>
      </c>
      <c r="B7">
        <v>3407900</v>
      </c>
    </row>
    <row r="8" spans="1:2" x14ac:dyDescent="0.3">
      <c r="A8" s="5" t="s">
        <v>1480</v>
      </c>
      <c r="B8">
        <v>5037200</v>
      </c>
    </row>
    <row r="9" spans="1:2" x14ac:dyDescent="0.3">
      <c r="A9" s="5" t="s">
        <v>1481</v>
      </c>
      <c r="B9">
        <v>3957500</v>
      </c>
    </row>
    <row r="10" spans="1:2" x14ac:dyDescent="0.3">
      <c r="A10" s="5" t="s">
        <v>1482</v>
      </c>
      <c r="B10">
        <v>3903600</v>
      </c>
    </row>
    <row r="11" spans="1:2" x14ac:dyDescent="0.3">
      <c r="A11" s="5" t="s">
        <v>1483</v>
      </c>
      <c r="B11">
        <v>4015100</v>
      </c>
    </row>
    <row r="12" spans="1:2" x14ac:dyDescent="0.3">
      <c r="A12" s="5" t="s">
        <v>1484</v>
      </c>
      <c r="B12">
        <v>2832900</v>
      </c>
    </row>
    <row r="13" spans="1:2" x14ac:dyDescent="0.3">
      <c r="A13" s="5" t="s">
        <v>1485</v>
      </c>
      <c r="B13">
        <v>3970900</v>
      </c>
    </row>
    <row r="14" spans="1:2" x14ac:dyDescent="0.3">
      <c r="A14" s="5" t="s">
        <v>1486</v>
      </c>
      <c r="B14">
        <v>4349900</v>
      </c>
    </row>
    <row r="15" spans="1:2" x14ac:dyDescent="0.3">
      <c r="A15" s="5" t="s">
        <v>1487</v>
      </c>
      <c r="B15">
        <v>4964100</v>
      </c>
    </row>
    <row r="16" spans="1:2" x14ac:dyDescent="0.3">
      <c r="A16" s="5" t="s">
        <v>1473</v>
      </c>
      <c r="B16">
        <v>47763300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BB239-C8B3-4A52-BB22-3AF2A3D749F4}">
  <dimension ref="A3:B16"/>
  <sheetViews>
    <sheetView workbookViewId="0">
      <selection activeCell="L3" sqref="L3"/>
    </sheetView>
  </sheetViews>
  <sheetFormatPr defaultRowHeight="14.4" x14ac:dyDescent="0.3"/>
  <cols>
    <col min="1" max="2" width="12.5546875" bestFit="1" customWidth="1"/>
  </cols>
  <sheetData>
    <row r="3" spans="1:2" x14ac:dyDescent="0.3">
      <c r="A3" s="4" t="s">
        <v>1472</v>
      </c>
      <c r="B3" t="s">
        <v>1475</v>
      </c>
    </row>
    <row r="4" spans="1:2" x14ac:dyDescent="0.3">
      <c r="A4" s="5" t="s">
        <v>1476</v>
      </c>
      <c r="B4">
        <v>881200</v>
      </c>
    </row>
    <row r="5" spans="1:2" x14ac:dyDescent="0.3">
      <c r="A5" s="5" t="s">
        <v>1477</v>
      </c>
      <c r="B5">
        <v>630900</v>
      </c>
    </row>
    <row r="6" spans="1:2" x14ac:dyDescent="0.3">
      <c r="A6" s="5" t="s">
        <v>1478</v>
      </c>
      <c r="B6">
        <v>629800</v>
      </c>
    </row>
    <row r="7" spans="1:2" x14ac:dyDescent="0.3">
      <c r="A7" s="5" t="s">
        <v>1479</v>
      </c>
      <c r="B7">
        <v>670100</v>
      </c>
    </row>
    <row r="8" spans="1:2" x14ac:dyDescent="0.3">
      <c r="A8" s="5" t="s">
        <v>1480</v>
      </c>
      <c r="B8">
        <v>943200</v>
      </c>
    </row>
    <row r="9" spans="1:2" x14ac:dyDescent="0.3">
      <c r="A9" s="5" t="s">
        <v>1481</v>
      </c>
      <c r="B9">
        <v>760300</v>
      </c>
    </row>
    <row r="10" spans="1:2" x14ac:dyDescent="0.3">
      <c r="A10" s="5" t="s">
        <v>1482</v>
      </c>
      <c r="B10">
        <v>764300</v>
      </c>
    </row>
    <row r="11" spans="1:2" x14ac:dyDescent="0.3">
      <c r="A11" s="5" t="s">
        <v>1483</v>
      </c>
      <c r="B11">
        <v>741800</v>
      </c>
    </row>
    <row r="12" spans="1:2" x14ac:dyDescent="0.3">
      <c r="A12" s="5" t="s">
        <v>1484</v>
      </c>
      <c r="B12">
        <v>558800</v>
      </c>
    </row>
    <row r="13" spans="1:2" x14ac:dyDescent="0.3">
      <c r="A13" s="5" t="s">
        <v>1485</v>
      </c>
      <c r="B13">
        <v>775800</v>
      </c>
    </row>
    <row r="14" spans="1:2" x14ac:dyDescent="0.3">
      <c r="A14" s="5" t="s">
        <v>1486</v>
      </c>
      <c r="B14">
        <v>844200</v>
      </c>
    </row>
    <row r="15" spans="1:2" x14ac:dyDescent="0.3">
      <c r="A15" s="5" t="s">
        <v>1487</v>
      </c>
      <c r="B15">
        <v>957300</v>
      </c>
    </row>
    <row r="16" spans="1:2" x14ac:dyDescent="0.3">
      <c r="A16" s="5" t="s">
        <v>1473</v>
      </c>
      <c r="B16">
        <v>9157700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7F93F-FA1A-4234-AAC6-ED40AAB31D43}">
  <dimension ref="A3:B14"/>
  <sheetViews>
    <sheetView workbookViewId="0">
      <selection activeCell="I3" sqref="I3"/>
    </sheetView>
  </sheetViews>
  <sheetFormatPr defaultRowHeight="14.4" x14ac:dyDescent="0.3"/>
  <cols>
    <col min="1" max="1" width="12.5546875" bestFit="1" customWidth="1"/>
    <col min="2" max="2" width="16.77734375" bestFit="1" customWidth="1"/>
  </cols>
  <sheetData>
    <row r="3" spans="1:2" x14ac:dyDescent="0.3">
      <c r="A3" s="4" t="s">
        <v>1472</v>
      </c>
      <c r="B3" t="s">
        <v>1474</v>
      </c>
    </row>
    <row r="4" spans="1:2" x14ac:dyDescent="0.3">
      <c r="A4" s="5" t="s">
        <v>4</v>
      </c>
      <c r="B4">
        <v>6244000</v>
      </c>
    </row>
    <row r="5" spans="1:2" x14ac:dyDescent="0.3">
      <c r="A5" s="5" t="s">
        <v>37</v>
      </c>
      <c r="B5">
        <v>4644400</v>
      </c>
    </row>
    <row r="6" spans="1:2" x14ac:dyDescent="0.3">
      <c r="A6" s="5" t="s">
        <v>45</v>
      </c>
      <c r="B6">
        <v>4528300</v>
      </c>
    </row>
    <row r="7" spans="1:2" x14ac:dyDescent="0.3">
      <c r="A7" s="5" t="s">
        <v>7</v>
      </c>
      <c r="B7">
        <v>4357500</v>
      </c>
    </row>
    <row r="8" spans="1:2" x14ac:dyDescent="0.3">
      <c r="A8" s="5" t="s">
        <v>29</v>
      </c>
      <c r="B8">
        <v>4081800</v>
      </c>
    </row>
    <row r="9" spans="1:2" x14ac:dyDescent="0.3">
      <c r="A9" s="5" t="s">
        <v>16</v>
      </c>
      <c r="B9">
        <v>3788100</v>
      </c>
    </row>
    <row r="10" spans="1:2" x14ac:dyDescent="0.3">
      <c r="A10" s="5" t="s">
        <v>24</v>
      </c>
      <c r="B10">
        <v>3649800</v>
      </c>
    </row>
    <row r="11" spans="1:2" x14ac:dyDescent="0.3">
      <c r="A11" s="5" t="s">
        <v>10</v>
      </c>
      <c r="B11">
        <v>3644900</v>
      </c>
    </row>
    <row r="12" spans="1:2" x14ac:dyDescent="0.3">
      <c r="A12" s="5" t="s">
        <v>22</v>
      </c>
      <c r="B12">
        <v>3339200</v>
      </c>
    </row>
    <row r="13" spans="1:2" x14ac:dyDescent="0.3">
      <c r="A13" s="5" t="s">
        <v>19</v>
      </c>
      <c r="B13">
        <v>2756400</v>
      </c>
    </row>
    <row r="14" spans="1:2" x14ac:dyDescent="0.3">
      <c r="A14" s="5" t="s">
        <v>1473</v>
      </c>
      <c r="B14">
        <v>41034400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87C40-ADB8-4842-9177-9E52DEF54D04}">
  <dimension ref="A3:B6"/>
  <sheetViews>
    <sheetView workbookViewId="0">
      <selection activeCell="L8" sqref="L8"/>
    </sheetView>
  </sheetViews>
  <sheetFormatPr defaultRowHeight="14.4" x14ac:dyDescent="0.3"/>
  <cols>
    <col min="1" max="2" width="12.5546875" bestFit="1" customWidth="1"/>
  </cols>
  <sheetData>
    <row r="3" spans="1:2" x14ac:dyDescent="0.3">
      <c r="A3" s="4" t="s">
        <v>1472</v>
      </c>
      <c r="B3" t="s">
        <v>1475</v>
      </c>
    </row>
    <row r="4" spans="1:2" x14ac:dyDescent="0.3">
      <c r="A4" s="5" t="s">
        <v>333</v>
      </c>
      <c r="B4">
        <v>2051700</v>
      </c>
    </row>
    <row r="5" spans="1:2" x14ac:dyDescent="0.3">
      <c r="A5" s="5" t="s">
        <v>330</v>
      </c>
      <c r="B5">
        <v>7106000</v>
      </c>
    </row>
    <row r="6" spans="1:2" x14ac:dyDescent="0.3">
      <c r="A6" s="5" t="s">
        <v>1473</v>
      </c>
      <c r="B6">
        <v>9157700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000"/>
  <sheetViews>
    <sheetView workbookViewId="0">
      <selection activeCell="K12" sqref="K12"/>
    </sheetView>
  </sheetViews>
  <sheetFormatPr defaultRowHeight="14.4" x14ac:dyDescent="0.3"/>
  <cols>
    <col min="1" max="1" width="7.88671875" bestFit="1" customWidth="1"/>
    <col min="2" max="2" width="17" style="2" bestFit="1" customWidth="1"/>
    <col min="3" max="3" width="17" style="2" customWidth="1"/>
    <col min="4" max="4" width="11.109375" bestFit="1" customWidth="1"/>
    <col min="5" max="5" width="9.5546875" bestFit="1" customWidth="1"/>
    <col min="6" max="6" width="8" bestFit="1" customWidth="1"/>
    <col min="7" max="8" width="22.5546875" customWidth="1"/>
    <col min="9" max="9" width="14.21875" customWidth="1"/>
    <col min="10" max="11" width="10.88671875" customWidth="1"/>
    <col min="12" max="12" width="15.33203125" customWidth="1"/>
    <col min="13" max="13" width="14.6640625" customWidth="1"/>
    <col min="14" max="14" width="14.109375" customWidth="1"/>
    <col min="15" max="15" width="10.6640625" customWidth="1"/>
    <col min="16" max="16" width="12" bestFit="1" customWidth="1"/>
    <col min="17" max="17" width="16.88671875" customWidth="1"/>
  </cols>
  <sheetData>
    <row r="1" spans="1:17" x14ac:dyDescent="0.3">
      <c r="A1" s="17" t="s">
        <v>444</v>
      </c>
      <c r="B1" s="18" t="s">
        <v>445</v>
      </c>
      <c r="C1" s="18" t="s">
        <v>1489</v>
      </c>
      <c r="D1" s="17" t="s">
        <v>0</v>
      </c>
      <c r="E1" s="17" t="s">
        <v>323</v>
      </c>
      <c r="F1" s="17" t="s">
        <v>446</v>
      </c>
      <c r="G1" s="17" t="s">
        <v>1452</v>
      </c>
      <c r="H1" s="17" t="s">
        <v>2</v>
      </c>
      <c r="I1" s="17" t="s">
        <v>1453</v>
      </c>
      <c r="J1" s="17" t="s">
        <v>325</v>
      </c>
      <c r="K1" s="17" t="s">
        <v>326</v>
      </c>
      <c r="L1" s="17" t="s">
        <v>327</v>
      </c>
      <c r="M1" s="17" t="s">
        <v>1456</v>
      </c>
      <c r="N1" s="17" t="s">
        <v>1457</v>
      </c>
      <c r="O1" s="17" t="s">
        <v>1458</v>
      </c>
      <c r="P1" s="17" t="s">
        <v>1459</v>
      </c>
      <c r="Q1" s="17" t="s">
        <v>1460</v>
      </c>
    </row>
    <row r="2" spans="1:17" x14ac:dyDescent="0.3">
      <c r="A2" t="s">
        <v>447</v>
      </c>
      <c r="B2" s="2">
        <v>45748</v>
      </c>
      <c r="C2" s="2" t="str">
        <f>TEXT(B2,"MMMM")</f>
        <v>April</v>
      </c>
      <c r="D2" t="s">
        <v>40</v>
      </c>
      <c r="E2" t="s">
        <v>433</v>
      </c>
      <c r="F2">
        <v>2</v>
      </c>
      <c r="G2" t="s">
        <v>4</v>
      </c>
      <c r="H2" t="s">
        <v>20</v>
      </c>
      <c r="I2" t="s">
        <v>353</v>
      </c>
      <c r="J2" t="str">
        <f>_xlfn.XLOOKUP(E2, Product_Master!$A$2:$A$101, Product_Master!$C$2:$C$101)</f>
        <v>Electronics</v>
      </c>
      <c r="K2">
        <f>_xlfn.XLOOKUP(E2, Product_Master!$A$2:$A$101, Product_Master!$D$2:$D$101)</f>
        <v>12000</v>
      </c>
      <c r="L2">
        <f>_xlfn.XLOOKUP(E2, Product_Master!$A$2:$A$101, Product_Master!$E$2:$E$101)</f>
        <v>15000</v>
      </c>
      <c r="M2">
        <f>F2*L2</f>
        <v>30000</v>
      </c>
      <c r="N2">
        <f>F2*K2</f>
        <v>24000</v>
      </c>
      <c r="O2">
        <f>M2-N2</f>
        <v>6000</v>
      </c>
      <c r="P2" s="3">
        <f>O2/M2</f>
        <v>0.2</v>
      </c>
      <c r="Q2" s="3" t="str" cm="1">
        <f t="array" ref="Q2:Q1001">_xlfn.IFS(P2:P1001&gt;=25%, "High Profit", P2:P1001&gt;=10%, "Low Profit")</f>
        <v>Low Profit</v>
      </c>
    </row>
    <row r="3" spans="1:17" x14ac:dyDescent="0.3">
      <c r="A3" t="s">
        <v>448</v>
      </c>
      <c r="B3" s="2">
        <v>46015</v>
      </c>
      <c r="C3" s="2" t="str">
        <f t="shared" ref="C3:C66" si="0">TEXT(B3,"MMMM")</f>
        <v>December</v>
      </c>
      <c r="D3" t="s">
        <v>164</v>
      </c>
      <c r="E3" t="s">
        <v>374</v>
      </c>
      <c r="F3">
        <v>4</v>
      </c>
      <c r="G3" t="s">
        <v>45</v>
      </c>
      <c r="H3" t="s">
        <v>14</v>
      </c>
      <c r="I3" t="s">
        <v>346</v>
      </c>
      <c r="J3" t="str">
        <f>_xlfn.XLOOKUP(E3, Product_Master!$A$2:$A$101, Product_Master!$C$2:$C$101)</f>
        <v>Accessories</v>
      </c>
      <c r="K3">
        <f>_xlfn.XLOOKUP(E3, Product_Master!$A$2:$A$101, Product_Master!$D$2:$D$101)</f>
        <v>9000</v>
      </c>
      <c r="L3">
        <f>_xlfn.XLOOKUP(E3, Product_Master!$A$2:$A$101, Product_Master!$E$2:$E$101)</f>
        <v>12000</v>
      </c>
      <c r="M3">
        <f t="shared" ref="M3:M66" si="1">F3*L3</f>
        <v>48000</v>
      </c>
      <c r="N3">
        <f t="shared" ref="N3:N66" si="2">F3*K3</f>
        <v>36000</v>
      </c>
      <c r="O3">
        <f t="shared" ref="O3:O66" si="3">M3-N3</f>
        <v>12000</v>
      </c>
      <c r="P3" s="3">
        <f t="shared" ref="P3:P66" si="4">O3/M3</f>
        <v>0.25</v>
      </c>
      <c r="Q3" s="3" t="str">
        <v>High Profit</v>
      </c>
    </row>
    <row r="4" spans="1:17" x14ac:dyDescent="0.3">
      <c r="A4" t="s">
        <v>449</v>
      </c>
      <c r="B4" s="2">
        <v>45668</v>
      </c>
      <c r="C4" s="2" t="str">
        <f t="shared" si="0"/>
        <v>January</v>
      </c>
      <c r="D4" t="s">
        <v>322</v>
      </c>
      <c r="E4" t="s">
        <v>415</v>
      </c>
      <c r="F4">
        <v>2</v>
      </c>
      <c r="G4" t="s">
        <v>29</v>
      </c>
      <c r="H4" t="s">
        <v>17</v>
      </c>
      <c r="I4" t="s">
        <v>329</v>
      </c>
      <c r="J4" t="str">
        <f>_xlfn.XLOOKUP(E4, Product_Master!$A$2:$A$101, Product_Master!$C$2:$C$101)</f>
        <v>Electronics</v>
      </c>
      <c r="K4">
        <f>_xlfn.XLOOKUP(E4, Product_Master!$A$2:$A$101, Product_Master!$D$2:$D$101)</f>
        <v>20000</v>
      </c>
      <c r="L4">
        <f>_xlfn.XLOOKUP(E4, Product_Master!$A$2:$A$101, Product_Master!$E$2:$E$101)</f>
        <v>25000</v>
      </c>
      <c r="M4">
        <f t="shared" si="1"/>
        <v>50000</v>
      </c>
      <c r="N4">
        <f t="shared" si="2"/>
        <v>40000</v>
      </c>
      <c r="O4">
        <f t="shared" si="3"/>
        <v>10000</v>
      </c>
      <c r="P4" s="3">
        <f t="shared" si="4"/>
        <v>0.2</v>
      </c>
      <c r="Q4" s="3" t="str">
        <v>Low Profit</v>
      </c>
    </row>
    <row r="5" spans="1:17" x14ac:dyDescent="0.3">
      <c r="A5" t="s">
        <v>450</v>
      </c>
      <c r="B5" s="2">
        <v>45846</v>
      </c>
      <c r="C5" s="2" t="str">
        <f t="shared" si="0"/>
        <v>July</v>
      </c>
      <c r="D5" t="s">
        <v>91</v>
      </c>
      <c r="E5" t="s">
        <v>356</v>
      </c>
      <c r="F5">
        <v>5</v>
      </c>
      <c r="G5" t="s">
        <v>12</v>
      </c>
      <c r="H5" t="s">
        <v>27</v>
      </c>
      <c r="I5" t="s">
        <v>340</v>
      </c>
      <c r="J5" t="str">
        <f>_xlfn.XLOOKUP(E5, Product_Master!$A$2:$A$101, Product_Master!$C$2:$C$101)</f>
        <v>Electronics</v>
      </c>
      <c r="K5">
        <f>_xlfn.XLOOKUP(E5, Product_Master!$A$2:$A$101, Product_Master!$D$2:$D$101)</f>
        <v>42000</v>
      </c>
      <c r="L5">
        <f>_xlfn.XLOOKUP(E5, Product_Master!$A$2:$A$101, Product_Master!$E$2:$E$101)</f>
        <v>50000</v>
      </c>
      <c r="M5">
        <f t="shared" si="1"/>
        <v>250000</v>
      </c>
      <c r="N5">
        <f t="shared" si="2"/>
        <v>210000</v>
      </c>
      <c r="O5">
        <f t="shared" si="3"/>
        <v>40000</v>
      </c>
      <c r="P5" s="3">
        <f t="shared" si="4"/>
        <v>0.16</v>
      </c>
      <c r="Q5" s="3" t="str">
        <v>Low Profit</v>
      </c>
    </row>
    <row r="6" spans="1:17" x14ac:dyDescent="0.3">
      <c r="A6" t="s">
        <v>451</v>
      </c>
      <c r="B6" s="2">
        <v>45960</v>
      </c>
      <c r="C6" s="2" t="str">
        <f t="shared" si="0"/>
        <v>October</v>
      </c>
      <c r="D6" t="s">
        <v>152</v>
      </c>
      <c r="E6" t="s">
        <v>400</v>
      </c>
      <c r="F6">
        <v>2</v>
      </c>
      <c r="G6" t="s">
        <v>29</v>
      </c>
      <c r="H6" t="s">
        <v>5</v>
      </c>
      <c r="I6" t="s">
        <v>335</v>
      </c>
      <c r="J6" t="str">
        <f>_xlfn.XLOOKUP(E6, Product_Master!$A$2:$A$101, Product_Master!$C$2:$C$101)</f>
        <v>Accessories</v>
      </c>
      <c r="K6">
        <f>_xlfn.XLOOKUP(E6, Product_Master!$A$2:$A$101, Product_Master!$D$2:$D$101)</f>
        <v>900</v>
      </c>
      <c r="L6">
        <f>_xlfn.XLOOKUP(E6, Product_Master!$A$2:$A$101, Product_Master!$E$2:$E$101)</f>
        <v>1500</v>
      </c>
      <c r="M6">
        <f t="shared" si="1"/>
        <v>3000</v>
      </c>
      <c r="N6">
        <f t="shared" si="2"/>
        <v>1800</v>
      </c>
      <c r="O6">
        <f t="shared" si="3"/>
        <v>1200</v>
      </c>
      <c r="P6" s="3">
        <f t="shared" si="4"/>
        <v>0.4</v>
      </c>
      <c r="Q6" s="3" t="str">
        <v>High Profit</v>
      </c>
    </row>
    <row r="7" spans="1:17" x14ac:dyDescent="0.3">
      <c r="A7" t="s">
        <v>452</v>
      </c>
      <c r="B7" s="2">
        <v>45796</v>
      </c>
      <c r="C7" s="2" t="str">
        <f t="shared" si="0"/>
        <v>May</v>
      </c>
      <c r="D7" t="s">
        <v>304</v>
      </c>
      <c r="E7" t="s">
        <v>383</v>
      </c>
      <c r="F7">
        <v>1</v>
      </c>
      <c r="G7" t="s">
        <v>45</v>
      </c>
      <c r="H7" t="s">
        <v>8</v>
      </c>
      <c r="I7" t="s">
        <v>335</v>
      </c>
      <c r="J7" t="str">
        <f>_xlfn.XLOOKUP(E7, Product_Master!$A$2:$A$101, Product_Master!$C$2:$C$101)</f>
        <v>Accessories</v>
      </c>
      <c r="K7">
        <f>_xlfn.XLOOKUP(E7, Product_Master!$A$2:$A$101, Product_Master!$D$2:$D$101)</f>
        <v>900</v>
      </c>
      <c r="L7">
        <f>_xlfn.XLOOKUP(E7, Product_Master!$A$2:$A$101, Product_Master!$E$2:$E$101)</f>
        <v>1500</v>
      </c>
      <c r="M7">
        <f t="shared" si="1"/>
        <v>1500</v>
      </c>
      <c r="N7">
        <f t="shared" si="2"/>
        <v>900</v>
      </c>
      <c r="O7">
        <f t="shared" si="3"/>
        <v>600</v>
      </c>
      <c r="P7" s="3">
        <f t="shared" si="4"/>
        <v>0.4</v>
      </c>
      <c r="Q7" s="3" t="str">
        <v>High Profit</v>
      </c>
    </row>
    <row r="8" spans="1:17" x14ac:dyDescent="0.3">
      <c r="A8" t="s">
        <v>453</v>
      </c>
      <c r="B8" s="2">
        <v>45913</v>
      </c>
      <c r="C8" s="2" t="str">
        <f t="shared" si="0"/>
        <v>September</v>
      </c>
      <c r="D8" t="s">
        <v>53</v>
      </c>
      <c r="E8" t="s">
        <v>354</v>
      </c>
      <c r="F8">
        <v>3</v>
      </c>
      <c r="G8" t="s">
        <v>7</v>
      </c>
      <c r="H8" t="s">
        <v>31</v>
      </c>
      <c r="I8" t="s">
        <v>329</v>
      </c>
      <c r="J8" t="str">
        <f>_xlfn.XLOOKUP(E8, Product_Master!$A$2:$A$101, Product_Master!$C$2:$C$101)</f>
        <v>Electronics</v>
      </c>
      <c r="K8">
        <f>_xlfn.XLOOKUP(E8, Product_Master!$A$2:$A$101, Product_Master!$D$2:$D$101)</f>
        <v>20000</v>
      </c>
      <c r="L8">
        <f>_xlfn.XLOOKUP(E8, Product_Master!$A$2:$A$101, Product_Master!$E$2:$E$101)</f>
        <v>25000</v>
      </c>
      <c r="M8">
        <f t="shared" si="1"/>
        <v>75000</v>
      </c>
      <c r="N8">
        <f t="shared" si="2"/>
        <v>60000</v>
      </c>
      <c r="O8">
        <f t="shared" si="3"/>
        <v>15000</v>
      </c>
      <c r="P8" s="3">
        <f t="shared" si="4"/>
        <v>0.2</v>
      </c>
      <c r="Q8" s="3" t="str">
        <v>Low Profit</v>
      </c>
    </row>
    <row r="9" spans="1:17" x14ac:dyDescent="0.3">
      <c r="A9" t="s">
        <v>454</v>
      </c>
      <c r="B9" s="2">
        <v>45895</v>
      </c>
      <c r="C9" s="2" t="str">
        <f t="shared" si="0"/>
        <v>August</v>
      </c>
      <c r="D9" t="s">
        <v>179</v>
      </c>
      <c r="E9" t="s">
        <v>362</v>
      </c>
      <c r="F9">
        <v>1</v>
      </c>
      <c r="G9" t="s">
        <v>4</v>
      </c>
      <c r="H9" t="s">
        <v>27</v>
      </c>
      <c r="I9" t="s">
        <v>332</v>
      </c>
      <c r="J9" t="str">
        <f>_xlfn.XLOOKUP(E9, Product_Master!$A$2:$A$101, Product_Master!$C$2:$C$101)</f>
        <v>Accessories</v>
      </c>
      <c r="K9">
        <f>_xlfn.XLOOKUP(E9, Product_Master!$A$2:$A$101, Product_Master!$D$2:$D$101)</f>
        <v>500</v>
      </c>
      <c r="L9">
        <f>_xlfn.XLOOKUP(E9, Product_Master!$A$2:$A$101, Product_Master!$E$2:$E$101)</f>
        <v>800</v>
      </c>
      <c r="M9">
        <f t="shared" si="1"/>
        <v>800</v>
      </c>
      <c r="N9">
        <f t="shared" si="2"/>
        <v>500</v>
      </c>
      <c r="O9">
        <f t="shared" si="3"/>
        <v>300</v>
      </c>
      <c r="P9" s="3">
        <f t="shared" si="4"/>
        <v>0.375</v>
      </c>
      <c r="Q9" s="3" t="str">
        <v>High Profit</v>
      </c>
    </row>
    <row r="10" spans="1:17" x14ac:dyDescent="0.3">
      <c r="A10" t="s">
        <v>455</v>
      </c>
      <c r="B10" s="2">
        <v>45866</v>
      </c>
      <c r="C10" s="2" t="str">
        <f t="shared" si="0"/>
        <v>July</v>
      </c>
      <c r="D10" t="s">
        <v>136</v>
      </c>
      <c r="E10" t="s">
        <v>365</v>
      </c>
      <c r="F10">
        <v>4</v>
      </c>
      <c r="G10" t="s">
        <v>4</v>
      </c>
      <c r="H10" t="s">
        <v>14</v>
      </c>
      <c r="I10" t="s">
        <v>340</v>
      </c>
      <c r="J10" t="str">
        <f>_xlfn.XLOOKUP(E10, Product_Master!$A$2:$A$101, Product_Master!$C$2:$C$101)</f>
        <v>Electronics</v>
      </c>
      <c r="K10">
        <f>_xlfn.XLOOKUP(E10, Product_Master!$A$2:$A$101, Product_Master!$D$2:$D$101)</f>
        <v>42000</v>
      </c>
      <c r="L10">
        <f>_xlfn.XLOOKUP(E10, Product_Master!$A$2:$A$101, Product_Master!$E$2:$E$101)</f>
        <v>50000</v>
      </c>
      <c r="M10">
        <f t="shared" si="1"/>
        <v>200000</v>
      </c>
      <c r="N10">
        <f t="shared" si="2"/>
        <v>168000</v>
      </c>
      <c r="O10">
        <f t="shared" si="3"/>
        <v>32000</v>
      </c>
      <c r="P10" s="3">
        <f t="shared" si="4"/>
        <v>0.16</v>
      </c>
      <c r="Q10" s="3" t="str">
        <v>Low Profit</v>
      </c>
    </row>
    <row r="11" spans="1:17" x14ac:dyDescent="0.3">
      <c r="A11" t="s">
        <v>456</v>
      </c>
      <c r="B11" s="2">
        <v>45853</v>
      </c>
      <c r="C11" s="2" t="str">
        <f t="shared" si="0"/>
        <v>July</v>
      </c>
      <c r="D11" t="s">
        <v>240</v>
      </c>
      <c r="E11" t="s">
        <v>374</v>
      </c>
      <c r="F11">
        <v>5</v>
      </c>
      <c r="G11" t="s">
        <v>47</v>
      </c>
      <c r="H11" t="s">
        <v>39</v>
      </c>
      <c r="I11" t="s">
        <v>346</v>
      </c>
      <c r="J11" t="str">
        <f>_xlfn.XLOOKUP(E11, Product_Master!$A$2:$A$101, Product_Master!$C$2:$C$101)</f>
        <v>Accessories</v>
      </c>
      <c r="K11">
        <f>_xlfn.XLOOKUP(E11, Product_Master!$A$2:$A$101, Product_Master!$D$2:$D$101)</f>
        <v>9000</v>
      </c>
      <c r="L11">
        <f>_xlfn.XLOOKUP(E11, Product_Master!$A$2:$A$101, Product_Master!$E$2:$E$101)</f>
        <v>12000</v>
      </c>
      <c r="M11">
        <f t="shared" si="1"/>
        <v>60000</v>
      </c>
      <c r="N11">
        <f t="shared" si="2"/>
        <v>45000</v>
      </c>
      <c r="O11">
        <f t="shared" si="3"/>
        <v>15000</v>
      </c>
      <c r="P11" s="3">
        <f t="shared" si="4"/>
        <v>0.25</v>
      </c>
      <c r="Q11" s="3" t="str">
        <v>High Profit</v>
      </c>
    </row>
    <row r="12" spans="1:17" x14ac:dyDescent="0.3">
      <c r="A12" t="s">
        <v>457</v>
      </c>
      <c r="B12" s="2">
        <v>45758</v>
      </c>
      <c r="C12" s="2" t="str">
        <f t="shared" si="0"/>
        <v>April</v>
      </c>
      <c r="D12" t="s">
        <v>85</v>
      </c>
      <c r="E12" t="s">
        <v>371</v>
      </c>
      <c r="F12">
        <v>4</v>
      </c>
      <c r="G12" t="s">
        <v>24</v>
      </c>
      <c r="H12" t="s">
        <v>20</v>
      </c>
      <c r="I12" t="s">
        <v>329</v>
      </c>
      <c r="J12" t="str">
        <f>_xlfn.XLOOKUP(E12, Product_Master!$A$2:$A$101, Product_Master!$C$2:$C$101)</f>
        <v>Electronics</v>
      </c>
      <c r="K12">
        <f>_xlfn.XLOOKUP(E12, Product_Master!$A$2:$A$101, Product_Master!$D$2:$D$101)</f>
        <v>20000</v>
      </c>
      <c r="L12">
        <f>_xlfn.XLOOKUP(E12, Product_Master!$A$2:$A$101, Product_Master!$E$2:$E$101)</f>
        <v>25000</v>
      </c>
      <c r="M12">
        <f t="shared" si="1"/>
        <v>100000</v>
      </c>
      <c r="N12">
        <f t="shared" si="2"/>
        <v>80000</v>
      </c>
      <c r="O12">
        <f t="shared" si="3"/>
        <v>20000</v>
      </c>
      <c r="P12" s="3">
        <f t="shared" si="4"/>
        <v>0.2</v>
      </c>
      <c r="Q12" s="3" t="str">
        <v>Low Profit</v>
      </c>
    </row>
    <row r="13" spans="1:17" x14ac:dyDescent="0.3">
      <c r="A13" t="s">
        <v>458</v>
      </c>
      <c r="B13" s="2">
        <v>45667</v>
      </c>
      <c r="C13" s="2" t="str">
        <f t="shared" si="0"/>
        <v>January</v>
      </c>
      <c r="D13" t="s">
        <v>459</v>
      </c>
      <c r="E13" t="s">
        <v>418</v>
      </c>
      <c r="F13">
        <v>1</v>
      </c>
      <c r="G13" t="s">
        <v>1454</v>
      </c>
      <c r="H13" t="s">
        <v>1455</v>
      </c>
      <c r="I13" t="s">
        <v>329</v>
      </c>
      <c r="J13" t="str">
        <f>_xlfn.XLOOKUP(E13, Product_Master!$A$2:$A$101, Product_Master!$C$2:$C$101)</f>
        <v>Electronics</v>
      </c>
      <c r="K13">
        <f>_xlfn.XLOOKUP(E13, Product_Master!$A$2:$A$101, Product_Master!$D$2:$D$101)</f>
        <v>20000</v>
      </c>
      <c r="L13">
        <f>_xlfn.XLOOKUP(E13, Product_Master!$A$2:$A$101, Product_Master!$E$2:$E$101)</f>
        <v>25000</v>
      </c>
      <c r="M13">
        <f t="shared" si="1"/>
        <v>25000</v>
      </c>
      <c r="N13">
        <f t="shared" si="2"/>
        <v>20000</v>
      </c>
      <c r="O13">
        <f t="shared" si="3"/>
        <v>5000</v>
      </c>
      <c r="P13" s="3">
        <f t="shared" si="4"/>
        <v>0.2</v>
      </c>
      <c r="Q13" s="3" t="str">
        <v>Low Profit</v>
      </c>
    </row>
    <row r="14" spans="1:17" x14ac:dyDescent="0.3">
      <c r="A14" t="s">
        <v>460</v>
      </c>
      <c r="B14" s="2">
        <v>45937</v>
      </c>
      <c r="C14" s="2" t="str">
        <f t="shared" si="0"/>
        <v>October</v>
      </c>
      <c r="D14" t="s">
        <v>184</v>
      </c>
      <c r="E14" t="s">
        <v>338</v>
      </c>
      <c r="F14">
        <v>2</v>
      </c>
      <c r="G14" t="s">
        <v>4</v>
      </c>
      <c r="H14" t="s">
        <v>39</v>
      </c>
      <c r="I14" t="s">
        <v>332</v>
      </c>
      <c r="J14" t="str">
        <f>_xlfn.XLOOKUP(E14, Product_Master!$A$2:$A$101, Product_Master!$C$2:$C$101)</f>
        <v>Accessories</v>
      </c>
      <c r="K14">
        <f>_xlfn.XLOOKUP(E14, Product_Master!$A$2:$A$101, Product_Master!$D$2:$D$101)</f>
        <v>500</v>
      </c>
      <c r="L14">
        <f>_xlfn.XLOOKUP(E14, Product_Master!$A$2:$A$101, Product_Master!$E$2:$E$101)</f>
        <v>800</v>
      </c>
      <c r="M14">
        <f t="shared" si="1"/>
        <v>1600</v>
      </c>
      <c r="N14">
        <f t="shared" si="2"/>
        <v>1000</v>
      </c>
      <c r="O14">
        <f t="shared" si="3"/>
        <v>600</v>
      </c>
      <c r="P14" s="3">
        <f t="shared" si="4"/>
        <v>0.375</v>
      </c>
      <c r="Q14" s="3" t="str">
        <v>High Profit</v>
      </c>
    </row>
    <row r="15" spans="1:17" x14ac:dyDescent="0.3">
      <c r="A15" t="s">
        <v>461</v>
      </c>
      <c r="B15" s="2">
        <v>46003</v>
      </c>
      <c r="C15" s="2" t="str">
        <f t="shared" si="0"/>
        <v>December</v>
      </c>
      <c r="D15" t="s">
        <v>194</v>
      </c>
      <c r="E15" t="s">
        <v>351</v>
      </c>
      <c r="F15">
        <v>1</v>
      </c>
      <c r="G15" t="s">
        <v>47</v>
      </c>
      <c r="H15" t="s">
        <v>5</v>
      </c>
      <c r="I15" t="s">
        <v>332</v>
      </c>
      <c r="J15" t="str">
        <f>_xlfn.XLOOKUP(E15, Product_Master!$A$2:$A$101, Product_Master!$C$2:$C$101)</f>
        <v>Accessories</v>
      </c>
      <c r="K15">
        <f>_xlfn.XLOOKUP(E15, Product_Master!$A$2:$A$101, Product_Master!$D$2:$D$101)</f>
        <v>500</v>
      </c>
      <c r="L15">
        <f>_xlfn.XLOOKUP(E15, Product_Master!$A$2:$A$101, Product_Master!$E$2:$E$101)</f>
        <v>800</v>
      </c>
      <c r="M15">
        <f t="shared" si="1"/>
        <v>800</v>
      </c>
      <c r="N15">
        <f t="shared" si="2"/>
        <v>500</v>
      </c>
      <c r="O15">
        <f t="shared" si="3"/>
        <v>300</v>
      </c>
      <c r="P15" s="3">
        <f t="shared" si="4"/>
        <v>0.375</v>
      </c>
      <c r="Q15" s="3" t="str">
        <v>High Profit</v>
      </c>
    </row>
    <row r="16" spans="1:17" x14ac:dyDescent="0.3">
      <c r="A16" t="s">
        <v>462</v>
      </c>
      <c r="B16" s="2">
        <v>45962</v>
      </c>
      <c r="C16" s="2" t="str">
        <f t="shared" si="0"/>
        <v>November</v>
      </c>
      <c r="D16" t="s">
        <v>99</v>
      </c>
      <c r="E16" t="s">
        <v>384</v>
      </c>
      <c r="F16">
        <v>3</v>
      </c>
      <c r="G16" t="s">
        <v>45</v>
      </c>
      <c r="H16" t="s">
        <v>39</v>
      </c>
      <c r="I16" t="s">
        <v>353</v>
      </c>
      <c r="J16" t="str">
        <f>_xlfn.XLOOKUP(E16, Product_Master!$A$2:$A$101, Product_Master!$C$2:$C$101)</f>
        <v>Electronics</v>
      </c>
      <c r="K16">
        <f>_xlfn.XLOOKUP(E16, Product_Master!$A$2:$A$101, Product_Master!$D$2:$D$101)</f>
        <v>12000</v>
      </c>
      <c r="L16">
        <f>_xlfn.XLOOKUP(E16, Product_Master!$A$2:$A$101, Product_Master!$E$2:$E$101)</f>
        <v>15000</v>
      </c>
      <c r="M16">
        <f t="shared" si="1"/>
        <v>45000</v>
      </c>
      <c r="N16">
        <f t="shared" si="2"/>
        <v>36000</v>
      </c>
      <c r="O16">
        <f t="shared" si="3"/>
        <v>9000</v>
      </c>
      <c r="P16" s="3">
        <f t="shared" si="4"/>
        <v>0.2</v>
      </c>
      <c r="Q16" s="3" t="str">
        <v>Low Profit</v>
      </c>
    </row>
    <row r="17" spans="1:17" x14ac:dyDescent="0.3">
      <c r="A17" t="s">
        <v>463</v>
      </c>
      <c r="B17" s="2">
        <v>45767</v>
      </c>
      <c r="C17" s="2" t="str">
        <f t="shared" si="0"/>
        <v>April</v>
      </c>
      <c r="D17" t="s">
        <v>186</v>
      </c>
      <c r="E17" t="s">
        <v>434</v>
      </c>
      <c r="F17">
        <v>1</v>
      </c>
      <c r="G17" t="s">
        <v>7</v>
      </c>
      <c r="H17" t="s">
        <v>17</v>
      </c>
      <c r="I17" t="s">
        <v>346</v>
      </c>
      <c r="J17" t="str">
        <f>_xlfn.XLOOKUP(E17, Product_Master!$A$2:$A$101, Product_Master!$C$2:$C$101)</f>
        <v>Accessories</v>
      </c>
      <c r="K17">
        <f>_xlfn.XLOOKUP(E17, Product_Master!$A$2:$A$101, Product_Master!$D$2:$D$101)</f>
        <v>9000</v>
      </c>
      <c r="L17">
        <f>_xlfn.XLOOKUP(E17, Product_Master!$A$2:$A$101, Product_Master!$E$2:$E$101)</f>
        <v>12000</v>
      </c>
      <c r="M17">
        <f t="shared" si="1"/>
        <v>12000</v>
      </c>
      <c r="N17">
        <f t="shared" si="2"/>
        <v>9000</v>
      </c>
      <c r="O17">
        <f t="shared" si="3"/>
        <v>3000</v>
      </c>
      <c r="P17" s="3">
        <f t="shared" si="4"/>
        <v>0.25</v>
      </c>
      <c r="Q17" s="3" t="str">
        <v>High Profit</v>
      </c>
    </row>
    <row r="18" spans="1:17" x14ac:dyDescent="0.3">
      <c r="A18" t="s">
        <v>464</v>
      </c>
      <c r="B18" s="2">
        <v>45971</v>
      </c>
      <c r="C18" s="2" t="str">
        <f t="shared" si="0"/>
        <v>November</v>
      </c>
      <c r="D18" t="s">
        <v>281</v>
      </c>
      <c r="E18" t="s">
        <v>428</v>
      </c>
      <c r="F18">
        <v>3</v>
      </c>
      <c r="G18" t="s">
        <v>47</v>
      </c>
      <c r="H18" t="s">
        <v>14</v>
      </c>
      <c r="I18" t="s">
        <v>335</v>
      </c>
      <c r="J18" t="str">
        <f>_xlfn.XLOOKUP(E18, Product_Master!$A$2:$A$101, Product_Master!$C$2:$C$101)</f>
        <v>Accessories</v>
      </c>
      <c r="K18">
        <f>_xlfn.XLOOKUP(E18, Product_Master!$A$2:$A$101, Product_Master!$D$2:$D$101)</f>
        <v>900</v>
      </c>
      <c r="L18">
        <f>_xlfn.XLOOKUP(E18, Product_Master!$A$2:$A$101, Product_Master!$E$2:$E$101)</f>
        <v>1500</v>
      </c>
      <c r="M18">
        <f t="shared" si="1"/>
        <v>4500</v>
      </c>
      <c r="N18">
        <f t="shared" si="2"/>
        <v>2700</v>
      </c>
      <c r="O18">
        <f t="shared" si="3"/>
        <v>1800</v>
      </c>
      <c r="P18" s="3">
        <f t="shared" si="4"/>
        <v>0.4</v>
      </c>
      <c r="Q18" s="3" t="str">
        <v>High Profit</v>
      </c>
    </row>
    <row r="19" spans="1:17" x14ac:dyDescent="0.3">
      <c r="A19" t="s">
        <v>465</v>
      </c>
      <c r="B19" s="2">
        <v>45895</v>
      </c>
      <c r="C19" s="2" t="str">
        <f t="shared" si="0"/>
        <v>August</v>
      </c>
      <c r="D19" t="s">
        <v>309</v>
      </c>
      <c r="E19" t="s">
        <v>443</v>
      </c>
      <c r="F19">
        <v>3</v>
      </c>
      <c r="G19" t="s">
        <v>4</v>
      </c>
      <c r="H19" t="s">
        <v>39</v>
      </c>
      <c r="I19" t="s">
        <v>344</v>
      </c>
      <c r="J19" t="str">
        <f>_xlfn.XLOOKUP(E19, Product_Master!$A$2:$A$101, Product_Master!$C$2:$C$101)</f>
        <v>Accessories</v>
      </c>
      <c r="K19">
        <f>_xlfn.XLOOKUP(E19, Product_Master!$A$2:$A$101, Product_Master!$D$2:$D$101)</f>
        <v>2000</v>
      </c>
      <c r="L19">
        <f>_xlfn.XLOOKUP(E19, Product_Master!$A$2:$A$101, Product_Master!$E$2:$E$101)</f>
        <v>3000</v>
      </c>
      <c r="M19">
        <f t="shared" si="1"/>
        <v>9000</v>
      </c>
      <c r="N19">
        <f t="shared" si="2"/>
        <v>6000</v>
      </c>
      <c r="O19">
        <f t="shared" si="3"/>
        <v>3000</v>
      </c>
      <c r="P19" s="3">
        <f t="shared" si="4"/>
        <v>0.33333333333333331</v>
      </c>
      <c r="Q19" s="3" t="str">
        <v>High Profit</v>
      </c>
    </row>
    <row r="20" spans="1:17" x14ac:dyDescent="0.3">
      <c r="A20" t="s">
        <v>466</v>
      </c>
      <c r="B20" s="2">
        <v>45857</v>
      </c>
      <c r="C20" s="2" t="str">
        <f t="shared" si="0"/>
        <v>July</v>
      </c>
      <c r="D20" t="s">
        <v>99</v>
      </c>
      <c r="E20" t="s">
        <v>385</v>
      </c>
      <c r="F20">
        <v>3</v>
      </c>
      <c r="G20" t="s">
        <v>45</v>
      </c>
      <c r="H20" t="s">
        <v>39</v>
      </c>
      <c r="I20" t="s">
        <v>340</v>
      </c>
      <c r="J20" t="str">
        <f>_xlfn.XLOOKUP(E20, Product_Master!$A$2:$A$101, Product_Master!$C$2:$C$101)</f>
        <v>Electronics</v>
      </c>
      <c r="K20">
        <f>_xlfn.XLOOKUP(E20, Product_Master!$A$2:$A$101, Product_Master!$D$2:$D$101)</f>
        <v>42000</v>
      </c>
      <c r="L20">
        <f>_xlfn.XLOOKUP(E20, Product_Master!$A$2:$A$101, Product_Master!$E$2:$E$101)</f>
        <v>50000</v>
      </c>
      <c r="M20">
        <f t="shared" si="1"/>
        <v>150000</v>
      </c>
      <c r="N20">
        <f t="shared" si="2"/>
        <v>126000</v>
      </c>
      <c r="O20">
        <f t="shared" si="3"/>
        <v>24000</v>
      </c>
      <c r="P20" s="3">
        <f t="shared" si="4"/>
        <v>0.16</v>
      </c>
      <c r="Q20" s="3" t="str">
        <v>Low Profit</v>
      </c>
    </row>
    <row r="21" spans="1:17" x14ac:dyDescent="0.3">
      <c r="A21" t="s">
        <v>467</v>
      </c>
      <c r="B21" s="2">
        <v>45693</v>
      </c>
      <c r="C21" s="2" t="str">
        <f t="shared" si="0"/>
        <v>February</v>
      </c>
      <c r="D21" t="s">
        <v>241</v>
      </c>
      <c r="E21" t="s">
        <v>345</v>
      </c>
      <c r="F21">
        <v>3</v>
      </c>
      <c r="G21" t="s">
        <v>4</v>
      </c>
      <c r="H21" t="s">
        <v>20</v>
      </c>
      <c r="I21" t="s">
        <v>346</v>
      </c>
      <c r="J21" t="str">
        <f>_xlfn.XLOOKUP(E21, Product_Master!$A$2:$A$101, Product_Master!$C$2:$C$101)</f>
        <v>Accessories</v>
      </c>
      <c r="K21">
        <f>_xlfn.XLOOKUP(E21, Product_Master!$A$2:$A$101, Product_Master!$D$2:$D$101)</f>
        <v>9000</v>
      </c>
      <c r="L21">
        <f>_xlfn.XLOOKUP(E21, Product_Master!$A$2:$A$101, Product_Master!$E$2:$E$101)</f>
        <v>12000</v>
      </c>
      <c r="M21">
        <f t="shared" si="1"/>
        <v>36000</v>
      </c>
      <c r="N21">
        <f t="shared" si="2"/>
        <v>27000</v>
      </c>
      <c r="O21">
        <f t="shared" si="3"/>
        <v>9000</v>
      </c>
      <c r="P21" s="3">
        <f t="shared" si="4"/>
        <v>0.25</v>
      </c>
      <c r="Q21" s="3" t="str">
        <v>High Profit</v>
      </c>
    </row>
    <row r="22" spans="1:17" x14ac:dyDescent="0.3">
      <c r="A22" t="s">
        <v>468</v>
      </c>
      <c r="B22" s="2">
        <v>45969</v>
      </c>
      <c r="C22" s="2" t="str">
        <f t="shared" si="0"/>
        <v>November</v>
      </c>
      <c r="D22" t="s">
        <v>469</v>
      </c>
      <c r="E22" t="s">
        <v>328</v>
      </c>
      <c r="F22">
        <v>5</v>
      </c>
      <c r="G22" t="s">
        <v>1454</v>
      </c>
      <c r="H22" t="s">
        <v>1455</v>
      </c>
      <c r="I22" t="s">
        <v>329</v>
      </c>
      <c r="J22" t="str">
        <f>_xlfn.XLOOKUP(E22, Product_Master!$A$2:$A$101, Product_Master!$C$2:$C$101)</f>
        <v>Electronics</v>
      </c>
      <c r="K22">
        <f>_xlfn.XLOOKUP(E22, Product_Master!$A$2:$A$101, Product_Master!$D$2:$D$101)</f>
        <v>20000</v>
      </c>
      <c r="L22">
        <f>_xlfn.XLOOKUP(E22, Product_Master!$A$2:$A$101, Product_Master!$E$2:$E$101)</f>
        <v>25000</v>
      </c>
      <c r="M22">
        <f t="shared" si="1"/>
        <v>125000</v>
      </c>
      <c r="N22">
        <f t="shared" si="2"/>
        <v>100000</v>
      </c>
      <c r="O22">
        <f t="shared" si="3"/>
        <v>25000</v>
      </c>
      <c r="P22" s="3">
        <f t="shared" si="4"/>
        <v>0.2</v>
      </c>
      <c r="Q22" s="3" t="str">
        <v>Low Profit</v>
      </c>
    </row>
    <row r="23" spans="1:17" x14ac:dyDescent="0.3">
      <c r="A23" t="s">
        <v>470</v>
      </c>
      <c r="B23" s="2">
        <v>45809</v>
      </c>
      <c r="C23" s="2" t="str">
        <f t="shared" si="0"/>
        <v>June</v>
      </c>
      <c r="D23" t="s">
        <v>219</v>
      </c>
      <c r="E23" t="s">
        <v>362</v>
      </c>
      <c r="F23">
        <v>5</v>
      </c>
      <c r="G23" t="s">
        <v>7</v>
      </c>
      <c r="H23" t="s">
        <v>14</v>
      </c>
      <c r="I23" t="s">
        <v>332</v>
      </c>
      <c r="J23" t="str">
        <f>_xlfn.XLOOKUP(E23, Product_Master!$A$2:$A$101, Product_Master!$C$2:$C$101)</f>
        <v>Accessories</v>
      </c>
      <c r="K23">
        <f>_xlfn.XLOOKUP(E23, Product_Master!$A$2:$A$101, Product_Master!$D$2:$D$101)</f>
        <v>500</v>
      </c>
      <c r="L23">
        <f>_xlfn.XLOOKUP(E23, Product_Master!$A$2:$A$101, Product_Master!$E$2:$E$101)</f>
        <v>800</v>
      </c>
      <c r="M23">
        <f t="shared" si="1"/>
        <v>4000</v>
      </c>
      <c r="N23">
        <f t="shared" si="2"/>
        <v>2500</v>
      </c>
      <c r="O23">
        <f t="shared" si="3"/>
        <v>1500</v>
      </c>
      <c r="P23" s="3">
        <f t="shared" si="4"/>
        <v>0.375</v>
      </c>
      <c r="Q23" s="3" t="str">
        <v>High Profit</v>
      </c>
    </row>
    <row r="24" spans="1:17" x14ac:dyDescent="0.3">
      <c r="A24" t="s">
        <v>471</v>
      </c>
      <c r="B24" s="2">
        <v>45803</v>
      </c>
      <c r="C24" s="2" t="str">
        <f t="shared" si="0"/>
        <v>May</v>
      </c>
      <c r="D24" t="s">
        <v>285</v>
      </c>
      <c r="E24" t="s">
        <v>424</v>
      </c>
      <c r="F24">
        <v>3</v>
      </c>
      <c r="G24" t="s">
        <v>19</v>
      </c>
      <c r="H24" t="s">
        <v>1455</v>
      </c>
      <c r="I24" t="s">
        <v>337</v>
      </c>
      <c r="J24" t="str">
        <f>_xlfn.XLOOKUP(E24, Product_Master!$A$2:$A$101, Product_Master!$C$2:$C$101)</f>
        <v>Electronics</v>
      </c>
      <c r="K24">
        <f>_xlfn.XLOOKUP(E24, Product_Master!$A$2:$A$101, Product_Master!$D$2:$D$101)</f>
        <v>15000</v>
      </c>
      <c r="L24">
        <f>_xlfn.XLOOKUP(E24, Product_Master!$A$2:$A$101, Product_Master!$E$2:$E$101)</f>
        <v>18000</v>
      </c>
      <c r="M24">
        <f t="shared" si="1"/>
        <v>54000</v>
      </c>
      <c r="N24">
        <f t="shared" si="2"/>
        <v>45000</v>
      </c>
      <c r="O24">
        <f t="shared" si="3"/>
        <v>9000</v>
      </c>
      <c r="P24" s="3">
        <f t="shared" si="4"/>
        <v>0.16666666666666666</v>
      </c>
      <c r="Q24" s="3" t="str">
        <v>Low Profit</v>
      </c>
    </row>
    <row r="25" spans="1:17" x14ac:dyDescent="0.3">
      <c r="A25" t="s">
        <v>472</v>
      </c>
      <c r="B25" s="2">
        <v>45739</v>
      </c>
      <c r="C25" s="2" t="str">
        <f t="shared" si="0"/>
        <v>March</v>
      </c>
      <c r="D25" t="s">
        <v>239</v>
      </c>
      <c r="E25" t="s">
        <v>364</v>
      </c>
      <c r="F25">
        <v>1</v>
      </c>
      <c r="G25" t="s">
        <v>22</v>
      </c>
      <c r="H25" t="s">
        <v>39</v>
      </c>
      <c r="I25" t="s">
        <v>346</v>
      </c>
      <c r="J25" t="str">
        <f>_xlfn.XLOOKUP(E25, Product_Master!$A$2:$A$101, Product_Master!$C$2:$C$101)</f>
        <v>Accessories</v>
      </c>
      <c r="K25">
        <f>_xlfn.XLOOKUP(E25, Product_Master!$A$2:$A$101, Product_Master!$D$2:$D$101)</f>
        <v>9000</v>
      </c>
      <c r="L25">
        <f>_xlfn.XLOOKUP(E25, Product_Master!$A$2:$A$101, Product_Master!$E$2:$E$101)</f>
        <v>12000</v>
      </c>
      <c r="M25">
        <f t="shared" si="1"/>
        <v>12000</v>
      </c>
      <c r="N25">
        <f t="shared" si="2"/>
        <v>9000</v>
      </c>
      <c r="O25">
        <f t="shared" si="3"/>
        <v>3000</v>
      </c>
      <c r="P25" s="3">
        <f t="shared" si="4"/>
        <v>0.25</v>
      </c>
      <c r="Q25" s="3" t="str">
        <v>High Profit</v>
      </c>
    </row>
    <row r="26" spans="1:17" x14ac:dyDescent="0.3">
      <c r="A26" t="s">
        <v>473</v>
      </c>
      <c r="B26" s="2">
        <v>45658</v>
      </c>
      <c r="C26" s="2" t="str">
        <f t="shared" si="0"/>
        <v>January</v>
      </c>
      <c r="D26" t="s">
        <v>190</v>
      </c>
      <c r="E26" t="s">
        <v>389</v>
      </c>
      <c r="F26">
        <v>3</v>
      </c>
      <c r="G26" t="s">
        <v>24</v>
      </c>
      <c r="H26" t="s">
        <v>20</v>
      </c>
      <c r="I26" t="s">
        <v>337</v>
      </c>
      <c r="J26" t="str">
        <f>_xlfn.XLOOKUP(E26, Product_Master!$A$2:$A$101, Product_Master!$C$2:$C$101)</f>
        <v>Electronics</v>
      </c>
      <c r="K26">
        <f>_xlfn.XLOOKUP(E26, Product_Master!$A$2:$A$101, Product_Master!$D$2:$D$101)</f>
        <v>15000</v>
      </c>
      <c r="L26">
        <f>_xlfn.XLOOKUP(E26, Product_Master!$A$2:$A$101, Product_Master!$E$2:$E$101)</f>
        <v>18000</v>
      </c>
      <c r="M26">
        <f t="shared" si="1"/>
        <v>54000</v>
      </c>
      <c r="N26">
        <f t="shared" si="2"/>
        <v>45000</v>
      </c>
      <c r="O26">
        <f t="shared" si="3"/>
        <v>9000</v>
      </c>
      <c r="P26" s="3">
        <f t="shared" si="4"/>
        <v>0.16666666666666666</v>
      </c>
      <c r="Q26" s="3" t="str">
        <v>Low Profit</v>
      </c>
    </row>
    <row r="27" spans="1:17" x14ac:dyDescent="0.3">
      <c r="A27" t="s">
        <v>474</v>
      </c>
      <c r="B27" s="2">
        <v>45738</v>
      </c>
      <c r="C27" s="2" t="str">
        <f t="shared" si="0"/>
        <v>March</v>
      </c>
      <c r="D27" t="s">
        <v>266</v>
      </c>
      <c r="E27" t="s">
        <v>361</v>
      </c>
      <c r="F27">
        <v>5</v>
      </c>
      <c r="G27" t="s">
        <v>16</v>
      </c>
      <c r="H27" t="s">
        <v>8</v>
      </c>
      <c r="I27" t="s">
        <v>344</v>
      </c>
      <c r="J27" t="str">
        <f>_xlfn.XLOOKUP(E27, Product_Master!$A$2:$A$101, Product_Master!$C$2:$C$101)</f>
        <v>Accessories</v>
      </c>
      <c r="K27">
        <f>_xlfn.XLOOKUP(E27, Product_Master!$A$2:$A$101, Product_Master!$D$2:$D$101)</f>
        <v>2000</v>
      </c>
      <c r="L27">
        <f>_xlfn.XLOOKUP(E27, Product_Master!$A$2:$A$101, Product_Master!$E$2:$E$101)</f>
        <v>3000</v>
      </c>
      <c r="M27">
        <f t="shared" si="1"/>
        <v>15000</v>
      </c>
      <c r="N27">
        <f t="shared" si="2"/>
        <v>10000</v>
      </c>
      <c r="O27">
        <f t="shared" si="3"/>
        <v>5000</v>
      </c>
      <c r="P27" s="3">
        <f t="shared" si="4"/>
        <v>0.33333333333333331</v>
      </c>
      <c r="Q27" s="3" t="str">
        <v>High Profit</v>
      </c>
    </row>
    <row r="28" spans="1:17" x14ac:dyDescent="0.3">
      <c r="A28" t="s">
        <v>475</v>
      </c>
      <c r="B28" s="2">
        <v>45665</v>
      </c>
      <c r="C28" s="2" t="str">
        <f t="shared" si="0"/>
        <v>January</v>
      </c>
      <c r="D28" t="s">
        <v>141</v>
      </c>
      <c r="E28" t="s">
        <v>425</v>
      </c>
      <c r="F28">
        <v>1</v>
      </c>
      <c r="G28" t="s">
        <v>22</v>
      </c>
      <c r="H28" t="s">
        <v>31</v>
      </c>
      <c r="I28" t="s">
        <v>337</v>
      </c>
      <c r="J28" t="str">
        <f>_xlfn.XLOOKUP(E28, Product_Master!$A$2:$A$101, Product_Master!$C$2:$C$101)</f>
        <v>Electronics</v>
      </c>
      <c r="K28">
        <f>_xlfn.XLOOKUP(E28, Product_Master!$A$2:$A$101, Product_Master!$D$2:$D$101)</f>
        <v>15000</v>
      </c>
      <c r="L28">
        <f>_xlfn.XLOOKUP(E28, Product_Master!$A$2:$A$101, Product_Master!$E$2:$E$101)</f>
        <v>18000</v>
      </c>
      <c r="M28">
        <f t="shared" si="1"/>
        <v>18000</v>
      </c>
      <c r="N28">
        <f t="shared" si="2"/>
        <v>15000</v>
      </c>
      <c r="O28">
        <f t="shared" si="3"/>
        <v>3000</v>
      </c>
      <c r="P28" s="3">
        <f t="shared" si="4"/>
        <v>0.16666666666666666</v>
      </c>
      <c r="Q28" s="3" t="str">
        <v>Low Profit</v>
      </c>
    </row>
    <row r="29" spans="1:17" x14ac:dyDescent="0.3">
      <c r="A29" t="s">
        <v>476</v>
      </c>
      <c r="B29" s="2">
        <v>45867</v>
      </c>
      <c r="C29" s="2" t="str">
        <f t="shared" si="0"/>
        <v>July</v>
      </c>
      <c r="D29" t="s">
        <v>80</v>
      </c>
      <c r="E29" t="s">
        <v>442</v>
      </c>
      <c r="F29">
        <v>4</v>
      </c>
      <c r="G29" t="s">
        <v>37</v>
      </c>
      <c r="H29" t="s">
        <v>27</v>
      </c>
      <c r="I29" t="s">
        <v>335</v>
      </c>
      <c r="J29" t="str">
        <f>_xlfn.XLOOKUP(E29, Product_Master!$A$2:$A$101, Product_Master!$C$2:$C$101)</f>
        <v>Accessories</v>
      </c>
      <c r="K29">
        <f>_xlfn.XLOOKUP(E29, Product_Master!$A$2:$A$101, Product_Master!$D$2:$D$101)</f>
        <v>900</v>
      </c>
      <c r="L29">
        <f>_xlfn.XLOOKUP(E29, Product_Master!$A$2:$A$101, Product_Master!$E$2:$E$101)</f>
        <v>1500</v>
      </c>
      <c r="M29">
        <f t="shared" si="1"/>
        <v>6000</v>
      </c>
      <c r="N29">
        <f t="shared" si="2"/>
        <v>3600</v>
      </c>
      <c r="O29">
        <f t="shared" si="3"/>
        <v>2400</v>
      </c>
      <c r="P29" s="3">
        <f t="shared" si="4"/>
        <v>0.4</v>
      </c>
      <c r="Q29" s="3" t="str">
        <v>High Profit</v>
      </c>
    </row>
    <row r="30" spans="1:17" x14ac:dyDescent="0.3">
      <c r="A30" t="s">
        <v>477</v>
      </c>
      <c r="B30" s="2">
        <v>45834</v>
      </c>
      <c r="C30" s="2" t="str">
        <f t="shared" si="0"/>
        <v>June</v>
      </c>
      <c r="D30" t="s">
        <v>77</v>
      </c>
      <c r="E30" t="s">
        <v>380</v>
      </c>
      <c r="F30">
        <v>1</v>
      </c>
      <c r="G30" t="s">
        <v>37</v>
      </c>
      <c r="H30" t="s">
        <v>31</v>
      </c>
      <c r="I30" t="s">
        <v>340</v>
      </c>
      <c r="J30" t="str">
        <f>_xlfn.XLOOKUP(E30, Product_Master!$A$2:$A$101, Product_Master!$C$2:$C$101)</f>
        <v>Electronics</v>
      </c>
      <c r="K30">
        <f>_xlfn.XLOOKUP(E30, Product_Master!$A$2:$A$101, Product_Master!$D$2:$D$101)</f>
        <v>42000</v>
      </c>
      <c r="L30">
        <f>_xlfn.XLOOKUP(E30, Product_Master!$A$2:$A$101, Product_Master!$E$2:$E$101)</f>
        <v>50000</v>
      </c>
      <c r="M30">
        <f t="shared" si="1"/>
        <v>50000</v>
      </c>
      <c r="N30">
        <f t="shared" si="2"/>
        <v>42000</v>
      </c>
      <c r="O30">
        <f t="shared" si="3"/>
        <v>8000</v>
      </c>
      <c r="P30" s="3">
        <f t="shared" si="4"/>
        <v>0.16</v>
      </c>
      <c r="Q30" s="3" t="str">
        <v>Low Profit</v>
      </c>
    </row>
    <row r="31" spans="1:17" x14ac:dyDescent="0.3">
      <c r="A31" t="s">
        <v>478</v>
      </c>
      <c r="B31" s="2">
        <v>45877</v>
      </c>
      <c r="C31" s="2" t="str">
        <f t="shared" si="0"/>
        <v>August</v>
      </c>
      <c r="D31" t="s">
        <v>44</v>
      </c>
      <c r="E31" t="s">
        <v>429</v>
      </c>
      <c r="F31">
        <v>3</v>
      </c>
      <c r="G31" t="s">
        <v>45</v>
      </c>
      <c r="H31" t="s">
        <v>27</v>
      </c>
      <c r="I31" t="s">
        <v>340</v>
      </c>
      <c r="J31" t="str">
        <f>_xlfn.XLOOKUP(E31, Product_Master!$A$2:$A$101, Product_Master!$C$2:$C$101)</f>
        <v>Electronics</v>
      </c>
      <c r="K31">
        <f>_xlfn.XLOOKUP(E31, Product_Master!$A$2:$A$101, Product_Master!$D$2:$D$101)</f>
        <v>42000</v>
      </c>
      <c r="L31">
        <f>_xlfn.XLOOKUP(E31, Product_Master!$A$2:$A$101, Product_Master!$E$2:$E$101)</f>
        <v>50000</v>
      </c>
      <c r="M31">
        <f t="shared" si="1"/>
        <v>150000</v>
      </c>
      <c r="N31">
        <f t="shared" si="2"/>
        <v>126000</v>
      </c>
      <c r="O31">
        <f t="shared" si="3"/>
        <v>24000</v>
      </c>
      <c r="P31" s="3">
        <f t="shared" si="4"/>
        <v>0.16</v>
      </c>
      <c r="Q31" s="3" t="str">
        <v>Low Profit</v>
      </c>
    </row>
    <row r="32" spans="1:17" x14ac:dyDescent="0.3">
      <c r="A32" t="s">
        <v>479</v>
      </c>
      <c r="B32" s="2">
        <v>45751</v>
      </c>
      <c r="C32" s="2" t="str">
        <f t="shared" si="0"/>
        <v>April</v>
      </c>
      <c r="D32" t="s">
        <v>32</v>
      </c>
      <c r="E32" t="s">
        <v>385</v>
      </c>
      <c r="F32">
        <v>4</v>
      </c>
      <c r="G32" t="s">
        <v>4</v>
      </c>
      <c r="H32" t="s">
        <v>14</v>
      </c>
      <c r="I32" t="s">
        <v>340</v>
      </c>
      <c r="J32" t="str">
        <f>_xlfn.XLOOKUP(E32, Product_Master!$A$2:$A$101, Product_Master!$C$2:$C$101)</f>
        <v>Electronics</v>
      </c>
      <c r="K32">
        <f>_xlfn.XLOOKUP(E32, Product_Master!$A$2:$A$101, Product_Master!$D$2:$D$101)</f>
        <v>42000</v>
      </c>
      <c r="L32">
        <f>_xlfn.XLOOKUP(E32, Product_Master!$A$2:$A$101, Product_Master!$E$2:$E$101)</f>
        <v>50000</v>
      </c>
      <c r="M32">
        <f t="shared" si="1"/>
        <v>200000</v>
      </c>
      <c r="N32">
        <f t="shared" si="2"/>
        <v>168000</v>
      </c>
      <c r="O32">
        <f t="shared" si="3"/>
        <v>32000</v>
      </c>
      <c r="P32" s="3">
        <f t="shared" si="4"/>
        <v>0.16</v>
      </c>
      <c r="Q32" s="3" t="str">
        <v>Low Profit</v>
      </c>
    </row>
    <row r="33" spans="1:17" x14ac:dyDescent="0.3">
      <c r="A33" t="s">
        <v>480</v>
      </c>
      <c r="B33" s="2">
        <v>45724</v>
      </c>
      <c r="C33" s="2" t="str">
        <f t="shared" si="0"/>
        <v>March</v>
      </c>
      <c r="D33" t="s">
        <v>125</v>
      </c>
      <c r="E33" t="s">
        <v>402</v>
      </c>
      <c r="F33">
        <v>5</v>
      </c>
      <c r="G33" t="s">
        <v>12</v>
      </c>
      <c r="H33" t="s">
        <v>8</v>
      </c>
      <c r="I33" t="s">
        <v>332</v>
      </c>
      <c r="J33" t="str">
        <f>_xlfn.XLOOKUP(E33, Product_Master!$A$2:$A$101, Product_Master!$C$2:$C$101)</f>
        <v>Accessories</v>
      </c>
      <c r="K33">
        <f>_xlfn.XLOOKUP(E33, Product_Master!$A$2:$A$101, Product_Master!$D$2:$D$101)</f>
        <v>500</v>
      </c>
      <c r="L33">
        <f>_xlfn.XLOOKUP(E33, Product_Master!$A$2:$A$101, Product_Master!$E$2:$E$101)</f>
        <v>800</v>
      </c>
      <c r="M33">
        <f t="shared" si="1"/>
        <v>4000</v>
      </c>
      <c r="N33">
        <f t="shared" si="2"/>
        <v>2500</v>
      </c>
      <c r="O33">
        <f t="shared" si="3"/>
        <v>1500</v>
      </c>
      <c r="P33" s="3">
        <f t="shared" si="4"/>
        <v>0.375</v>
      </c>
      <c r="Q33" s="3" t="str">
        <v>High Profit</v>
      </c>
    </row>
    <row r="34" spans="1:17" x14ac:dyDescent="0.3">
      <c r="A34" t="s">
        <v>481</v>
      </c>
      <c r="B34" s="2">
        <v>45847</v>
      </c>
      <c r="C34" s="2" t="str">
        <f t="shared" si="0"/>
        <v>July</v>
      </c>
      <c r="D34" t="s">
        <v>316</v>
      </c>
      <c r="E34" t="s">
        <v>431</v>
      </c>
      <c r="F34">
        <v>3</v>
      </c>
      <c r="G34" t="s">
        <v>12</v>
      </c>
      <c r="H34" t="s">
        <v>31</v>
      </c>
      <c r="I34" t="s">
        <v>332</v>
      </c>
      <c r="J34" t="str">
        <f>_xlfn.XLOOKUP(E34, Product_Master!$A$2:$A$101, Product_Master!$C$2:$C$101)</f>
        <v>Accessories</v>
      </c>
      <c r="K34">
        <f>_xlfn.XLOOKUP(E34, Product_Master!$A$2:$A$101, Product_Master!$D$2:$D$101)</f>
        <v>500</v>
      </c>
      <c r="L34">
        <f>_xlfn.XLOOKUP(E34, Product_Master!$A$2:$A$101, Product_Master!$E$2:$E$101)</f>
        <v>800</v>
      </c>
      <c r="M34">
        <f t="shared" si="1"/>
        <v>2400</v>
      </c>
      <c r="N34">
        <f t="shared" si="2"/>
        <v>1500</v>
      </c>
      <c r="O34">
        <f t="shared" si="3"/>
        <v>900</v>
      </c>
      <c r="P34" s="3">
        <f t="shared" si="4"/>
        <v>0.375</v>
      </c>
      <c r="Q34" s="3" t="str">
        <v>High Profit</v>
      </c>
    </row>
    <row r="35" spans="1:17" x14ac:dyDescent="0.3">
      <c r="A35" t="s">
        <v>482</v>
      </c>
      <c r="B35" s="2">
        <v>45765</v>
      </c>
      <c r="C35" s="2" t="str">
        <f t="shared" si="0"/>
        <v>April</v>
      </c>
      <c r="D35" t="s">
        <v>204</v>
      </c>
      <c r="E35" t="s">
        <v>354</v>
      </c>
      <c r="F35">
        <v>4</v>
      </c>
      <c r="G35" t="s">
        <v>16</v>
      </c>
      <c r="H35" t="s">
        <v>27</v>
      </c>
      <c r="I35" t="s">
        <v>329</v>
      </c>
      <c r="J35" t="str">
        <f>_xlfn.XLOOKUP(E35, Product_Master!$A$2:$A$101, Product_Master!$C$2:$C$101)</f>
        <v>Electronics</v>
      </c>
      <c r="K35">
        <f>_xlfn.XLOOKUP(E35, Product_Master!$A$2:$A$101, Product_Master!$D$2:$D$101)</f>
        <v>20000</v>
      </c>
      <c r="L35">
        <f>_xlfn.XLOOKUP(E35, Product_Master!$A$2:$A$101, Product_Master!$E$2:$E$101)</f>
        <v>25000</v>
      </c>
      <c r="M35">
        <f t="shared" si="1"/>
        <v>100000</v>
      </c>
      <c r="N35">
        <f t="shared" si="2"/>
        <v>80000</v>
      </c>
      <c r="O35">
        <f t="shared" si="3"/>
        <v>20000</v>
      </c>
      <c r="P35" s="3">
        <f t="shared" si="4"/>
        <v>0.2</v>
      </c>
      <c r="Q35" s="3" t="str">
        <v>Low Profit</v>
      </c>
    </row>
    <row r="36" spans="1:17" x14ac:dyDescent="0.3">
      <c r="A36" t="s">
        <v>483</v>
      </c>
      <c r="B36" s="2">
        <v>45918</v>
      </c>
      <c r="C36" s="2" t="str">
        <f t="shared" si="0"/>
        <v>September</v>
      </c>
      <c r="D36" t="s">
        <v>302</v>
      </c>
      <c r="E36" t="s">
        <v>418</v>
      </c>
      <c r="F36">
        <v>2</v>
      </c>
      <c r="G36" t="s">
        <v>16</v>
      </c>
      <c r="H36" t="s">
        <v>17</v>
      </c>
      <c r="I36" t="s">
        <v>329</v>
      </c>
      <c r="J36" t="str">
        <f>_xlfn.XLOOKUP(E36, Product_Master!$A$2:$A$101, Product_Master!$C$2:$C$101)</f>
        <v>Electronics</v>
      </c>
      <c r="K36">
        <f>_xlfn.XLOOKUP(E36, Product_Master!$A$2:$A$101, Product_Master!$D$2:$D$101)</f>
        <v>20000</v>
      </c>
      <c r="L36">
        <f>_xlfn.XLOOKUP(E36, Product_Master!$A$2:$A$101, Product_Master!$E$2:$E$101)</f>
        <v>25000</v>
      </c>
      <c r="M36">
        <f t="shared" si="1"/>
        <v>50000</v>
      </c>
      <c r="N36">
        <f t="shared" si="2"/>
        <v>40000</v>
      </c>
      <c r="O36">
        <f t="shared" si="3"/>
        <v>10000</v>
      </c>
      <c r="P36" s="3">
        <f t="shared" si="4"/>
        <v>0.2</v>
      </c>
      <c r="Q36" s="3" t="str">
        <v>Low Profit</v>
      </c>
    </row>
    <row r="37" spans="1:17" x14ac:dyDescent="0.3">
      <c r="A37" t="s">
        <v>484</v>
      </c>
      <c r="B37" s="2">
        <v>45748</v>
      </c>
      <c r="C37" s="2" t="str">
        <f t="shared" si="0"/>
        <v>April</v>
      </c>
      <c r="D37" t="s">
        <v>112</v>
      </c>
      <c r="E37" t="s">
        <v>443</v>
      </c>
      <c r="F37">
        <v>4</v>
      </c>
      <c r="G37" t="s">
        <v>29</v>
      </c>
      <c r="H37" t="s">
        <v>14</v>
      </c>
      <c r="I37" t="s">
        <v>344</v>
      </c>
      <c r="J37" t="str">
        <f>_xlfn.XLOOKUP(E37, Product_Master!$A$2:$A$101, Product_Master!$C$2:$C$101)</f>
        <v>Accessories</v>
      </c>
      <c r="K37">
        <f>_xlfn.XLOOKUP(E37, Product_Master!$A$2:$A$101, Product_Master!$D$2:$D$101)</f>
        <v>2000</v>
      </c>
      <c r="L37">
        <f>_xlfn.XLOOKUP(E37, Product_Master!$A$2:$A$101, Product_Master!$E$2:$E$101)</f>
        <v>3000</v>
      </c>
      <c r="M37">
        <f t="shared" si="1"/>
        <v>12000</v>
      </c>
      <c r="N37">
        <f t="shared" si="2"/>
        <v>8000</v>
      </c>
      <c r="O37">
        <f t="shared" si="3"/>
        <v>4000</v>
      </c>
      <c r="P37" s="3">
        <f t="shared" si="4"/>
        <v>0.33333333333333331</v>
      </c>
      <c r="Q37" s="3" t="str">
        <v>High Profit</v>
      </c>
    </row>
    <row r="38" spans="1:17" x14ac:dyDescent="0.3">
      <c r="A38" t="s">
        <v>485</v>
      </c>
      <c r="B38" s="2">
        <v>45983</v>
      </c>
      <c r="C38" s="2" t="str">
        <f t="shared" si="0"/>
        <v>November</v>
      </c>
      <c r="D38" t="s">
        <v>317</v>
      </c>
      <c r="E38" t="s">
        <v>390</v>
      </c>
      <c r="F38">
        <v>1</v>
      </c>
      <c r="G38" t="s">
        <v>12</v>
      </c>
      <c r="H38" t="s">
        <v>14</v>
      </c>
      <c r="I38" t="s">
        <v>344</v>
      </c>
      <c r="J38" t="str">
        <f>_xlfn.XLOOKUP(E38, Product_Master!$A$2:$A$101, Product_Master!$C$2:$C$101)</f>
        <v>Accessories</v>
      </c>
      <c r="K38">
        <f>_xlfn.XLOOKUP(E38, Product_Master!$A$2:$A$101, Product_Master!$D$2:$D$101)</f>
        <v>2000</v>
      </c>
      <c r="L38">
        <f>_xlfn.XLOOKUP(E38, Product_Master!$A$2:$A$101, Product_Master!$E$2:$E$101)</f>
        <v>3000</v>
      </c>
      <c r="M38">
        <f t="shared" si="1"/>
        <v>3000</v>
      </c>
      <c r="N38">
        <f t="shared" si="2"/>
        <v>2000</v>
      </c>
      <c r="O38">
        <f t="shared" si="3"/>
        <v>1000</v>
      </c>
      <c r="P38" s="3">
        <f t="shared" si="4"/>
        <v>0.33333333333333331</v>
      </c>
      <c r="Q38" s="3" t="str">
        <v>High Profit</v>
      </c>
    </row>
    <row r="39" spans="1:17" x14ac:dyDescent="0.3">
      <c r="A39" t="s">
        <v>486</v>
      </c>
      <c r="B39" s="2">
        <v>45819</v>
      </c>
      <c r="C39" s="2" t="str">
        <f t="shared" si="0"/>
        <v>June</v>
      </c>
      <c r="D39" t="s">
        <v>108</v>
      </c>
      <c r="E39" t="s">
        <v>426</v>
      </c>
      <c r="F39">
        <v>2</v>
      </c>
      <c r="G39" t="s">
        <v>22</v>
      </c>
      <c r="H39" t="s">
        <v>27</v>
      </c>
      <c r="I39" t="s">
        <v>337</v>
      </c>
      <c r="J39" t="str">
        <f>_xlfn.XLOOKUP(E39, Product_Master!$A$2:$A$101, Product_Master!$C$2:$C$101)</f>
        <v>Electronics</v>
      </c>
      <c r="K39">
        <f>_xlfn.XLOOKUP(E39, Product_Master!$A$2:$A$101, Product_Master!$D$2:$D$101)</f>
        <v>15000</v>
      </c>
      <c r="L39">
        <f>_xlfn.XLOOKUP(E39, Product_Master!$A$2:$A$101, Product_Master!$E$2:$E$101)</f>
        <v>18000</v>
      </c>
      <c r="M39">
        <f t="shared" si="1"/>
        <v>36000</v>
      </c>
      <c r="N39">
        <f t="shared" si="2"/>
        <v>30000</v>
      </c>
      <c r="O39">
        <f t="shared" si="3"/>
        <v>6000</v>
      </c>
      <c r="P39" s="3">
        <f t="shared" si="4"/>
        <v>0.16666666666666666</v>
      </c>
      <c r="Q39" s="3" t="str">
        <v>Low Profit</v>
      </c>
    </row>
    <row r="40" spans="1:17" x14ac:dyDescent="0.3">
      <c r="A40" t="s">
        <v>487</v>
      </c>
      <c r="B40" s="2">
        <v>45765</v>
      </c>
      <c r="C40" s="2" t="str">
        <f t="shared" si="0"/>
        <v>April</v>
      </c>
      <c r="D40" t="s">
        <v>129</v>
      </c>
      <c r="E40" t="s">
        <v>349</v>
      </c>
      <c r="F40">
        <v>5</v>
      </c>
      <c r="G40" t="s">
        <v>16</v>
      </c>
      <c r="H40" t="s">
        <v>20</v>
      </c>
      <c r="I40" t="s">
        <v>346</v>
      </c>
      <c r="J40" t="str">
        <f>_xlfn.XLOOKUP(E40, Product_Master!$A$2:$A$101, Product_Master!$C$2:$C$101)</f>
        <v>Accessories</v>
      </c>
      <c r="K40">
        <f>_xlfn.XLOOKUP(E40, Product_Master!$A$2:$A$101, Product_Master!$D$2:$D$101)</f>
        <v>9000</v>
      </c>
      <c r="L40">
        <f>_xlfn.XLOOKUP(E40, Product_Master!$A$2:$A$101, Product_Master!$E$2:$E$101)</f>
        <v>12000</v>
      </c>
      <c r="M40">
        <f t="shared" si="1"/>
        <v>60000</v>
      </c>
      <c r="N40">
        <f t="shared" si="2"/>
        <v>45000</v>
      </c>
      <c r="O40">
        <f t="shared" si="3"/>
        <v>15000</v>
      </c>
      <c r="P40" s="3">
        <f t="shared" si="4"/>
        <v>0.25</v>
      </c>
      <c r="Q40" s="3" t="str">
        <v>High Profit</v>
      </c>
    </row>
    <row r="41" spans="1:17" x14ac:dyDescent="0.3">
      <c r="A41" t="s">
        <v>488</v>
      </c>
      <c r="B41" s="2">
        <v>45762</v>
      </c>
      <c r="C41" s="2" t="str">
        <f t="shared" si="0"/>
        <v>April</v>
      </c>
      <c r="D41" t="s">
        <v>32</v>
      </c>
      <c r="E41" t="s">
        <v>370</v>
      </c>
      <c r="F41">
        <v>1</v>
      </c>
      <c r="G41" t="s">
        <v>4</v>
      </c>
      <c r="H41" t="s">
        <v>14</v>
      </c>
      <c r="I41" t="s">
        <v>335</v>
      </c>
      <c r="J41" t="str">
        <f>_xlfn.XLOOKUP(E41, Product_Master!$A$2:$A$101, Product_Master!$C$2:$C$101)</f>
        <v>Accessories</v>
      </c>
      <c r="K41">
        <f>_xlfn.XLOOKUP(E41, Product_Master!$A$2:$A$101, Product_Master!$D$2:$D$101)</f>
        <v>900</v>
      </c>
      <c r="L41">
        <f>_xlfn.XLOOKUP(E41, Product_Master!$A$2:$A$101, Product_Master!$E$2:$E$101)</f>
        <v>1500</v>
      </c>
      <c r="M41">
        <f t="shared" si="1"/>
        <v>1500</v>
      </c>
      <c r="N41">
        <f t="shared" si="2"/>
        <v>900</v>
      </c>
      <c r="O41">
        <f t="shared" si="3"/>
        <v>600</v>
      </c>
      <c r="P41" s="3">
        <f t="shared" si="4"/>
        <v>0.4</v>
      </c>
      <c r="Q41" s="3" t="str">
        <v>High Profit</v>
      </c>
    </row>
    <row r="42" spans="1:17" x14ac:dyDescent="0.3">
      <c r="A42" t="s">
        <v>489</v>
      </c>
      <c r="B42" s="2">
        <v>45980</v>
      </c>
      <c r="C42" s="2" t="str">
        <f t="shared" si="0"/>
        <v>November</v>
      </c>
      <c r="D42" t="s">
        <v>227</v>
      </c>
      <c r="E42" t="s">
        <v>418</v>
      </c>
      <c r="F42">
        <v>2</v>
      </c>
      <c r="G42" t="s">
        <v>24</v>
      </c>
      <c r="H42" t="s">
        <v>39</v>
      </c>
      <c r="I42" t="s">
        <v>329</v>
      </c>
      <c r="J42" t="str">
        <f>_xlfn.XLOOKUP(E42, Product_Master!$A$2:$A$101, Product_Master!$C$2:$C$101)</f>
        <v>Electronics</v>
      </c>
      <c r="K42">
        <f>_xlfn.XLOOKUP(E42, Product_Master!$A$2:$A$101, Product_Master!$D$2:$D$101)</f>
        <v>20000</v>
      </c>
      <c r="L42">
        <f>_xlfn.XLOOKUP(E42, Product_Master!$A$2:$A$101, Product_Master!$E$2:$E$101)</f>
        <v>25000</v>
      </c>
      <c r="M42">
        <f t="shared" si="1"/>
        <v>50000</v>
      </c>
      <c r="N42">
        <f t="shared" si="2"/>
        <v>40000</v>
      </c>
      <c r="O42">
        <f t="shared" si="3"/>
        <v>10000</v>
      </c>
      <c r="P42" s="3">
        <f t="shared" si="4"/>
        <v>0.2</v>
      </c>
      <c r="Q42" s="3" t="str">
        <v>Low Profit</v>
      </c>
    </row>
    <row r="43" spans="1:17" x14ac:dyDescent="0.3">
      <c r="A43" t="s">
        <v>490</v>
      </c>
      <c r="B43" s="2">
        <v>45955</v>
      </c>
      <c r="C43" s="2" t="str">
        <f t="shared" si="0"/>
        <v>October</v>
      </c>
      <c r="D43" t="s">
        <v>138</v>
      </c>
      <c r="E43" t="s">
        <v>383</v>
      </c>
      <c r="F43">
        <v>5</v>
      </c>
      <c r="G43" t="s">
        <v>10</v>
      </c>
      <c r="H43" t="s">
        <v>31</v>
      </c>
      <c r="I43" t="s">
        <v>335</v>
      </c>
      <c r="J43" t="str">
        <f>_xlfn.XLOOKUP(E43, Product_Master!$A$2:$A$101, Product_Master!$C$2:$C$101)</f>
        <v>Accessories</v>
      </c>
      <c r="K43">
        <f>_xlfn.XLOOKUP(E43, Product_Master!$A$2:$A$101, Product_Master!$D$2:$D$101)</f>
        <v>900</v>
      </c>
      <c r="L43">
        <f>_xlfn.XLOOKUP(E43, Product_Master!$A$2:$A$101, Product_Master!$E$2:$E$101)</f>
        <v>1500</v>
      </c>
      <c r="M43">
        <f t="shared" si="1"/>
        <v>7500</v>
      </c>
      <c r="N43">
        <f t="shared" si="2"/>
        <v>4500</v>
      </c>
      <c r="O43">
        <f t="shared" si="3"/>
        <v>3000</v>
      </c>
      <c r="P43" s="3">
        <f t="shared" si="4"/>
        <v>0.4</v>
      </c>
      <c r="Q43" s="3" t="str">
        <v>High Profit</v>
      </c>
    </row>
    <row r="44" spans="1:17" x14ac:dyDescent="0.3">
      <c r="A44" t="s">
        <v>491</v>
      </c>
      <c r="B44" s="2">
        <v>45803</v>
      </c>
      <c r="C44" s="2" t="str">
        <f t="shared" si="0"/>
        <v>May</v>
      </c>
      <c r="D44" t="s">
        <v>239</v>
      </c>
      <c r="E44" t="s">
        <v>379</v>
      </c>
      <c r="F44">
        <v>4</v>
      </c>
      <c r="G44" t="s">
        <v>22</v>
      </c>
      <c r="H44" t="s">
        <v>39</v>
      </c>
      <c r="I44" t="s">
        <v>346</v>
      </c>
      <c r="J44" t="str">
        <f>_xlfn.XLOOKUP(E44, Product_Master!$A$2:$A$101, Product_Master!$C$2:$C$101)</f>
        <v>Accessories</v>
      </c>
      <c r="K44">
        <f>_xlfn.XLOOKUP(E44, Product_Master!$A$2:$A$101, Product_Master!$D$2:$D$101)</f>
        <v>9000</v>
      </c>
      <c r="L44">
        <f>_xlfn.XLOOKUP(E44, Product_Master!$A$2:$A$101, Product_Master!$E$2:$E$101)</f>
        <v>12000</v>
      </c>
      <c r="M44">
        <f t="shared" si="1"/>
        <v>48000</v>
      </c>
      <c r="N44">
        <f t="shared" si="2"/>
        <v>36000</v>
      </c>
      <c r="O44">
        <f t="shared" si="3"/>
        <v>12000</v>
      </c>
      <c r="P44" s="3">
        <f t="shared" si="4"/>
        <v>0.25</v>
      </c>
      <c r="Q44" s="3" t="str">
        <v>High Profit</v>
      </c>
    </row>
    <row r="45" spans="1:17" x14ac:dyDescent="0.3">
      <c r="A45" t="s">
        <v>492</v>
      </c>
      <c r="B45" s="2">
        <v>45884</v>
      </c>
      <c r="C45" s="2" t="str">
        <f t="shared" si="0"/>
        <v>August</v>
      </c>
      <c r="D45" t="s">
        <v>191</v>
      </c>
      <c r="E45" t="s">
        <v>415</v>
      </c>
      <c r="F45">
        <v>5</v>
      </c>
      <c r="G45" t="s">
        <v>16</v>
      </c>
      <c r="H45" t="s">
        <v>31</v>
      </c>
      <c r="I45" t="s">
        <v>329</v>
      </c>
      <c r="J45" t="str">
        <f>_xlfn.XLOOKUP(E45, Product_Master!$A$2:$A$101, Product_Master!$C$2:$C$101)</f>
        <v>Electronics</v>
      </c>
      <c r="K45">
        <f>_xlfn.XLOOKUP(E45, Product_Master!$A$2:$A$101, Product_Master!$D$2:$D$101)</f>
        <v>20000</v>
      </c>
      <c r="L45">
        <f>_xlfn.XLOOKUP(E45, Product_Master!$A$2:$A$101, Product_Master!$E$2:$E$101)</f>
        <v>25000</v>
      </c>
      <c r="M45">
        <f t="shared" si="1"/>
        <v>125000</v>
      </c>
      <c r="N45">
        <f t="shared" si="2"/>
        <v>100000</v>
      </c>
      <c r="O45">
        <f t="shared" si="3"/>
        <v>25000</v>
      </c>
      <c r="P45" s="3">
        <f t="shared" si="4"/>
        <v>0.2</v>
      </c>
      <c r="Q45" s="3" t="str">
        <v>Low Profit</v>
      </c>
    </row>
    <row r="46" spans="1:17" x14ac:dyDescent="0.3">
      <c r="A46" t="s">
        <v>493</v>
      </c>
      <c r="B46" s="2">
        <v>45956</v>
      </c>
      <c r="C46" s="2" t="str">
        <f t="shared" si="0"/>
        <v>October</v>
      </c>
      <c r="D46" t="s">
        <v>215</v>
      </c>
      <c r="E46" t="s">
        <v>405</v>
      </c>
      <c r="F46">
        <v>5</v>
      </c>
      <c r="G46" t="s">
        <v>45</v>
      </c>
      <c r="H46" t="s">
        <v>8</v>
      </c>
      <c r="I46" t="s">
        <v>332</v>
      </c>
      <c r="J46" t="str">
        <f>_xlfn.XLOOKUP(E46, Product_Master!$A$2:$A$101, Product_Master!$C$2:$C$101)</f>
        <v>Accessories</v>
      </c>
      <c r="K46">
        <f>_xlfn.XLOOKUP(E46, Product_Master!$A$2:$A$101, Product_Master!$D$2:$D$101)</f>
        <v>500</v>
      </c>
      <c r="L46">
        <f>_xlfn.XLOOKUP(E46, Product_Master!$A$2:$A$101, Product_Master!$E$2:$E$101)</f>
        <v>800</v>
      </c>
      <c r="M46">
        <f t="shared" si="1"/>
        <v>4000</v>
      </c>
      <c r="N46">
        <f t="shared" si="2"/>
        <v>2500</v>
      </c>
      <c r="O46">
        <f t="shared" si="3"/>
        <v>1500</v>
      </c>
      <c r="P46" s="3">
        <f t="shared" si="4"/>
        <v>0.375</v>
      </c>
      <c r="Q46" s="3" t="str">
        <v>High Profit</v>
      </c>
    </row>
    <row r="47" spans="1:17" x14ac:dyDescent="0.3">
      <c r="A47" t="s">
        <v>494</v>
      </c>
      <c r="B47" s="2">
        <v>45877</v>
      </c>
      <c r="C47" s="2" t="str">
        <f t="shared" si="0"/>
        <v>August</v>
      </c>
      <c r="D47" t="s">
        <v>122</v>
      </c>
      <c r="E47" t="s">
        <v>374</v>
      </c>
      <c r="F47">
        <v>1</v>
      </c>
      <c r="G47" t="s">
        <v>45</v>
      </c>
      <c r="H47" t="s">
        <v>5</v>
      </c>
      <c r="I47" t="s">
        <v>346</v>
      </c>
      <c r="J47" t="str">
        <f>_xlfn.XLOOKUP(E47, Product_Master!$A$2:$A$101, Product_Master!$C$2:$C$101)</f>
        <v>Accessories</v>
      </c>
      <c r="K47">
        <f>_xlfn.XLOOKUP(E47, Product_Master!$A$2:$A$101, Product_Master!$D$2:$D$101)</f>
        <v>9000</v>
      </c>
      <c r="L47">
        <f>_xlfn.XLOOKUP(E47, Product_Master!$A$2:$A$101, Product_Master!$E$2:$E$101)</f>
        <v>12000</v>
      </c>
      <c r="M47">
        <f t="shared" si="1"/>
        <v>12000</v>
      </c>
      <c r="N47">
        <f t="shared" si="2"/>
        <v>9000</v>
      </c>
      <c r="O47">
        <f t="shared" si="3"/>
        <v>3000</v>
      </c>
      <c r="P47" s="3">
        <f t="shared" si="4"/>
        <v>0.25</v>
      </c>
      <c r="Q47" s="3" t="str">
        <v>High Profit</v>
      </c>
    </row>
    <row r="48" spans="1:17" x14ac:dyDescent="0.3">
      <c r="A48" t="s">
        <v>495</v>
      </c>
      <c r="B48" s="2">
        <v>46014</v>
      </c>
      <c r="C48" s="2" t="str">
        <f t="shared" si="0"/>
        <v>December</v>
      </c>
      <c r="D48" t="s">
        <v>239</v>
      </c>
      <c r="E48" t="s">
        <v>372</v>
      </c>
      <c r="F48">
        <v>4</v>
      </c>
      <c r="G48" t="s">
        <v>22</v>
      </c>
      <c r="H48" t="s">
        <v>39</v>
      </c>
      <c r="I48" t="s">
        <v>340</v>
      </c>
      <c r="J48" t="str">
        <f>_xlfn.XLOOKUP(E48, Product_Master!$A$2:$A$101, Product_Master!$C$2:$C$101)</f>
        <v>Electronics</v>
      </c>
      <c r="K48">
        <f>_xlfn.XLOOKUP(E48, Product_Master!$A$2:$A$101, Product_Master!$D$2:$D$101)</f>
        <v>42000</v>
      </c>
      <c r="L48">
        <f>_xlfn.XLOOKUP(E48, Product_Master!$A$2:$A$101, Product_Master!$E$2:$E$101)</f>
        <v>50000</v>
      </c>
      <c r="M48">
        <f t="shared" si="1"/>
        <v>200000</v>
      </c>
      <c r="N48">
        <f t="shared" si="2"/>
        <v>168000</v>
      </c>
      <c r="O48">
        <f t="shared" si="3"/>
        <v>32000</v>
      </c>
      <c r="P48" s="3">
        <f t="shared" si="4"/>
        <v>0.16</v>
      </c>
      <c r="Q48" s="3" t="str">
        <v>Low Profit</v>
      </c>
    </row>
    <row r="49" spans="1:17" x14ac:dyDescent="0.3">
      <c r="A49" t="s">
        <v>496</v>
      </c>
      <c r="B49" s="2">
        <v>45818</v>
      </c>
      <c r="C49" s="2" t="str">
        <f t="shared" si="0"/>
        <v>June</v>
      </c>
      <c r="D49" t="s">
        <v>240</v>
      </c>
      <c r="E49" t="s">
        <v>334</v>
      </c>
      <c r="F49">
        <v>3</v>
      </c>
      <c r="G49" t="s">
        <v>47</v>
      </c>
      <c r="H49" t="s">
        <v>39</v>
      </c>
      <c r="I49" t="s">
        <v>335</v>
      </c>
      <c r="J49" t="str">
        <f>_xlfn.XLOOKUP(E49, Product_Master!$A$2:$A$101, Product_Master!$C$2:$C$101)</f>
        <v>Accessories</v>
      </c>
      <c r="K49">
        <f>_xlfn.XLOOKUP(E49, Product_Master!$A$2:$A$101, Product_Master!$D$2:$D$101)</f>
        <v>900</v>
      </c>
      <c r="L49">
        <f>_xlfn.XLOOKUP(E49, Product_Master!$A$2:$A$101, Product_Master!$E$2:$E$101)</f>
        <v>1500</v>
      </c>
      <c r="M49">
        <f t="shared" si="1"/>
        <v>4500</v>
      </c>
      <c r="N49">
        <f t="shared" si="2"/>
        <v>2700</v>
      </c>
      <c r="O49">
        <f t="shared" si="3"/>
        <v>1800</v>
      </c>
      <c r="P49" s="3">
        <f t="shared" si="4"/>
        <v>0.4</v>
      </c>
      <c r="Q49" s="3" t="str">
        <v>High Profit</v>
      </c>
    </row>
    <row r="50" spans="1:17" x14ac:dyDescent="0.3">
      <c r="A50" t="s">
        <v>497</v>
      </c>
      <c r="B50" s="2">
        <v>45965</v>
      </c>
      <c r="C50" s="2" t="str">
        <f t="shared" si="0"/>
        <v>November</v>
      </c>
      <c r="D50" t="s">
        <v>167</v>
      </c>
      <c r="E50" t="s">
        <v>423</v>
      </c>
      <c r="F50">
        <v>3</v>
      </c>
      <c r="G50" t="s">
        <v>37</v>
      </c>
      <c r="H50" t="s">
        <v>17</v>
      </c>
      <c r="I50" t="s">
        <v>335</v>
      </c>
      <c r="J50" t="str">
        <f>_xlfn.XLOOKUP(E50, Product_Master!$A$2:$A$101, Product_Master!$C$2:$C$101)</f>
        <v>Accessories</v>
      </c>
      <c r="K50">
        <f>_xlfn.XLOOKUP(E50, Product_Master!$A$2:$A$101, Product_Master!$D$2:$D$101)</f>
        <v>900</v>
      </c>
      <c r="L50">
        <f>_xlfn.XLOOKUP(E50, Product_Master!$A$2:$A$101, Product_Master!$E$2:$E$101)</f>
        <v>1500</v>
      </c>
      <c r="M50">
        <f t="shared" si="1"/>
        <v>4500</v>
      </c>
      <c r="N50">
        <f t="shared" si="2"/>
        <v>2700</v>
      </c>
      <c r="O50">
        <f t="shared" si="3"/>
        <v>1800</v>
      </c>
      <c r="P50" s="3">
        <f t="shared" si="4"/>
        <v>0.4</v>
      </c>
      <c r="Q50" s="3" t="str">
        <v>High Profit</v>
      </c>
    </row>
    <row r="51" spans="1:17" x14ac:dyDescent="0.3">
      <c r="A51" t="s">
        <v>498</v>
      </c>
      <c r="B51" s="2">
        <v>45710</v>
      </c>
      <c r="C51" s="2" t="str">
        <f t="shared" si="0"/>
        <v>February</v>
      </c>
      <c r="D51" t="s">
        <v>271</v>
      </c>
      <c r="E51" t="s">
        <v>405</v>
      </c>
      <c r="F51">
        <v>4</v>
      </c>
      <c r="G51" t="s">
        <v>45</v>
      </c>
      <c r="H51" t="s">
        <v>20</v>
      </c>
      <c r="I51" t="s">
        <v>332</v>
      </c>
      <c r="J51" t="str">
        <f>_xlfn.XLOOKUP(E51, Product_Master!$A$2:$A$101, Product_Master!$C$2:$C$101)</f>
        <v>Accessories</v>
      </c>
      <c r="K51">
        <f>_xlfn.XLOOKUP(E51, Product_Master!$A$2:$A$101, Product_Master!$D$2:$D$101)</f>
        <v>500</v>
      </c>
      <c r="L51">
        <f>_xlfn.XLOOKUP(E51, Product_Master!$A$2:$A$101, Product_Master!$E$2:$E$101)</f>
        <v>800</v>
      </c>
      <c r="M51">
        <f t="shared" si="1"/>
        <v>3200</v>
      </c>
      <c r="N51">
        <f t="shared" si="2"/>
        <v>2000</v>
      </c>
      <c r="O51">
        <f t="shared" si="3"/>
        <v>1200</v>
      </c>
      <c r="P51" s="3">
        <f t="shared" si="4"/>
        <v>0.375</v>
      </c>
      <c r="Q51" s="3" t="str">
        <v>High Profit</v>
      </c>
    </row>
    <row r="52" spans="1:17" x14ac:dyDescent="0.3">
      <c r="A52" t="s">
        <v>499</v>
      </c>
      <c r="B52" s="2">
        <v>45766</v>
      </c>
      <c r="C52" s="2" t="str">
        <f t="shared" si="0"/>
        <v>April</v>
      </c>
      <c r="D52" t="s">
        <v>176</v>
      </c>
      <c r="E52" t="s">
        <v>328</v>
      </c>
      <c r="F52">
        <v>1</v>
      </c>
      <c r="G52" t="s">
        <v>45</v>
      </c>
      <c r="H52" t="s">
        <v>20</v>
      </c>
      <c r="I52" t="s">
        <v>329</v>
      </c>
      <c r="J52" t="str">
        <f>_xlfn.XLOOKUP(E52, Product_Master!$A$2:$A$101, Product_Master!$C$2:$C$101)</f>
        <v>Electronics</v>
      </c>
      <c r="K52">
        <f>_xlfn.XLOOKUP(E52, Product_Master!$A$2:$A$101, Product_Master!$D$2:$D$101)</f>
        <v>20000</v>
      </c>
      <c r="L52">
        <f>_xlfn.XLOOKUP(E52, Product_Master!$A$2:$A$101, Product_Master!$E$2:$E$101)</f>
        <v>25000</v>
      </c>
      <c r="M52">
        <f t="shared" si="1"/>
        <v>25000</v>
      </c>
      <c r="N52">
        <f t="shared" si="2"/>
        <v>20000</v>
      </c>
      <c r="O52">
        <f t="shared" si="3"/>
        <v>5000</v>
      </c>
      <c r="P52" s="3">
        <f t="shared" si="4"/>
        <v>0.2</v>
      </c>
      <c r="Q52" s="3" t="str">
        <v>Low Profit</v>
      </c>
    </row>
    <row r="53" spans="1:17" x14ac:dyDescent="0.3">
      <c r="A53" t="s">
        <v>500</v>
      </c>
      <c r="B53" s="2">
        <v>45673</v>
      </c>
      <c r="C53" s="2" t="str">
        <f t="shared" si="0"/>
        <v>January</v>
      </c>
      <c r="D53" t="s">
        <v>107</v>
      </c>
      <c r="E53" t="s">
        <v>371</v>
      </c>
      <c r="F53">
        <v>2</v>
      </c>
      <c r="G53" t="s">
        <v>37</v>
      </c>
      <c r="H53" t="s">
        <v>31</v>
      </c>
      <c r="I53" t="s">
        <v>329</v>
      </c>
      <c r="J53" t="str">
        <f>_xlfn.XLOOKUP(E53, Product_Master!$A$2:$A$101, Product_Master!$C$2:$C$101)</f>
        <v>Electronics</v>
      </c>
      <c r="K53">
        <f>_xlfn.XLOOKUP(E53, Product_Master!$A$2:$A$101, Product_Master!$D$2:$D$101)</f>
        <v>20000</v>
      </c>
      <c r="L53">
        <f>_xlfn.XLOOKUP(E53, Product_Master!$A$2:$A$101, Product_Master!$E$2:$E$101)</f>
        <v>25000</v>
      </c>
      <c r="M53">
        <f t="shared" si="1"/>
        <v>50000</v>
      </c>
      <c r="N53">
        <f t="shared" si="2"/>
        <v>40000</v>
      </c>
      <c r="O53">
        <f t="shared" si="3"/>
        <v>10000</v>
      </c>
      <c r="P53" s="3">
        <f t="shared" si="4"/>
        <v>0.2</v>
      </c>
      <c r="Q53" s="3" t="str">
        <v>Low Profit</v>
      </c>
    </row>
    <row r="54" spans="1:17" x14ac:dyDescent="0.3">
      <c r="A54" t="s">
        <v>501</v>
      </c>
      <c r="B54" s="2">
        <v>45784</v>
      </c>
      <c r="C54" s="2" t="str">
        <f t="shared" si="0"/>
        <v>May</v>
      </c>
      <c r="D54" t="s">
        <v>123</v>
      </c>
      <c r="E54" t="s">
        <v>369</v>
      </c>
      <c r="F54">
        <v>2</v>
      </c>
      <c r="G54" t="s">
        <v>22</v>
      </c>
      <c r="H54" t="s">
        <v>27</v>
      </c>
      <c r="I54" t="s">
        <v>329</v>
      </c>
      <c r="J54" t="str">
        <f>_xlfn.XLOOKUP(E54, Product_Master!$A$2:$A$101, Product_Master!$C$2:$C$101)</f>
        <v>Electronics</v>
      </c>
      <c r="K54">
        <f>_xlfn.XLOOKUP(E54, Product_Master!$A$2:$A$101, Product_Master!$D$2:$D$101)</f>
        <v>20000</v>
      </c>
      <c r="L54">
        <f>_xlfn.XLOOKUP(E54, Product_Master!$A$2:$A$101, Product_Master!$E$2:$E$101)</f>
        <v>25000</v>
      </c>
      <c r="M54">
        <f t="shared" si="1"/>
        <v>50000</v>
      </c>
      <c r="N54">
        <f t="shared" si="2"/>
        <v>40000</v>
      </c>
      <c r="O54">
        <f t="shared" si="3"/>
        <v>10000</v>
      </c>
      <c r="P54" s="3">
        <f t="shared" si="4"/>
        <v>0.2</v>
      </c>
      <c r="Q54" s="3" t="str">
        <v>Low Profit</v>
      </c>
    </row>
    <row r="55" spans="1:17" x14ac:dyDescent="0.3">
      <c r="A55" t="s">
        <v>502</v>
      </c>
      <c r="B55" s="2">
        <v>46017</v>
      </c>
      <c r="C55" s="2" t="str">
        <f t="shared" si="0"/>
        <v>December</v>
      </c>
      <c r="D55" t="s">
        <v>58</v>
      </c>
      <c r="E55" t="s">
        <v>380</v>
      </c>
      <c r="F55">
        <v>5</v>
      </c>
      <c r="G55" t="s">
        <v>45</v>
      </c>
      <c r="H55" t="s">
        <v>14</v>
      </c>
      <c r="I55" t="s">
        <v>340</v>
      </c>
      <c r="J55" t="str">
        <f>_xlfn.XLOOKUP(E55, Product_Master!$A$2:$A$101, Product_Master!$C$2:$C$101)</f>
        <v>Electronics</v>
      </c>
      <c r="K55">
        <f>_xlfn.XLOOKUP(E55, Product_Master!$A$2:$A$101, Product_Master!$D$2:$D$101)</f>
        <v>42000</v>
      </c>
      <c r="L55">
        <f>_xlfn.XLOOKUP(E55, Product_Master!$A$2:$A$101, Product_Master!$E$2:$E$101)</f>
        <v>50000</v>
      </c>
      <c r="M55">
        <f t="shared" si="1"/>
        <v>250000</v>
      </c>
      <c r="N55">
        <f t="shared" si="2"/>
        <v>210000</v>
      </c>
      <c r="O55">
        <f t="shared" si="3"/>
        <v>40000</v>
      </c>
      <c r="P55" s="3">
        <f t="shared" si="4"/>
        <v>0.16</v>
      </c>
      <c r="Q55" s="3" t="str">
        <v>Low Profit</v>
      </c>
    </row>
    <row r="56" spans="1:17" x14ac:dyDescent="0.3">
      <c r="A56" t="s">
        <v>503</v>
      </c>
      <c r="B56" s="2">
        <v>45853</v>
      </c>
      <c r="C56" s="2" t="str">
        <f t="shared" si="0"/>
        <v>July</v>
      </c>
      <c r="D56" t="s">
        <v>223</v>
      </c>
      <c r="E56" t="s">
        <v>441</v>
      </c>
      <c r="F56">
        <v>5</v>
      </c>
      <c r="G56" t="s">
        <v>37</v>
      </c>
      <c r="H56" t="s">
        <v>8</v>
      </c>
      <c r="I56" t="s">
        <v>346</v>
      </c>
      <c r="J56" t="str">
        <f>_xlfn.XLOOKUP(E56, Product_Master!$A$2:$A$101, Product_Master!$C$2:$C$101)</f>
        <v>Accessories</v>
      </c>
      <c r="K56">
        <f>_xlfn.XLOOKUP(E56, Product_Master!$A$2:$A$101, Product_Master!$D$2:$D$101)</f>
        <v>9000</v>
      </c>
      <c r="L56">
        <f>_xlfn.XLOOKUP(E56, Product_Master!$A$2:$A$101, Product_Master!$E$2:$E$101)</f>
        <v>12000</v>
      </c>
      <c r="M56">
        <f t="shared" si="1"/>
        <v>60000</v>
      </c>
      <c r="N56">
        <f t="shared" si="2"/>
        <v>45000</v>
      </c>
      <c r="O56">
        <f t="shared" si="3"/>
        <v>15000</v>
      </c>
      <c r="P56" s="3">
        <f t="shared" si="4"/>
        <v>0.25</v>
      </c>
      <c r="Q56" s="3" t="str">
        <v>High Profit</v>
      </c>
    </row>
    <row r="57" spans="1:17" x14ac:dyDescent="0.3">
      <c r="A57" t="s">
        <v>504</v>
      </c>
      <c r="B57" s="2">
        <v>45961</v>
      </c>
      <c r="C57" s="2" t="str">
        <f t="shared" si="0"/>
        <v>October</v>
      </c>
      <c r="D57" t="s">
        <v>249</v>
      </c>
      <c r="E57" t="s">
        <v>354</v>
      </c>
      <c r="F57">
        <v>3</v>
      </c>
      <c r="G57" t="s">
        <v>4</v>
      </c>
      <c r="H57" t="s">
        <v>8</v>
      </c>
      <c r="I57" t="s">
        <v>329</v>
      </c>
      <c r="J57" t="str">
        <f>_xlfn.XLOOKUP(E57, Product_Master!$A$2:$A$101, Product_Master!$C$2:$C$101)</f>
        <v>Electronics</v>
      </c>
      <c r="K57">
        <f>_xlfn.XLOOKUP(E57, Product_Master!$A$2:$A$101, Product_Master!$D$2:$D$101)</f>
        <v>20000</v>
      </c>
      <c r="L57">
        <f>_xlfn.XLOOKUP(E57, Product_Master!$A$2:$A$101, Product_Master!$E$2:$E$101)</f>
        <v>25000</v>
      </c>
      <c r="M57">
        <f t="shared" si="1"/>
        <v>75000</v>
      </c>
      <c r="N57">
        <f t="shared" si="2"/>
        <v>60000</v>
      </c>
      <c r="O57">
        <f t="shared" si="3"/>
        <v>15000</v>
      </c>
      <c r="P57" s="3">
        <f t="shared" si="4"/>
        <v>0.2</v>
      </c>
      <c r="Q57" s="3" t="str">
        <v>Low Profit</v>
      </c>
    </row>
    <row r="58" spans="1:17" x14ac:dyDescent="0.3">
      <c r="A58" t="s">
        <v>505</v>
      </c>
      <c r="B58" s="2">
        <v>45747</v>
      </c>
      <c r="C58" s="2" t="str">
        <f t="shared" si="0"/>
        <v>March</v>
      </c>
      <c r="D58" t="s">
        <v>152</v>
      </c>
      <c r="E58" t="s">
        <v>410</v>
      </c>
      <c r="F58">
        <v>2</v>
      </c>
      <c r="G58" t="s">
        <v>29</v>
      </c>
      <c r="H58" t="s">
        <v>5</v>
      </c>
      <c r="I58" t="s">
        <v>353</v>
      </c>
      <c r="J58" t="str">
        <f>_xlfn.XLOOKUP(E58, Product_Master!$A$2:$A$101, Product_Master!$C$2:$C$101)</f>
        <v>Electronics</v>
      </c>
      <c r="K58">
        <f>_xlfn.XLOOKUP(E58, Product_Master!$A$2:$A$101, Product_Master!$D$2:$D$101)</f>
        <v>12000</v>
      </c>
      <c r="L58">
        <f>_xlfn.XLOOKUP(E58, Product_Master!$A$2:$A$101, Product_Master!$E$2:$E$101)</f>
        <v>15000</v>
      </c>
      <c r="M58">
        <f t="shared" si="1"/>
        <v>30000</v>
      </c>
      <c r="N58">
        <f t="shared" si="2"/>
        <v>24000</v>
      </c>
      <c r="O58">
        <f t="shared" si="3"/>
        <v>6000</v>
      </c>
      <c r="P58" s="3">
        <f t="shared" si="4"/>
        <v>0.2</v>
      </c>
      <c r="Q58" s="3" t="str">
        <v>Low Profit</v>
      </c>
    </row>
    <row r="59" spans="1:17" x14ac:dyDescent="0.3">
      <c r="A59" t="s">
        <v>506</v>
      </c>
      <c r="B59" s="2">
        <v>46009</v>
      </c>
      <c r="C59" s="2" t="str">
        <f t="shared" si="0"/>
        <v>December</v>
      </c>
      <c r="D59" t="s">
        <v>66</v>
      </c>
      <c r="E59" t="s">
        <v>438</v>
      </c>
      <c r="F59">
        <v>4</v>
      </c>
      <c r="G59" t="s">
        <v>24</v>
      </c>
      <c r="H59" t="s">
        <v>27</v>
      </c>
      <c r="I59" t="s">
        <v>329</v>
      </c>
      <c r="J59" t="str">
        <f>_xlfn.XLOOKUP(E59, Product_Master!$A$2:$A$101, Product_Master!$C$2:$C$101)</f>
        <v>Electronics</v>
      </c>
      <c r="K59">
        <f>_xlfn.XLOOKUP(E59, Product_Master!$A$2:$A$101, Product_Master!$D$2:$D$101)</f>
        <v>20000</v>
      </c>
      <c r="L59">
        <f>_xlfn.XLOOKUP(E59, Product_Master!$A$2:$A$101, Product_Master!$E$2:$E$101)</f>
        <v>25000</v>
      </c>
      <c r="M59">
        <f t="shared" si="1"/>
        <v>100000</v>
      </c>
      <c r="N59">
        <f t="shared" si="2"/>
        <v>80000</v>
      </c>
      <c r="O59">
        <f t="shared" si="3"/>
        <v>20000</v>
      </c>
      <c r="P59" s="3">
        <f t="shared" si="4"/>
        <v>0.2</v>
      </c>
      <c r="Q59" s="3" t="str">
        <v>Low Profit</v>
      </c>
    </row>
    <row r="60" spans="1:17" x14ac:dyDescent="0.3">
      <c r="A60" t="s">
        <v>507</v>
      </c>
      <c r="B60" s="2">
        <v>45980</v>
      </c>
      <c r="C60" s="2" t="str">
        <f t="shared" si="0"/>
        <v>November</v>
      </c>
      <c r="D60" t="s">
        <v>142</v>
      </c>
      <c r="E60" t="s">
        <v>435</v>
      </c>
      <c r="F60">
        <v>4</v>
      </c>
      <c r="G60" t="s">
        <v>37</v>
      </c>
      <c r="H60" t="s">
        <v>14</v>
      </c>
      <c r="I60" t="s">
        <v>346</v>
      </c>
      <c r="J60" t="str">
        <f>_xlfn.XLOOKUP(E60, Product_Master!$A$2:$A$101, Product_Master!$C$2:$C$101)</f>
        <v>Accessories</v>
      </c>
      <c r="K60">
        <f>_xlfn.XLOOKUP(E60, Product_Master!$A$2:$A$101, Product_Master!$D$2:$D$101)</f>
        <v>9000</v>
      </c>
      <c r="L60">
        <f>_xlfn.XLOOKUP(E60, Product_Master!$A$2:$A$101, Product_Master!$E$2:$E$101)</f>
        <v>12000</v>
      </c>
      <c r="M60">
        <f t="shared" si="1"/>
        <v>48000</v>
      </c>
      <c r="N60">
        <f t="shared" si="2"/>
        <v>36000</v>
      </c>
      <c r="O60">
        <f t="shared" si="3"/>
        <v>12000</v>
      </c>
      <c r="P60" s="3">
        <f t="shared" si="4"/>
        <v>0.25</v>
      </c>
      <c r="Q60" s="3" t="str">
        <v>High Profit</v>
      </c>
    </row>
    <row r="61" spans="1:17" x14ac:dyDescent="0.3">
      <c r="A61" t="s">
        <v>508</v>
      </c>
      <c r="B61" s="2">
        <v>45828</v>
      </c>
      <c r="C61" s="2" t="str">
        <f t="shared" si="0"/>
        <v>June</v>
      </c>
      <c r="D61" t="s">
        <v>165</v>
      </c>
      <c r="E61" t="s">
        <v>424</v>
      </c>
      <c r="F61">
        <v>3</v>
      </c>
      <c r="G61" t="s">
        <v>22</v>
      </c>
      <c r="H61" t="s">
        <v>17</v>
      </c>
      <c r="I61" t="s">
        <v>337</v>
      </c>
      <c r="J61" t="str">
        <f>_xlfn.XLOOKUP(E61, Product_Master!$A$2:$A$101, Product_Master!$C$2:$C$101)</f>
        <v>Electronics</v>
      </c>
      <c r="K61">
        <f>_xlfn.XLOOKUP(E61, Product_Master!$A$2:$A$101, Product_Master!$D$2:$D$101)</f>
        <v>15000</v>
      </c>
      <c r="L61">
        <f>_xlfn.XLOOKUP(E61, Product_Master!$A$2:$A$101, Product_Master!$E$2:$E$101)</f>
        <v>18000</v>
      </c>
      <c r="M61">
        <f t="shared" si="1"/>
        <v>54000</v>
      </c>
      <c r="N61">
        <f t="shared" si="2"/>
        <v>45000</v>
      </c>
      <c r="O61">
        <f t="shared" si="3"/>
        <v>9000</v>
      </c>
      <c r="P61" s="3">
        <f t="shared" si="4"/>
        <v>0.16666666666666666</v>
      </c>
      <c r="Q61" s="3" t="str">
        <v>Low Profit</v>
      </c>
    </row>
    <row r="62" spans="1:17" x14ac:dyDescent="0.3">
      <c r="A62" t="s">
        <v>509</v>
      </c>
      <c r="B62" s="2">
        <v>45672</v>
      </c>
      <c r="C62" s="2" t="str">
        <f t="shared" si="0"/>
        <v>January</v>
      </c>
      <c r="D62" t="s">
        <v>229</v>
      </c>
      <c r="E62" t="s">
        <v>438</v>
      </c>
      <c r="F62">
        <v>5</v>
      </c>
      <c r="G62" t="s">
        <v>37</v>
      </c>
      <c r="H62" t="s">
        <v>14</v>
      </c>
      <c r="I62" t="s">
        <v>329</v>
      </c>
      <c r="J62" t="str">
        <f>_xlfn.XLOOKUP(E62, Product_Master!$A$2:$A$101, Product_Master!$C$2:$C$101)</f>
        <v>Electronics</v>
      </c>
      <c r="K62">
        <f>_xlfn.XLOOKUP(E62, Product_Master!$A$2:$A$101, Product_Master!$D$2:$D$101)</f>
        <v>20000</v>
      </c>
      <c r="L62">
        <f>_xlfn.XLOOKUP(E62, Product_Master!$A$2:$A$101, Product_Master!$E$2:$E$101)</f>
        <v>25000</v>
      </c>
      <c r="M62">
        <f t="shared" si="1"/>
        <v>125000</v>
      </c>
      <c r="N62">
        <f t="shared" si="2"/>
        <v>100000</v>
      </c>
      <c r="O62">
        <f t="shared" si="3"/>
        <v>25000</v>
      </c>
      <c r="P62" s="3">
        <f t="shared" si="4"/>
        <v>0.2</v>
      </c>
      <c r="Q62" s="3" t="str">
        <v>Low Profit</v>
      </c>
    </row>
    <row r="63" spans="1:17" x14ac:dyDescent="0.3">
      <c r="A63" t="s">
        <v>510</v>
      </c>
      <c r="B63" s="2">
        <v>45898</v>
      </c>
      <c r="C63" s="2" t="str">
        <f t="shared" si="0"/>
        <v>August</v>
      </c>
      <c r="D63" t="s">
        <v>177</v>
      </c>
      <c r="E63" t="s">
        <v>434</v>
      </c>
      <c r="F63">
        <v>4</v>
      </c>
      <c r="G63" t="s">
        <v>22</v>
      </c>
      <c r="H63" t="s">
        <v>27</v>
      </c>
      <c r="I63" t="s">
        <v>346</v>
      </c>
      <c r="J63" t="str">
        <f>_xlfn.XLOOKUP(E63, Product_Master!$A$2:$A$101, Product_Master!$C$2:$C$101)</f>
        <v>Accessories</v>
      </c>
      <c r="K63">
        <f>_xlfn.XLOOKUP(E63, Product_Master!$A$2:$A$101, Product_Master!$D$2:$D$101)</f>
        <v>9000</v>
      </c>
      <c r="L63">
        <f>_xlfn.XLOOKUP(E63, Product_Master!$A$2:$A$101, Product_Master!$E$2:$E$101)</f>
        <v>12000</v>
      </c>
      <c r="M63">
        <f t="shared" si="1"/>
        <v>48000</v>
      </c>
      <c r="N63">
        <f t="shared" si="2"/>
        <v>36000</v>
      </c>
      <c r="O63">
        <f t="shared" si="3"/>
        <v>12000</v>
      </c>
      <c r="P63" s="3">
        <f t="shared" si="4"/>
        <v>0.25</v>
      </c>
      <c r="Q63" s="3" t="str">
        <v>High Profit</v>
      </c>
    </row>
    <row r="64" spans="1:17" x14ac:dyDescent="0.3">
      <c r="A64" t="s">
        <v>511</v>
      </c>
      <c r="B64" s="2">
        <v>45998</v>
      </c>
      <c r="C64" s="2" t="str">
        <f t="shared" si="0"/>
        <v>December</v>
      </c>
      <c r="D64" t="s">
        <v>28</v>
      </c>
      <c r="E64" t="s">
        <v>343</v>
      </c>
      <c r="F64">
        <v>1</v>
      </c>
      <c r="G64" t="s">
        <v>29</v>
      </c>
      <c r="H64" t="s">
        <v>17</v>
      </c>
      <c r="I64" t="s">
        <v>344</v>
      </c>
      <c r="J64" t="str">
        <f>_xlfn.XLOOKUP(E64, Product_Master!$A$2:$A$101, Product_Master!$C$2:$C$101)</f>
        <v>Accessories</v>
      </c>
      <c r="K64">
        <f>_xlfn.XLOOKUP(E64, Product_Master!$A$2:$A$101, Product_Master!$D$2:$D$101)</f>
        <v>2000</v>
      </c>
      <c r="L64">
        <f>_xlfn.XLOOKUP(E64, Product_Master!$A$2:$A$101, Product_Master!$E$2:$E$101)</f>
        <v>3000</v>
      </c>
      <c r="M64">
        <f t="shared" si="1"/>
        <v>3000</v>
      </c>
      <c r="N64">
        <f t="shared" si="2"/>
        <v>2000</v>
      </c>
      <c r="O64">
        <f t="shared" si="3"/>
        <v>1000</v>
      </c>
      <c r="P64" s="3">
        <f t="shared" si="4"/>
        <v>0.33333333333333331</v>
      </c>
      <c r="Q64" s="3" t="str">
        <v>High Profit</v>
      </c>
    </row>
    <row r="65" spans="1:17" x14ac:dyDescent="0.3">
      <c r="A65" t="s">
        <v>512</v>
      </c>
      <c r="B65" s="2">
        <v>45747</v>
      </c>
      <c r="C65" s="2" t="str">
        <f t="shared" si="0"/>
        <v>March</v>
      </c>
      <c r="D65" t="s">
        <v>225</v>
      </c>
      <c r="E65" t="s">
        <v>394</v>
      </c>
      <c r="F65">
        <v>3</v>
      </c>
      <c r="G65" t="s">
        <v>10</v>
      </c>
      <c r="H65" t="s">
        <v>20</v>
      </c>
      <c r="I65" t="s">
        <v>332</v>
      </c>
      <c r="J65" t="str">
        <f>_xlfn.XLOOKUP(E65, Product_Master!$A$2:$A$101, Product_Master!$C$2:$C$101)</f>
        <v>Accessories</v>
      </c>
      <c r="K65">
        <f>_xlfn.XLOOKUP(E65, Product_Master!$A$2:$A$101, Product_Master!$D$2:$D$101)</f>
        <v>500</v>
      </c>
      <c r="L65">
        <f>_xlfn.XLOOKUP(E65, Product_Master!$A$2:$A$101, Product_Master!$E$2:$E$101)</f>
        <v>800</v>
      </c>
      <c r="M65">
        <f t="shared" si="1"/>
        <v>2400</v>
      </c>
      <c r="N65">
        <f t="shared" si="2"/>
        <v>1500</v>
      </c>
      <c r="O65">
        <f t="shared" si="3"/>
        <v>900</v>
      </c>
      <c r="P65" s="3">
        <f t="shared" si="4"/>
        <v>0.375</v>
      </c>
      <c r="Q65" s="3" t="str">
        <v>High Profit</v>
      </c>
    </row>
    <row r="66" spans="1:17" x14ac:dyDescent="0.3">
      <c r="A66" t="s">
        <v>513</v>
      </c>
      <c r="B66" s="2">
        <v>45854</v>
      </c>
      <c r="C66" s="2" t="str">
        <f t="shared" si="0"/>
        <v>July</v>
      </c>
      <c r="D66" t="s">
        <v>270</v>
      </c>
      <c r="E66" t="s">
        <v>399</v>
      </c>
      <c r="F66">
        <v>5</v>
      </c>
      <c r="G66" t="s">
        <v>16</v>
      </c>
      <c r="H66" t="s">
        <v>5</v>
      </c>
      <c r="I66" t="s">
        <v>340</v>
      </c>
      <c r="J66" t="str">
        <f>_xlfn.XLOOKUP(E66, Product_Master!$A$2:$A$101, Product_Master!$C$2:$C$101)</f>
        <v>Electronics</v>
      </c>
      <c r="K66">
        <f>_xlfn.XLOOKUP(E66, Product_Master!$A$2:$A$101, Product_Master!$D$2:$D$101)</f>
        <v>42000</v>
      </c>
      <c r="L66">
        <f>_xlfn.XLOOKUP(E66, Product_Master!$A$2:$A$101, Product_Master!$E$2:$E$101)</f>
        <v>50000</v>
      </c>
      <c r="M66">
        <f t="shared" si="1"/>
        <v>250000</v>
      </c>
      <c r="N66">
        <f t="shared" si="2"/>
        <v>210000</v>
      </c>
      <c r="O66">
        <f t="shared" si="3"/>
        <v>40000</v>
      </c>
      <c r="P66" s="3">
        <f t="shared" si="4"/>
        <v>0.16</v>
      </c>
      <c r="Q66" s="3" t="str">
        <v>Low Profit</v>
      </c>
    </row>
    <row r="67" spans="1:17" x14ac:dyDescent="0.3">
      <c r="A67" t="s">
        <v>514</v>
      </c>
      <c r="B67" s="2">
        <v>45799</v>
      </c>
      <c r="C67" s="2" t="str">
        <f t="shared" ref="C67:C130" si="5">TEXT(B67,"MMMM")</f>
        <v>May</v>
      </c>
      <c r="D67" t="s">
        <v>469</v>
      </c>
      <c r="E67" t="s">
        <v>399</v>
      </c>
      <c r="F67">
        <v>1</v>
      </c>
      <c r="G67" t="s">
        <v>1454</v>
      </c>
      <c r="H67" t="s">
        <v>1455</v>
      </c>
      <c r="I67" t="s">
        <v>340</v>
      </c>
      <c r="J67" t="str">
        <f>_xlfn.XLOOKUP(E67, Product_Master!$A$2:$A$101, Product_Master!$C$2:$C$101)</f>
        <v>Electronics</v>
      </c>
      <c r="K67">
        <f>_xlfn.XLOOKUP(E67, Product_Master!$A$2:$A$101, Product_Master!$D$2:$D$101)</f>
        <v>42000</v>
      </c>
      <c r="L67">
        <f>_xlfn.XLOOKUP(E67, Product_Master!$A$2:$A$101, Product_Master!$E$2:$E$101)</f>
        <v>50000</v>
      </c>
      <c r="M67">
        <f t="shared" ref="M67:M130" si="6">F67*L67</f>
        <v>50000</v>
      </c>
      <c r="N67">
        <f t="shared" ref="N67:N130" si="7">F67*K67</f>
        <v>42000</v>
      </c>
      <c r="O67">
        <f t="shared" ref="O67:O130" si="8">M67-N67</f>
        <v>8000</v>
      </c>
      <c r="P67" s="3">
        <f t="shared" ref="P67:P130" si="9">O67/M67</f>
        <v>0.16</v>
      </c>
      <c r="Q67" s="3" t="str">
        <v>Low Profit</v>
      </c>
    </row>
    <row r="68" spans="1:17" x14ac:dyDescent="0.3">
      <c r="A68" t="s">
        <v>515</v>
      </c>
      <c r="B68" s="2">
        <v>45971</v>
      </c>
      <c r="C68" s="2" t="str">
        <f t="shared" si="5"/>
        <v>November</v>
      </c>
      <c r="D68" t="s">
        <v>97</v>
      </c>
      <c r="E68" t="s">
        <v>433</v>
      </c>
      <c r="F68">
        <v>2</v>
      </c>
      <c r="G68" t="s">
        <v>12</v>
      </c>
      <c r="H68" t="s">
        <v>14</v>
      </c>
      <c r="I68" t="s">
        <v>353</v>
      </c>
      <c r="J68" t="str">
        <f>_xlfn.XLOOKUP(E68, Product_Master!$A$2:$A$101, Product_Master!$C$2:$C$101)</f>
        <v>Electronics</v>
      </c>
      <c r="K68">
        <f>_xlfn.XLOOKUP(E68, Product_Master!$A$2:$A$101, Product_Master!$D$2:$D$101)</f>
        <v>12000</v>
      </c>
      <c r="L68">
        <f>_xlfn.XLOOKUP(E68, Product_Master!$A$2:$A$101, Product_Master!$E$2:$E$101)</f>
        <v>15000</v>
      </c>
      <c r="M68">
        <f t="shared" si="6"/>
        <v>30000</v>
      </c>
      <c r="N68">
        <f t="shared" si="7"/>
        <v>24000</v>
      </c>
      <c r="O68">
        <f t="shared" si="8"/>
        <v>6000</v>
      </c>
      <c r="P68" s="3">
        <f t="shared" si="9"/>
        <v>0.2</v>
      </c>
      <c r="Q68" s="3" t="str">
        <v>Low Profit</v>
      </c>
    </row>
    <row r="69" spans="1:17" x14ac:dyDescent="0.3">
      <c r="A69" t="s">
        <v>516</v>
      </c>
      <c r="B69" s="2">
        <v>45688</v>
      </c>
      <c r="C69" s="2" t="str">
        <f t="shared" si="5"/>
        <v>January</v>
      </c>
      <c r="D69" t="s">
        <v>130</v>
      </c>
      <c r="E69" t="s">
        <v>331</v>
      </c>
      <c r="F69">
        <v>1</v>
      </c>
      <c r="G69" t="s">
        <v>47</v>
      </c>
      <c r="H69" t="s">
        <v>20</v>
      </c>
      <c r="I69" t="s">
        <v>332</v>
      </c>
      <c r="J69" t="str">
        <f>_xlfn.XLOOKUP(E69, Product_Master!$A$2:$A$101, Product_Master!$C$2:$C$101)</f>
        <v>Accessories</v>
      </c>
      <c r="K69">
        <f>_xlfn.XLOOKUP(E69, Product_Master!$A$2:$A$101, Product_Master!$D$2:$D$101)</f>
        <v>500</v>
      </c>
      <c r="L69">
        <f>_xlfn.XLOOKUP(E69, Product_Master!$A$2:$A$101, Product_Master!$E$2:$E$101)</f>
        <v>800</v>
      </c>
      <c r="M69">
        <f t="shared" si="6"/>
        <v>800</v>
      </c>
      <c r="N69">
        <f t="shared" si="7"/>
        <v>500</v>
      </c>
      <c r="O69">
        <f t="shared" si="8"/>
        <v>300</v>
      </c>
      <c r="P69" s="3">
        <f t="shared" si="9"/>
        <v>0.375</v>
      </c>
      <c r="Q69" s="3" t="str">
        <v>High Profit</v>
      </c>
    </row>
    <row r="70" spans="1:17" x14ac:dyDescent="0.3">
      <c r="A70" t="s">
        <v>517</v>
      </c>
      <c r="B70" s="2">
        <v>46013</v>
      </c>
      <c r="C70" s="2" t="str">
        <f t="shared" si="5"/>
        <v>December</v>
      </c>
      <c r="D70" t="s">
        <v>297</v>
      </c>
      <c r="E70" t="s">
        <v>361</v>
      </c>
      <c r="F70">
        <v>2</v>
      </c>
      <c r="G70" t="s">
        <v>7</v>
      </c>
      <c r="H70" t="s">
        <v>1455</v>
      </c>
      <c r="I70" t="s">
        <v>344</v>
      </c>
      <c r="J70" t="str">
        <f>_xlfn.XLOOKUP(E70, Product_Master!$A$2:$A$101, Product_Master!$C$2:$C$101)</f>
        <v>Accessories</v>
      </c>
      <c r="K70">
        <f>_xlfn.XLOOKUP(E70, Product_Master!$A$2:$A$101, Product_Master!$D$2:$D$101)</f>
        <v>2000</v>
      </c>
      <c r="L70">
        <f>_xlfn.XLOOKUP(E70, Product_Master!$A$2:$A$101, Product_Master!$E$2:$E$101)</f>
        <v>3000</v>
      </c>
      <c r="M70">
        <f t="shared" si="6"/>
        <v>6000</v>
      </c>
      <c r="N70">
        <f t="shared" si="7"/>
        <v>4000</v>
      </c>
      <c r="O70">
        <f t="shared" si="8"/>
        <v>2000</v>
      </c>
      <c r="P70" s="3">
        <f t="shared" si="9"/>
        <v>0.33333333333333331</v>
      </c>
      <c r="Q70" s="3" t="str">
        <v>High Profit</v>
      </c>
    </row>
    <row r="71" spans="1:17" x14ac:dyDescent="0.3">
      <c r="A71" t="s">
        <v>518</v>
      </c>
      <c r="B71" s="2">
        <v>45951</v>
      </c>
      <c r="C71" s="2" t="str">
        <f t="shared" si="5"/>
        <v>October</v>
      </c>
      <c r="D71" t="s">
        <v>270</v>
      </c>
      <c r="E71" t="s">
        <v>357</v>
      </c>
      <c r="F71">
        <v>1</v>
      </c>
      <c r="G71" t="s">
        <v>16</v>
      </c>
      <c r="H71" t="s">
        <v>5</v>
      </c>
      <c r="I71" t="s">
        <v>340</v>
      </c>
      <c r="J71" t="str">
        <f>_xlfn.XLOOKUP(E71, Product_Master!$A$2:$A$101, Product_Master!$C$2:$C$101)</f>
        <v>Electronics</v>
      </c>
      <c r="K71">
        <f>_xlfn.XLOOKUP(E71, Product_Master!$A$2:$A$101, Product_Master!$D$2:$D$101)</f>
        <v>42000</v>
      </c>
      <c r="L71">
        <f>_xlfn.XLOOKUP(E71, Product_Master!$A$2:$A$101, Product_Master!$E$2:$E$101)</f>
        <v>50000</v>
      </c>
      <c r="M71">
        <f t="shared" si="6"/>
        <v>50000</v>
      </c>
      <c r="N71">
        <f t="shared" si="7"/>
        <v>42000</v>
      </c>
      <c r="O71">
        <f t="shared" si="8"/>
        <v>8000</v>
      </c>
      <c r="P71" s="3">
        <f t="shared" si="9"/>
        <v>0.16</v>
      </c>
      <c r="Q71" s="3" t="str">
        <v>Low Profit</v>
      </c>
    </row>
    <row r="72" spans="1:17" x14ac:dyDescent="0.3">
      <c r="A72" t="s">
        <v>519</v>
      </c>
      <c r="B72" s="2">
        <v>45692</v>
      </c>
      <c r="C72" s="2" t="str">
        <f t="shared" si="5"/>
        <v>February</v>
      </c>
      <c r="D72" t="s">
        <v>58</v>
      </c>
      <c r="E72" t="s">
        <v>381</v>
      </c>
      <c r="F72">
        <v>4</v>
      </c>
      <c r="G72" t="s">
        <v>45</v>
      </c>
      <c r="H72" t="s">
        <v>14</v>
      </c>
      <c r="I72" t="s">
        <v>329</v>
      </c>
      <c r="J72" t="str">
        <f>_xlfn.XLOOKUP(E72, Product_Master!$A$2:$A$101, Product_Master!$C$2:$C$101)</f>
        <v>Electronics</v>
      </c>
      <c r="K72">
        <f>_xlfn.XLOOKUP(E72, Product_Master!$A$2:$A$101, Product_Master!$D$2:$D$101)</f>
        <v>20000</v>
      </c>
      <c r="L72">
        <f>_xlfn.XLOOKUP(E72, Product_Master!$A$2:$A$101, Product_Master!$E$2:$E$101)</f>
        <v>25000</v>
      </c>
      <c r="M72">
        <f t="shared" si="6"/>
        <v>100000</v>
      </c>
      <c r="N72">
        <f t="shared" si="7"/>
        <v>80000</v>
      </c>
      <c r="O72">
        <f t="shared" si="8"/>
        <v>20000</v>
      </c>
      <c r="P72" s="3">
        <f t="shared" si="9"/>
        <v>0.2</v>
      </c>
      <c r="Q72" s="3" t="str">
        <v>Low Profit</v>
      </c>
    </row>
    <row r="73" spans="1:17" x14ac:dyDescent="0.3">
      <c r="A73" t="s">
        <v>520</v>
      </c>
      <c r="B73" s="2">
        <v>45713</v>
      </c>
      <c r="C73" s="2" t="str">
        <f t="shared" si="5"/>
        <v>February</v>
      </c>
      <c r="D73" t="s">
        <v>201</v>
      </c>
      <c r="E73" t="s">
        <v>393</v>
      </c>
      <c r="F73">
        <v>3</v>
      </c>
      <c r="G73" t="s">
        <v>7</v>
      </c>
      <c r="H73" t="s">
        <v>27</v>
      </c>
      <c r="I73" t="s">
        <v>344</v>
      </c>
      <c r="J73" t="str">
        <f>_xlfn.XLOOKUP(E73, Product_Master!$A$2:$A$101, Product_Master!$C$2:$C$101)</f>
        <v>Accessories</v>
      </c>
      <c r="K73">
        <f>_xlfn.XLOOKUP(E73, Product_Master!$A$2:$A$101, Product_Master!$D$2:$D$101)</f>
        <v>2000</v>
      </c>
      <c r="L73">
        <f>_xlfn.XLOOKUP(E73, Product_Master!$A$2:$A$101, Product_Master!$E$2:$E$101)</f>
        <v>3000</v>
      </c>
      <c r="M73">
        <f t="shared" si="6"/>
        <v>9000</v>
      </c>
      <c r="N73">
        <f t="shared" si="7"/>
        <v>6000</v>
      </c>
      <c r="O73">
        <f t="shared" si="8"/>
        <v>3000</v>
      </c>
      <c r="P73" s="3">
        <f t="shared" si="9"/>
        <v>0.33333333333333331</v>
      </c>
      <c r="Q73" s="3" t="str">
        <v>High Profit</v>
      </c>
    </row>
    <row r="74" spans="1:17" x14ac:dyDescent="0.3">
      <c r="A74" t="s">
        <v>521</v>
      </c>
      <c r="B74" s="2">
        <v>45972</v>
      </c>
      <c r="C74" s="2" t="str">
        <f t="shared" si="5"/>
        <v>November</v>
      </c>
      <c r="D74" t="s">
        <v>36</v>
      </c>
      <c r="E74" t="s">
        <v>394</v>
      </c>
      <c r="F74">
        <v>4</v>
      </c>
      <c r="G74" t="s">
        <v>37</v>
      </c>
      <c r="H74" t="s">
        <v>8</v>
      </c>
      <c r="I74" t="s">
        <v>332</v>
      </c>
      <c r="J74" t="str">
        <f>_xlfn.XLOOKUP(E74, Product_Master!$A$2:$A$101, Product_Master!$C$2:$C$101)</f>
        <v>Accessories</v>
      </c>
      <c r="K74">
        <f>_xlfn.XLOOKUP(E74, Product_Master!$A$2:$A$101, Product_Master!$D$2:$D$101)</f>
        <v>500</v>
      </c>
      <c r="L74">
        <f>_xlfn.XLOOKUP(E74, Product_Master!$A$2:$A$101, Product_Master!$E$2:$E$101)</f>
        <v>800</v>
      </c>
      <c r="M74">
        <f t="shared" si="6"/>
        <v>3200</v>
      </c>
      <c r="N74">
        <f t="shared" si="7"/>
        <v>2000</v>
      </c>
      <c r="O74">
        <f t="shared" si="8"/>
        <v>1200</v>
      </c>
      <c r="P74" s="3">
        <f t="shared" si="9"/>
        <v>0.375</v>
      </c>
      <c r="Q74" s="3" t="str">
        <v>High Profit</v>
      </c>
    </row>
    <row r="75" spans="1:17" x14ac:dyDescent="0.3">
      <c r="A75" t="s">
        <v>522</v>
      </c>
      <c r="B75" s="2">
        <v>45784</v>
      </c>
      <c r="C75" s="2" t="str">
        <f t="shared" si="5"/>
        <v>May</v>
      </c>
      <c r="D75" t="s">
        <v>147</v>
      </c>
      <c r="E75" t="s">
        <v>371</v>
      </c>
      <c r="F75">
        <v>2</v>
      </c>
      <c r="G75" t="s">
        <v>10</v>
      </c>
      <c r="H75" t="s">
        <v>20</v>
      </c>
      <c r="I75" t="s">
        <v>329</v>
      </c>
      <c r="J75" t="str">
        <f>_xlfn.XLOOKUP(E75, Product_Master!$A$2:$A$101, Product_Master!$C$2:$C$101)</f>
        <v>Electronics</v>
      </c>
      <c r="K75">
        <f>_xlfn.XLOOKUP(E75, Product_Master!$A$2:$A$101, Product_Master!$D$2:$D$101)</f>
        <v>20000</v>
      </c>
      <c r="L75">
        <f>_xlfn.XLOOKUP(E75, Product_Master!$A$2:$A$101, Product_Master!$E$2:$E$101)</f>
        <v>25000</v>
      </c>
      <c r="M75">
        <f t="shared" si="6"/>
        <v>50000</v>
      </c>
      <c r="N75">
        <f t="shared" si="7"/>
        <v>40000</v>
      </c>
      <c r="O75">
        <f t="shared" si="8"/>
        <v>10000</v>
      </c>
      <c r="P75" s="3">
        <f t="shared" si="9"/>
        <v>0.2</v>
      </c>
      <c r="Q75" s="3" t="str">
        <v>Low Profit</v>
      </c>
    </row>
    <row r="76" spans="1:17" x14ac:dyDescent="0.3">
      <c r="A76" t="s">
        <v>523</v>
      </c>
      <c r="B76" s="2">
        <v>45802</v>
      </c>
      <c r="C76" s="2" t="str">
        <f t="shared" si="5"/>
        <v>May</v>
      </c>
      <c r="D76" t="s">
        <v>164</v>
      </c>
      <c r="E76" t="s">
        <v>341</v>
      </c>
      <c r="F76">
        <v>2</v>
      </c>
      <c r="G76" t="s">
        <v>45</v>
      </c>
      <c r="H76" t="s">
        <v>14</v>
      </c>
      <c r="I76" t="s">
        <v>329</v>
      </c>
      <c r="J76" t="str">
        <f>_xlfn.XLOOKUP(E76, Product_Master!$A$2:$A$101, Product_Master!$C$2:$C$101)</f>
        <v>Electronics</v>
      </c>
      <c r="K76">
        <f>_xlfn.XLOOKUP(E76, Product_Master!$A$2:$A$101, Product_Master!$D$2:$D$101)</f>
        <v>20000</v>
      </c>
      <c r="L76">
        <f>_xlfn.XLOOKUP(E76, Product_Master!$A$2:$A$101, Product_Master!$E$2:$E$101)</f>
        <v>25000</v>
      </c>
      <c r="M76">
        <f t="shared" si="6"/>
        <v>50000</v>
      </c>
      <c r="N76">
        <f t="shared" si="7"/>
        <v>40000</v>
      </c>
      <c r="O76">
        <f t="shared" si="8"/>
        <v>10000</v>
      </c>
      <c r="P76" s="3">
        <f t="shared" si="9"/>
        <v>0.2</v>
      </c>
      <c r="Q76" s="3" t="str">
        <v>Low Profit</v>
      </c>
    </row>
    <row r="77" spans="1:17" x14ac:dyDescent="0.3">
      <c r="A77" t="s">
        <v>524</v>
      </c>
      <c r="B77" s="2">
        <v>45748</v>
      </c>
      <c r="C77" s="2" t="str">
        <f t="shared" si="5"/>
        <v>April</v>
      </c>
      <c r="D77" t="s">
        <v>143</v>
      </c>
      <c r="E77" t="s">
        <v>363</v>
      </c>
      <c r="F77">
        <v>3</v>
      </c>
      <c r="G77" t="s">
        <v>4</v>
      </c>
      <c r="H77" t="s">
        <v>20</v>
      </c>
      <c r="I77" t="s">
        <v>346</v>
      </c>
      <c r="J77" t="str">
        <f>_xlfn.XLOOKUP(E77, Product_Master!$A$2:$A$101, Product_Master!$C$2:$C$101)</f>
        <v>Accessories</v>
      </c>
      <c r="K77">
        <f>_xlfn.XLOOKUP(E77, Product_Master!$A$2:$A$101, Product_Master!$D$2:$D$101)</f>
        <v>9000</v>
      </c>
      <c r="L77">
        <f>_xlfn.XLOOKUP(E77, Product_Master!$A$2:$A$101, Product_Master!$E$2:$E$101)</f>
        <v>12000</v>
      </c>
      <c r="M77">
        <f t="shared" si="6"/>
        <v>36000</v>
      </c>
      <c r="N77">
        <f t="shared" si="7"/>
        <v>27000</v>
      </c>
      <c r="O77">
        <f t="shared" si="8"/>
        <v>9000</v>
      </c>
      <c r="P77" s="3">
        <f t="shared" si="9"/>
        <v>0.25</v>
      </c>
      <c r="Q77" s="3" t="str">
        <v>High Profit</v>
      </c>
    </row>
    <row r="78" spans="1:17" x14ac:dyDescent="0.3">
      <c r="A78" t="s">
        <v>525</v>
      </c>
      <c r="B78" s="2">
        <v>45736</v>
      </c>
      <c r="C78" s="2" t="str">
        <f t="shared" si="5"/>
        <v>March</v>
      </c>
      <c r="D78" t="s">
        <v>106</v>
      </c>
      <c r="E78" t="s">
        <v>348</v>
      </c>
      <c r="F78">
        <v>1</v>
      </c>
      <c r="G78" t="s">
        <v>45</v>
      </c>
      <c r="H78" t="s">
        <v>31</v>
      </c>
      <c r="I78" t="s">
        <v>335</v>
      </c>
      <c r="J78" t="str">
        <f>_xlfn.XLOOKUP(E78, Product_Master!$A$2:$A$101, Product_Master!$C$2:$C$101)</f>
        <v>Accessories</v>
      </c>
      <c r="K78">
        <f>_xlfn.XLOOKUP(E78, Product_Master!$A$2:$A$101, Product_Master!$D$2:$D$101)</f>
        <v>900</v>
      </c>
      <c r="L78">
        <f>_xlfn.XLOOKUP(E78, Product_Master!$A$2:$A$101, Product_Master!$E$2:$E$101)</f>
        <v>1500</v>
      </c>
      <c r="M78">
        <f t="shared" si="6"/>
        <v>1500</v>
      </c>
      <c r="N78">
        <f t="shared" si="7"/>
        <v>900</v>
      </c>
      <c r="O78">
        <f t="shared" si="8"/>
        <v>600</v>
      </c>
      <c r="P78" s="3">
        <f t="shared" si="9"/>
        <v>0.4</v>
      </c>
      <c r="Q78" s="3" t="str">
        <v>High Profit</v>
      </c>
    </row>
    <row r="79" spans="1:17" x14ac:dyDescent="0.3">
      <c r="A79" t="s">
        <v>526</v>
      </c>
      <c r="B79" s="2">
        <v>45806</v>
      </c>
      <c r="C79" s="2" t="str">
        <f t="shared" si="5"/>
        <v>May</v>
      </c>
      <c r="D79" t="s">
        <v>220</v>
      </c>
      <c r="E79" t="s">
        <v>355</v>
      </c>
      <c r="F79">
        <v>4</v>
      </c>
      <c r="G79" t="s">
        <v>10</v>
      </c>
      <c r="H79" t="s">
        <v>27</v>
      </c>
      <c r="I79" t="s">
        <v>335</v>
      </c>
      <c r="J79" t="str">
        <f>_xlfn.XLOOKUP(E79, Product_Master!$A$2:$A$101, Product_Master!$C$2:$C$101)</f>
        <v>Accessories</v>
      </c>
      <c r="K79">
        <f>_xlfn.XLOOKUP(E79, Product_Master!$A$2:$A$101, Product_Master!$D$2:$D$101)</f>
        <v>900</v>
      </c>
      <c r="L79">
        <f>_xlfn.XLOOKUP(E79, Product_Master!$A$2:$A$101, Product_Master!$E$2:$E$101)</f>
        <v>1500</v>
      </c>
      <c r="M79">
        <f t="shared" si="6"/>
        <v>6000</v>
      </c>
      <c r="N79">
        <f t="shared" si="7"/>
        <v>3600</v>
      </c>
      <c r="O79">
        <f t="shared" si="8"/>
        <v>2400</v>
      </c>
      <c r="P79" s="3">
        <f t="shared" si="9"/>
        <v>0.4</v>
      </c>
      <c r="Q79" s="3" t="str">
        <v>High Profit</v>
      </c>
    </row>
    <row r="80" spans="1:17" x14ac:dyDescent="0.3">
      <c r="A80" t="s">
        <v>527</v>
      </c>
      <c r="B80" s="2">
        <v>45862</v>
      </c>
      <c r="C80" s="2" t="str">
        <f t="shared" si="5"/>
        <v>July</v>
      </c>
      <c r="D80" t="s">
        <v>156</v>
      </c>
      <c r="E80" t="s">
        <v>362</v>
      </c>
      <c r="F80">
        <v>5</v>
      </c>
      <c r="G80" t="s">
        <v>4</v>
      </c>
      <c r="H80" t="s">
        <v>20</v>
      </c>
      <c r="I80" t="s">
        <v>332</v>
      </c>
      <c r="J80" t="str">
        <f>_xlfn.XLOOKUP(E80, Product_Master!$A$2:$A$101, Product_Master!$C$2:$C$101)</f>
        <v>Accessories</v>
      </c>
      <c r="K80">
        <f>_xlfn.XLOOKUP(E80, Product_Master!$A$2:$A$101, Product_Master!$D$2:$D$101)</f>
        <v>500</v>
      </c>
      <c r="L80">
        <f>_xlfn.XLOOKUP(E80, Product_Master!$A$2:$A$101, Product_Master!$E$2:$E$101)</f>
        <v>800</v>
      </c>
      <c r="M80">
        <f t="shared" si="6"/>
        <v>4000</v>
      </c>
      <c r="N80">
        <f t="shared" si="7"/>
        <v>2500</v>
      </c>
      <c r="O80">
        <f t="shared" si="8"/>
        <v>1500</v>
      </c>
      <c r="P80" s="3">
        <f t="shared" si="9"/>
        <v>0.375</v>
      </c>
      <c r="Q80" s="3" t="str">
        <v>High Profit</v>
      </c>
    </row>
    <row r="81" spans="1:17" x14ac:dyDescent="0.3">
      <c r="A81" t="s">
        <v>528</v>
      </c>
      <c r="B81" s="2">
        <v>45736</v>
      </c>
      <c r="C81" s="2" t="str">
        <f t="shared" si="5"/>
        <v>March</v>
      </c>
      <c r="D81" t="s">
        <v>193</v>
      </c>
      <c r="E81" t="s">
        <v>425</v>
      </c>
      <c r="F81">
        <v>1</v>
      </c>
      <c r="G81" t="s">
        <v>4</v>
      </c>
      <c r="H81" t="s">
        <v>8</v>
      </c>
      <c r="I81" t="s">
        <v>337</v>
      </c>
      <c r="J81" t="str">
        <f>_xlfn.XLOOKUP(E81, Product_Master!$A$2:$A$101, Product_Master!$C$2:$C$101)</f>
        <v>Electronics</v>
      </c>
      <c r="K81">
        <f>_xlfn.XLOOKUP(E81, Product_Master!$A$2:$A$101, Product_Master!$D$2:$D$101)</f>
        <v>15000</v>
      </c>
      <c r="L81">
        <f>_xlfn.XLOOKUP(E81, Product_Master!$A$2:$A$101, Product_Master!$E$2:$E$101)</f>
        <v>18000</v>
      </c>
      <c r="M81">
        <f t="shared" si="6"/>
        <v>18000</v>
      </c>
      <c r="N81">
        <f t="shared" si="7"/>
        <v>15000</v>
      </c>
      <c r="O81">
        <f t="shared" si="8"/>
        <v>3000</v>
      </c>
      <c r="P81" s="3">
        <f t="shared" si="9"/>
        <v>0.16666666666666666</v>
      </c>
      <c r="Q81" s="3" t="str">
        <v>Low Profit</v>
      </c>
    </row>
    <row r="82" spans="1:17" x14ac:dyDescent="0.3">
      <c r="A82" t="s">
        <v>529</v>
      </c>
      <c r="B82" s="2">
        <v>45937</v>
      </c>
      <c r="C82" s="2" t="str">
        <f t="shared" si="5"/>
        <v>October</v>
      </c>
      <c r="D82" t="s">
        <v>114</v>
      </c>
      <c r="E82" t="s">
        <v>390</v>
      </c>
      <c r="F82">
        <v>3</v>
      </c>
      <c r="G82" t="s">
        <v>12</v>
      </c>
      <c r="H82" t="s">
        <v>14</v>
      </c>
      <c r="I82" t="s">
        <v>344</v>
      </c>
      <c r="J82" t="str">
        <f>_xlfn.XLOOKUP(E82, Product_Master!$A$2:$A$101, Product_Master!$C$2:$C$101)</f>
        <v>Accessories</v>
      </c>
      <c r="K82">
        <f>_xlfn.XLOOKUP(E82, Product_Master!$A$2:$A$101, Product_Master!$D$2:$D$101)</f>
        <v>2000</v>
      </c>
      <c r="L82">
        <f>_xlfn.XLOOKUP(E82, Product_Master!$A$2:$A$101, Product_Master!$E$2:$E$101)</f>
        <v>3000</v>
      </c>
      <c r="M82">
        <f t="shared" si="6"/>
        <v>9000</v>
      </c>
      <c r="N82">
        <f t="shared" si="7"/>
        <v>6000</v>
      </c>
      <c r="O82">
        <f t="shared" si="8"/>
        <v>3000</v>
      </c>
      <c r="P82" s="3">
        <f t="shared" si="9"/>
        <v>0.33333333333333331</v>
      </c>
      <c r="Q82" s="3" t="str">
        <v>High Profit</v>
      </c>
    </row>
    <row r="83" spans="1:17" x14ac:dyDescent="0.3">
      <c r="A83" t="s">
        <v>530</v>
      </c>
      <c r="B83" s="2">
        <v>45965</v>
      </c>
      <c r="C83" s="2" t="str">
        <f t="shared" si="5"/>
        <v>November</v>
      </c>
      <c r="D83" t="s">
        <v>91</v>
      </c>
      <c r="E83" t="s">
        <v>418</v>
      </c>
      <c r="F83">
        <v>5</v>
      </c>
      <c r="G83" t="s">
        <v>12</v>
      </c>
      <c r="H83" t="s">
        <v>27</v>
      </c>
      <c r="I83" t="s">
        <v>329</v>
      </c>
      <c r="J83" t="str">
        <f>_xlfn.XLOOKUP(E83, Product_Master!$A$2:$A$101, Product_Master!$C$2:$C$101)</f>
        <v>Electronics</v>
      </c>
      <c r="K83">
        <f>_xlfn.XLOOKUP(E83, Product_Master!$A$2:$A$101, Product_Master!$D$2:$D$101)</f>
        <v>20000</v>
      </c>
      <c r="L83">
        <f>_xlfn.XLOOKUP(E83, Product_Master!$A$2:$A$101, Product_Master!$E$2:$E$101)</f>
        <v>25000</v>
      </c>
      <c r="M83">
        <f t="shared" si="6"/>
        <v>125000</v>
      </c>
      <c r="N83">
        <f t="shared" si="7"/>
        <v>100000</v>
      </c>
      <c r="O83">
        <f t="shared" si="8"/>
        <v>25000</v>
      </c>
      <c r="P83" s="3">
        <f t="shared" si="9"/>
        <v>0.2</v>
      </c>
      <c r="Q83" s="3" t="str">
        <v>Low Profit</v>
      </c>
    </row>
    <row r="84" spans="1:17" x14ac:dyDescent="0.3">
      <c r="A84" t="s">
        <v>531</v>
      </c>
      <c r="B84" s="2">
        <v>45760</v>
      </c>
      <c r="C84" s="2" t="str">
        <f t="shared" si="5"/>
        <v>April</v>
      </c>
      <c r="D84" t="s">
        <v>215</v>
      </c>
      <c r="E84" t="s">
        <v>358</v>
      </c>
      <c r="F84">
        <v>4</v>
      </c>
      <c r="G84" t="s">
        <v>45</v>
      </c>
      <c r="H84" t="s">
        <v>8</v>
      </c>
      <c r="I84" t="s">
        <v>332</v>
      </c>
      <c r="J84" t="str">
        <f>_xlfn.XLOOKUP(E84, Product_Master!$A$2:$A$101, Product_Master!$C$2:$C$101)</f>
        <v>Accessories</v>
      </c>
      <c r="K84">
        <f>_xlfn.XLOOKUP(E84, Product_Master!$A$2:$A$101, Product_Master!$D$2:$D$101)</f>
        <v>500</v>
      </c>
      <c r="L84">
        <f>_xlfn.XLOOKUP(E84, Product_Master!$A$2:$A$101, Product_Master!$E$2:$E$101)</f>
        <v>800</v>
      </c>
      <c r="M84">
        <f t="shared" si="6"/>
        <v>3200</v>
      </c>
      <c r="N84">
        <f t="shared" si="7"/>
        <v>2000</v>
      </c>
      <c r="O84">
        <f t="shared" si="8"/>
        <v>1200</v>
      </c>
      <c r="P84" s="3">
        <f t="shared" si="9"/>
        <v>0.375</v>
      </c>
      <c r="Q84" s="3" t="str">
        <v>High Profit</v>
      </c>
    </row>
    <row r="85" spans="1:17" x14ac:dyDescent="0.3">
      <c r="A85" t="s">
        <v>532</v>
      </c>
      <c r="B85" s="2">
        <v>45899</v>
      </c>
      <c r="C85" s="2" t="str">
        <f t="shared" si="5"/>
        <v>August</v>
      </c>
      <c r="D85" t="s">
        <v>288</v>
      </c>
      <c r="E85" t="s">
        <v>351</v>
      </c>
      <c r="F85">
        <v>2</v>
      </c>
      <c r="G85" t="s">
        <v>29</v>
      </c>
      <c r="H85" t="s">
        <v>20</v>
      </c>
      <c r="I85" t="s">
        <v>332</v>
      </c>
      <c r="J85" t="str">
        <f>_xlfn.XLOOKUP(E85, Product_Master!$A$2:$A$101, Product_Master!$C$2:$C$101)</f>
        <v>Accessories</v>
      </c>
      <c r="K85">
        <f>_xlfn.XLOOKUP(E85, Product_Master!$A$2:$A$101, Product_Master!$D$2:$D$101)</f>
        <v>500</v>
      </c>
      <c r="L85">
        <f>_xlfn.XLOOKUP(E85, Product_Master!$A$2:$A$101, Product_Master!$E$2:$E$101)</f>
        <v>800</v>
      </c>
      <c r="M85">
        <f t="shared" si="6"/>
        <v>1600</v>
      </c>
      <c r="N85">
        <f t="shared" si="7"/>
        <v>1000</v>
      </c>
      <c r="O85">
        <f t="shared" si="8"/>
        <v>600</v>
      </c>
      <c r="P85" s="3">
        <f t="shared" si="9"/>
        <v>0.375</v>
      </c>
      <c r="Q85" s="3" t="str">
        <v>High Profit</v>
      </c>
    </row>
    <row r="86" spans="1:17" x14ac:dyDescent="0.3">
      <c r="A86" t="s">
        <v>533</v>
      </c>
      <c r="B86" s="2">
        <v>45874</v>
      </c>
      <c r="C86" s="2" t="str">
        <f t="shared" si="5"/>
        <v>August</v>
      </c>
      <c r="D86" t="s">
        <v>118</v>
      </c>
      <c r="E86" t="s">
        <v>356</v>
      </c>
      <c r="F86">
        <v>2</v>
      </c>
      <c r="G86" t="s">
        <v>22</v>
      </c>
      <c r="H86" t="s">
        <v>27</v>
      </c>
      <c r="I86" t="s">
        <v>340</v>
      </c>
      <c r="J86" t="str">
        <f>_xlfn.XLOOKUP(E86, Product_Master!$A$2:$A$101, Product_Master!$C$2:$C$101)</f>
        <v>Electronics</v>
      </c>
      <c r="K86">
        <f>_xlfn.XLOOKUP(E86, Product_Master!$A$2:$A$101, Product_Master!$D$2:$D$101)</f>
        <v>42000</v>
      </c>
      <c r="L86">
        <f>_xlfn.XLOOKUP(E86, Product_Master!$A$2:$A$101, Product_Master!$E$2:$E$101)</f>
        <v>50000</v>
      </c>
      <c r="M86">
        <f t="shared" si="6"/>
        <v>100000</v>
      </c>
      <c r="N86">
        <f t="shared" si="7"/>
        <v>84000</v>
      </c>
      <c r="O86">
        <f t="shared" si="8"/>
        <v>16000</v>
      </c>
      <c r="P86" s="3">
        <f t="shared" si="9"/>
        <v>0.16</v>
      </c>
      <c r="Q86" s="3" t="str">
        <v>Low Profit</v>
      </c>
    </row>
    <row r="87" spans="1:17" x14ac:dyDescent="0.3">
      <c r="A87" t="s">
        <v>534</v>
      </c>
      <c r="B87" s="2">
        <v>45841</v>
      </c>
      <c r="C87" s="2" t="str">
        <f t="shared" si="5"/>
        <v>July</v>
      </c>
      <c r="D87" t="s">
        <v>83</v>
      </c>
      <c r="E87" t="s">
        <v>369</v>
      </c>
      <c r="F87">
        <v>1</v>
      </c>
      <c r="G87" t="s">
        <v>7</v>
      </c>
      <c r="H87" t="s">
        <v>8</v>
      </c>
      <c r="I87" t="s">
        <v>329</v>
      </c>
      <c r="J87" t="str">
        <f>_xlfn.XLOOKUP(E87, Product_Master!$A$2:$A$101, Product_Master!$C$2:$C$101)</f>
        <v>Electronics</v>
      </c>
      <c r="K87">
        <f>_xlfn.XLOOKUP(E87, Product_Master!$A$2:$A$101, Product_Master!$D$2:$D$101)</f>
        <v>20000</v>
      </c>
      <c r="L87">
        <f>_xlfn.XLOOKUP(E87, Product_Master!$A$2:$A$101, Product_Master!$E$2:$E$101)</f>
        <v>25000</v>
      </c>
      <c r="M87">
        <f t="shared" si="6"/>
        <v>25000</v>
      </c>
      <c r="N87">
        <f t="shared" si="7"/>
        <v>20000</v>
      </c>
      <c r="O87">
        <f t="shared" si="8"/>
        <v>5000</v>
      </c>
      <c r="P87" s="3">
        <f t="shared" si="9"/>
        <v>0.2</v>
      </c>
      <c r="Q87" s="3" t="str">
        <v>Low Profit</v>
      </c>
    </row>
    <row r="88" spans="1:17" x14ac:dyDescent="0.3">
      <c r="A88" t="s">
        <v>535</v>
      </c>
      <c r="B88" s="2">
        <v>46004</v>
      </c>
      <c r="C88" s="2" t="str">
        <f t="shared" si="5"/>
        <v>December</v>
      </c>
      <c r="D88" t="s">
        <v>256</v>
      </c>
      <c r="E88" t="s">
        <v>420</v>
      </c>
      <c r="F88">
        <v>4</v>
      </c>
      <c r="G88" t="s">
        <v>37</v>
      </c>
      <c r="H88" t="s">
        <v>20</v>
      </c>
      <c r="I88" t="s">
        <v>329</v>
      </c>
      <c r="J88" t="str">
        <f>_xlfn.XLOOKUP(E88, Product_Master!$A$2:$A$101, Product_Master!$C$2:$C$101)</f>
        <v>Electronics</v>
      </c>
      <c r="K88">
        <f>_xlfn.XLOOKUP(E88, Product_Master!$A$2:$A$101, Product_Master!$D$2:$D$101)</f>
        <v>20000</v>
      </c>
      <c r="L88">
        <f>_xlfn.XLOOKUP(E88, Product_Master!$A$2:$A$101, Product_Master!$E$2:$E$101)</f>
        <v>25000</v>
      </c>
      <c r="M88">
        <f t="shared" si="6"/>
        <v>100000</v>
      </c>
      <c r="N88">
        <f t="shared" si="7"/>
        <v>80000</v>
      </c>
      <c r="O88">
        <f t="shared" si="8"/>
        <v>20000</v>
      </c>
      <c r="P88" s="3">
        <f t="shared" si="9"/>
        <v>0.2</v>
      </c>
      <c r="Q88" s="3" t="str">
        <v>Low Profit</v>
      </c>
    </row>
    <row r="89" spans="1:17" x14ac:dyDescent="0.3">
      <c r="A89" t="s">
        <v>536</v>
      </c>
      <c r="B89" s="2">
        <v>45783</v>
      </c>
      <c r="C89" s="2" t="str">
        <f t="shared" si="5"/>
        <v>May</v>
      </c>
      <c r="D89" t="s">
        <v>33</v>
      </c>
      <c r="E89" t="s">
        <v>430</v>
      </c>
      <c r="F89">
        <v>2</v>
      </c>
      <c r="G89" t="s">
        <v>4</v>
      </c>
      <c r="H89" t="s">
        <v>1455</v>
      </c>
      <c r="I89" t="s">
        <v>346</v>
      </c>
      <c r="J89" t="str">
        <f>_xlfn.XLOOKUP(E89, Product_Master!$A$2:$A$101, Product_Master!$C$2:$C$101)</f>
        <v>Accessories</v>
      </c>
      <c r="K89">
        <f>_xlfn.XLOOKUP(E89, Product_Master!$A$2:$A$101, Product_Master!$D$2:$D$101)</f>
        <v>9000</v>
      </c>
      <c r="L89">
        <f>_xlfn.XLOOKUP(E89, Product_Master!$A$2:$A$101, Product_Master!$E$2:$E$101)</f>
        <v>12000</v>
      </c>
      <c r="M89">
        <f t="shared" si="6"/>
        <v>24000</v>
      </c>
      <c r="N89">
        <f t="shared" si="7"/>
        <v>18000</v>
      </c>
      <c r="O89">
        <f t="shared" si="8"/>
        <v>6000</v>
      </c>
      <c r="P89" s="3">
        <f t="shared" si="9"/>
        <v>0.25</v>
      </c>
      <c r="Q89" s="3" t="str">
        <v>High Profit</v>
      </c>
    </row>
    <row r="90" spans="1:17" x14ac:dyDescent="0.3">
      <c r="A90" t="s">
        <v>537</v>
      </c>
      <c r="B90" s="2">
        <v>45764</v>
      </c>
      <c r="C90" s="2" t="str">
        <f t="shared" si="5"/>
        <v>April</v>
      </c>
      <c r="D90" t="s">
        <v>127</v>
      </c>
      <c r="E90" t="s">
        <v>435</v>
      </c>
      <c r="F90">
        <v>5</v>
      </c>
      <c r="G90" t="s">
        <v>37</v>
      </c>
      <c r="H90" t="s">
        <v>17</v>
      </c>
      <c r="I90" t="s">
        <v>346</v>
      </c>
      <c r="J90" t="str">
        <f>_xlfn.XLOOKUP(E90, Product_Master!$A$2:$A$101, Product_Master!$C$2:$C$101)</f>
        <v>Accessories</v>
      </c>
      <c r="K90">
        <f>_xlfn.XLOOKUP(E90, Product_Master!$A$2:$A$101, Product_Master!$D$2:$D$101)</f>
        <v>9000</v>
      </c>
      <c r="L90">
        <f>_xlfn.XLOOKUP(E90, Product_Master!$A$2:$A$101, Product_Master!$E$2:$E$101)</f>
        <v>12000</v>
      </c>
      <c r="M90">
        <f t="shared" si="6"/>
        <v>60000</v>
      </c>
      <c r="N90">
        <f t="shared" si="7"/>
        <v>45000</v>
      </c>
      <c r="O90">
        <f t="shared" si="8"/>
        <v>15000</v>
      </c>
      <c r="P90" s="3">
        <f t="shared" si="9"/>
        <v>0.25</v>
      </c>
      <c r="Q90" s="3" t="str">
        <v>High Profit</v>
      </c>
    </row>
    <row r="91" spans="1:17" x14ac:dyDescent="0.3">
      <c r="A91" t="s">
        <v>538</v>
      </c>
      <c r="B91" s="2">
        <v>46006</v>
      </c>
      <c r="C91" s="2" t="str">
        <f t="shared" si="5"/>
        <v>December</v>
      </c>
      <c r="D91" t="s">
        <v>140</v>
      </c>
      <c r="E91" t="s">
        <v>418</v>
      </c>
      <c r="F91">
        <v>3</v>
      </c>
      <c r="G91" t="s">
        <v>10</v>
      </c>
      <c r="H91" t="s">
        <v>20</v>
      </c>
      <c r="I91" t="s">
        <v>329</v>
      </c>
      <c r="J91" t="str">
        <f>_xlfn.XLOOKUP(E91, Product_Master!$A$2:$A$101, Product_Master!$C$2:$C$101)</f>
        <v>Electronics</v>
      </c>
      <c r="K91">
        <f>_xlfn.XLOOKUP(E91, Product_Master!$A$2:$A$101, Product_Master!$D$2:$D$101)</f>
        <v>20000</v>
      </c>
      <c r="L91">
        <f>_xlfn.XLOOKUP(E91, Product_Master!$A$2:$A$101, Product_Master!$E$2:$E$101)</f>
        <v>25000</v>
      </c>
      <c r="M91">
        <f t="shared" si="6"/>
        <v>75000</v>
      </c>
      <c r="N91">
        <f t="shared" si="7"/>
        <v>60000</v>
      </c>
      <c r="O91">
        <f t="shared" si="8"/>
        <v>15000</v>
      </c>
      <c r="P91" s="3">
        <f t="shared" si="9"/>
        <v>0.2</v>
      </c>
      <c r="Q91" s="3" t="str">
        <v>Low Profit</v>
      </c>
    </row>
    <row r="92" spans="1:17" x14ac:dyDescent="0.3">
      <c r="A92" t="s">
        <v>539</v>
      </c>
      <c r="B92" s="2">
        <v>45734</v>
      </c>
      <c r="C92" s="2" t="str">
        <f t="shared" si="5"/>
        <v>March</v>
      </c>
      <c r="D92" t="s">
        <v>216</v>
      </c>
      <c r="E92" t="s">
        <v>343</v>
      </c>
      <c r="F92">
        <v>2</v>
      </c>
      <c r="G92" t="s">
        <v>12</v>
      </c>
      <c r="H92" t="s">
        <v>1455</v>
      </c>
      <c r="I92" t="s">
        <v>344</v>
      </c>
      <c r="J92" t="str">
        <f>_xlfn.XLOOKUP(E92, Product_Master!$A$2:$A$101, Product_Master!$C$2:$C$101)</f>
        <v>Accessories</v>
      </c>
      <c r="K92">
        <f>_xlfn.XLOOKUP(E92, Product_Master!$A$2:$A$101, Product_Master!$D$2:$D$101)</f>
        <v>2000</v>
      </c>
      <c r="L92">
        <f>_xlfn.XLOOKUP(E92, Product_Master!$A$2:$A$101, Product_Master!$E$2:$E$101)</f>
        <v>3000</v>
      </c>
      <c r="M92">
        <f t="shared" si="6"/>
        <v>6000</v>
      </c>
      <c r="N92">
        <f t="shared" si="7"/>
        <v>4000</v>
      </c>
      <c r="O92">
        <f t="shared" si="8"/>
        <v>2000</v>
      </c>
      <c r="P92" s="3">
        <f t="shared" si="9"/>
        <v>0.33333333333333331</v>
      </c>
      <c r="Q92" s="3" t="str">
        <v>High Profit</v>
      </c>
    </row>
    <row r="93" spans="1:17" x14ac:dyDescent="0.3">
      <c r="A93" t="s">
        <v>540</v>
      </c>
      <c r="B93" s="2">
        <v>45721</v>
      </c>
      <c r="C93" s="2" t="str">
        <f t="shared" si="5"/>
        <v>March</v>
      </c>
      <c r="D93" t="s">
        <v>257</v>
      </c>
      <c r="E93" t="s">
        <v>328</v>
      </c>
      <c r="F93">
        <v>4</v>
      </c>
      <c r="G93" t="s">
        <v>19</v>
      </c>
      <c r="H93" t="s">
        <v>5</v>
      </c>
      <c r="I93" t="s">
        <v>329</v>
      </c>
      <c r="J93" t="str">
        <f>_xlfn.XLOOKUP(E93, Product_Master!$A$2:$A$101, Product_Master!$C$2:$C$101)</f>
        <v>Electronics</v>
      </c>
      <c r="K93">
        <f>_xlfn.XLOOKUP(E93, Product_Master!$A$2:$A$101, Product_Master!$D$2:$D$101)</f>
        <v>20000</v>
      </c>
      <c r="L93">
        <f>_xlfn.XLOOKUP(E93, Product_Master!$A$2:$A$101, Product_Master!$E$2:$E$101)</f>
        <v>25000</v>
      </c>
      <c r="M93">
        <f t="shared" si="6"/>
        <v>100000</v>
      </c>
      <c r="N93">
        <f t="shared" si="7"/>
        <v>80000</v>
      </c>
      <c r="O93">
        <f t="shared" si="8"/>
        <v>20000</v>
      </c>
      <c r="P93" s="3">
        <f t="shared" si="9"/>
        <v>0.2</v>
      </c>
      <c r="Q93" s="3" t="str">
        <v>Low Profit</v>
      </c>
    </row>
    <row r="94" spans="1:17" x14ac:dyDescent="0.3">
      <c r="A94" t="s">
        <v>541</v>
      </c>
      <c r="B94" s="2">
        <v>45881</v>
      </c>
      <c r="C94" s="2" t="str">
        <f t="shared" si="5"/>
        <v>August</v>
      </c>
      <c r="D94" t="s">
        <v>71</v>
      </c>
      <c r="E94" t="s">
        <v>405</v>
      </c>
      <c r="F94">
        <v>1</v>
      </c>
      <c r="G94" t="s">
        <v>19</v>
      </c>
      <c r="H94" t="s">
        <v>17</v>
      </c>
      <c r="I94" t="s">
        <v>332</v>
      </c>
      <c r="J94" t="str">
        <f>_xlfn.XLOOKUP(E94, Product_Master!$A$2:$A$101, Product_Master!$C$2:$C$101)</f>
        <v>Accessories</v>
      </c>
      <c r="K94">
        <f>_xlfn.XLOOKUP(E94, Product_Master!$A$2:$A$101, Product_Master!$D$2:$D$101)</f>
        <v>500</v>
      </c>
      <c r="L94">
        <f>_xlfn.XLOOKUP(E94, Product_Master!$A$2:$A$101, Product_Master!$E$2:$E$101)</f>
        <v>800</v>
      </c>
      <c r="M94">
        <f t="shared" si="6"/>
        <v>800</v>
      </c>
      <c r="N94">
        <f t="shared" si="7"/>
        <v>500</v>
      </c>
      <c r="O94">
        <f t="shared" si="8"/>
        <v>300</v>
      </c>
      <c r="P94" s="3">
        <f t="shared" si="9"/>
        <v>0.375</v>
      </c>
      <c r="Q94" s="3" t="str">
        <v>High Profit</v>
      </c>
    </row>
    <row r="95" spans="1:17" x14ac:dyDescent="0.3">
      <c r="A95" t="s">
        <v>542</v>
      </c>
      <c r="B95" s="2">
        <v>45961</v>
      </c>
      <c r="C95" s="2" t="str">
        <f t="shared" si="5"/>
        <v>October</v>
      </c>
      <c r="D95" t="s">
        <v>111</v>
      </c>
      <c r="E95" t="s">
        <v>400</v>
      </c>
      <c r="F95">
        <v>1</v>
      </c>
      <c r="G95" t="s">
        <v>10</v>
      </c>
      <c r="H95" t="s">
        <v>31</v>
      </c>
      <c r="I95" t="s">
        <v>335</v>
      </c>
      <c r="J95" t="str">
        <f>_xlfn.XLOOKUP(E95, Product_Master!$A$2:$A$101, Product_Master!$C$2:$C$101)</f>
        <v>Accessories</v>
      </c>
      <c r="K95">
        <f>_xlfn.XLOOKUP(E95, Product_Master!$A$2:$A$101, Product_Master!$D$2:$D$101)</f>
        <v>900</v>
      </c>
      <c r="L95">
        <f>_xlfn.XLOOKUP(E95, Product_Master!$A$2:$A$101, Product_Master!$E$2:$E$101)</f>
        <v>1500</v>
      </c>
      <c r="M95">
        <f t="shared" si="6"/>
        <v>1500</v>
      </c>
      <c r="N95">
        <f t="shared" si="7"/>
        <v>900</v>
      </c>
      <c r="O95">
        <f t="shared" si="8"/>
        <v>600</v>
      </c>
      <c r="P95" s="3">
        <f t="shared" si="9"/>
        <v>0.4</v>
      </c>
      <c r="Q95" s="3" t="str">
        <v>High Profit</v>
      </c>
    </row>
    <row r="96" spans="1:17" x14ac:dyDescent="0.3">
      <c r="A96" t="s">
        <v>543</v>
      </c>
      <c r="B96" s="2">
        <v>45807</v>
      </c>
      <c r="C96" s="2" t="str">
        <f t="shared" si="5"/>
        <v>May</v>
      </c>
      <c r="D96" t="s">
        <v>297</v>
      </c>
      <c r="E96" t="s">
        <v>334</v>
      </c>
      <c r="F96">
        <v>2</v>
      </c>
      <c r="G96" t="s">
        <v>7</v>
      </c>
      <c r="H96" t="s">
        <v>1455</v>
      </c>
      <c r="I96" t="s">
        <v>335</v>
      </c>
      <c r="J96" t="str">
        <f>_xlfn.XLOOKUP(E96, Product_Master!$A$2:$A$101, Product_Master!$C$2:$C$101)</f>
        <v>Accessories</v>
      </c>
      <c r="K96">
        <f>_xlfn.XLOOKUP(E96, Product_Master!$A$2:$A$101, Product_Master!$D$2:$D$101)</f>
        <v>900</v>
      </c>
      <c r="L96">
        <f>_xlfn.XLOOKUP(E96, Product_Master!$A$2:$A$101, Product_Master!$E$2:$E$101)</f>
        <v>1500</v>
      </c>
      <c r="M96">
        <f t="shared" si="6"/>
        <v>3000</v>
      </c>
      <c r="N96">
        <f t="shared" si="7"/>
        <v>1800</v>
      </c>
      <c r="O96">
        <f t="shared" si="8"/>
        <v>1200</v>
      </c>
      <c r="P96" s="3">
        <f t="shared" si="9"/>
        <v>0.4</v>
      </c>
      <c r="Q96" s="3" t="str">
        <v>High Profit</v>
      </c>
    </row>
    <row r="97" spans="1:17" x14ac:dyDescent="0.3">
      <c r="A97" t="s">
        <v>544</v>
      </c>
      <c r="B97" s="2">
        <v>46005</v>
      </c>
      <c r="C97" s="2" t="str">
        <f t="shared" si="5"/>
        <v>December</v>
      </c>
      <c r="D97" t="s">
        <v>282</v>
      </c>
      <c r="E97" t="s">
        <v>388</v>
      </c>
      <c r="F97">
        <v>2</v>
      </c>
      <c r="G97" t="s">
        <v>12</v>
      </c>
      <c r="H97" t="s">
        <v>20</v>
      </c>
      <c r="I97" t="s">
        <v>344</v>
      </c>
      <c r="J97" t="str">
        <f>_xlfn.XLOOKUP(E97, Product_Master!$A$2:$A$101, Product_Master!$C$2:$C$101)</f>
        <v>Accessories</v>
      </c>
      <c r="K97">
        <f>_xlfn.XLOOKUP(E97, Product_Master!$A$2:$A$101, Product_Master!$D$2:$D$101)</f>
        <v>2000</v>
      </c>
      <c r="L97">
        <f>_xlfn.XLOOKUP(E97, Product_Master!$A$2:$A$101, Product_Master!$E$2:$E$101)</f>
        <v>3000</v>
      </c>
      <c r="M97">
        <f t="shared" si="6"/>
        <v>6000</v>
      </c>
      <c r="N97">
        <f t="shared" si="7"/>
        <v>4000</v>
      </c>
      <c r="O97">
        <f t="shared" si="8"/>
        <v>2000</v>
      </c>
      <c r="P97" s="3">
        <f t="shared" si="9"/>
        <v>0.33333333333333331</v>
      </c>
      <c r="Q97" s="3" t="str">
        <v>High Profit</v>
      </c>
    </row>
    <row r="98" spans="1:17" x14ac:dyDescent="0.3">
      <c r="A98" t="s">
        <v>545</v>
      </c>
      <c r="B98" s="2">
        <v>45809</v>
      </c>
      <c r="C98" s="2" t="str">
        <f t="shared" si="5"/>
        <v>June</v>
      </c>
      <c r="D98" t="s">
        <v>94</v>
      </c>
      <c r="E98" t="s">
        <v>351</v>
      </c>
      <c r="F98">
        <v>5</v>
      </c>
      <c r="G98" t="s">
        <v>7</v>
      </c>
      <c r="H98" t="s">
        <v>17</v>
      </c>
      <c r="I98" t="s">
        <v>332</v>
      </c>
      <c r="J98" t="str">
        <f>_xlfn.XLOOKUP(E98, Product_Master!$A$2:$A$101, Product_Master!$C$2:$C$101)</f>
        <v>Accessories</v>
      </c>
      <c r="K98">
        <f>_xlfn.XLOOKUP(E98, Product_Master!$A$2:$A$101, Product_Master!$D$2:$D$101)</f>
        <v>500</v>
      </c>
      <c r="L98">
        <f>_xlfn.XLOOKUP(E98, Product_Master!$A$2:$A$101, Product_Master!$E$2:$E$101)</f>
        <v>800</v>
      </c>
      <c r="M98">
        <f t="shared" si="6"/>
        <v>4000</v>
      </c>
      <c r="N98">
        <f t="shared" si="7"/>
        <v>2500</v>
      </c>
      <c r="O98">
        <f t="shared" si="8"/>
        <v>1500</v>
      </c>
      <c r="P98" s="3">
        <f t="shared" si="9"/>
        <v>0.375</v>
      </c>
      <c r="Q98" s="3" t="str">
        <v>High Profit</v>
      </c>
    </row>
    <row r="99" spans="1:17" x14ac:dyDescent="0.3">
      <c r="A99" t="s">
        <v>546</v>
      </c>
      <c r="B99" s="2">
        <v>46002</v>
      </c>
      <c r="C99" s="2" t="str">
        <f t="shared" si="5"/>
        <v>December</v>
      </c>
      <c r="D99" t="s">
        <v>291</v>
      </c>
      <c r="E99" t="s">
        <v>338</v>
      </c>
      <c r="F99">
        <v>5</v>
      </c>
      <c r="G99" t="s">
        <v>19</v>
      </c>
      <c r="H99" t="s">
        <v>31</v>
      </c>
      <c r="I99" t="s">
        <v>332</v>
      </c>
      <c r="J99" t="str">
        <f>_xlfn.XLOOKUP(E99, Product_Master!$A$2:$A$101, Product_Master!$C$2:$C$101)</f>
        <v>Accessories</v>
      </c>
      <c r="K99">
        <f>_xlfn.XLOOKUP(E99, Product_Master!$A$2:$A$101, Product_Master!$D$2:$D$101)</f>
        <v>500</v>
      </c>
      <c r="L99">
        <f>_xlfn.XLOOKUP(E99, Product_Master!$A$2:$A$101, Product_Master!$E$2:$E$101)</f>
        <v>800</v>
      </c>
      <c r="M99">
        <f t="shared" si="6"/>
        <v>4000</v>
      </c>
      <c r="N99">
        <f t="shared" si="7"/>
        <v>2500</v>
      </c>
      <c r="O99">
        <f t="shared" si="8"/>
        <v>1500</v>
      </c>
      <c r="P99" s="3">
        <f t="shared" si="9"/>
        <v>0.375</v>
      </c>
      <c r="Q99" s="3" t="str">
        <v>High Profit</v>
      </c>
    </row>
    <row r="100" spans="1:17" x14ac:dyDescent="0.3">
      <c r="A100" t="s">
        <v>547</v>
      </c>
      <c r="B100" s="2">
        <v>45936</v>
      </c>
      <c r="C100" s="2" t="str">
        <f t="shared" si="5"/>
        <v>October</v>
      </c>
      <c r="D100" t="s">
        <v>162</v>
      </c>
      <c r="E100" t="s">
        <v>438</v>
      </c>
      <c r="F100">
        <v>3</v>
      </c>
      <c r="G100" t="s">
        <v>7</v>
      </c>
      <c r="H100" t="s">
        <v>8</v>
      </c>
      <c r="I100" t="s">
        <v>329</v>
      </c>
      <c r="J100" t="str">
        <f>_xlfn.XLOOKUP(E100, Product_Master!$A$2:$A$101, Product_Master!$C$2:$C$101)</f>
        <v>Electronics</v>
      </c>
      <c r="K100">
        <f>_xlfn.XLOOKUP(E100, Product_Master!$A$2:$A$101, Product_Master!$D$2:$D$101)</f>
        <v>20000</v>
      </c>
      <c r="L100">
        <f>_xlfn.XLOOKUP(E100, Product_Master!$A$2:$A$101, Product_Master!$E$2:$E$101)</f>
        <v>25000</v>
      </c>
      <c r="M100">
        <f t="shared" si="6"/>
        <v>75000</v>
      </c>
      <c r="N100">
        <f t="shared" si="7"/>
        <v>60000</v>
      </c>
      <c r="O100">
        <f t="shared" si="8"/>
        <v>15000</v>
      </c>
      <c r="P100" s="3">
        <f t="shared" si="9"/>
        <v>0.2</v>
      </c>
      <c r="Q100" s="3" t="str">
        <v>Low Profit</v>
      </c>
    </row>
    <row r="101" spans="1:17" x14ac:dyDescent="0.3">
      <c r="A101" t="s">
        <v>548</v>
      </c>
      <c r="B101" s="2">
        <v>45742</v>
      </c>
      <c r="C101" s="2" t="str">
        <f t="shared" si="5"/>
        <v>March</v>
      </c>
      <c r="D101" t="s">
        <v>227</v>
      </c>
      <c r="E101" t="s">
        <v>399</v>
      </c>
      <c r="F101">
        <v>4</v>
      </c>
      <c r="G101" t="s">
        <v>24</v>
      </c>
      <c r="H101" t="s">
        <v>39</v>
      </c>
      <c r="I101" t="s">
        <v>340</v>
      </c>
      <c r="J101" t="str">
        <f>_xlfn.XLOOKUP(E101, Product_Master!$A$2:$A$101, Product_Master!$C$2:$C$101)</f>
        <v>Electronics</v>
      </c>
      <c r="K101">
        <f>_xlfn.XLOOKUP(E101, Product_Master!$A$2:$A$101, Product_Master!$D$2:$D$101)</f>
        <v>42000</v>
      </c>
      <c r="L101">
        <f>_xlfn.XLOOKUP(E101, Product_Master!$A$2:$A$101, Product_Master!$E$2:$E$101)</f>
        <v>50000</v>
      </c>
      <c r="M101">
        <f t="shared" si="6"/>
        <v>200000</v>
      </c>
      <c r="N101">
        <f t="shared" si="7"/>
        <v>168000</v>
      </c>
      <c r="O101">
        <f t="shared" si="8"/>
        <v>32000</v>
      </c>
      <c r="P101" s="3">
        <f t="shared" si="9"/>
        <v>0.16</v>
      </c>
      <c r="Q101" s="3" t="str">
        <v>Low Profit</v>
      </c>
    </row>
    <row r="102" spans="1:17" x14ac:dyDescent="0.3">
      <c r="A102" t="s">
        <v>549</v>
      </c>
      <c r="B102" s="2">
        <v>45955</v>
      </c>
      <c r="C102" s="2" t="str">
        <f t="shared" si="5"/>
        <v>October</v>
      </c>
      <c r="D102" t="s">
        <v>311</v>
      </c>
      <c r="E102" t="s">
        <v>436</v>
      </c>
      <c r="F102">
        <v>1</v>
      </c>
      <c r="G102" t="s">
        <v>47</v>
      </c>
      <c r="H102" t="s">
        <v>8</v>
      </c>
      <c r="I102" t="s">
        <v>353</v>
      </c>
      <c r="J102" t="str">
        <f>_xlfn.XLOOKUP(E102, Product_Master!$A$2:$A$101, Product_Master!$C$2:$C$101)</f>
        <v>Electronics</v>
      </c>
      <c r="K102">
        <f>_xlfn.XLOOKUP(E102, Product_Master!$A$2:$A$101, Product_Master!$D$2:$D$101)</f>
        <v>12000</v>
      </c>
      <c r="L102">
        <f>_xlfn.XLOOKUP(E102, Product_Master!$A$2:$A$101, Product_Master!$E$2:$E$101)</f>
        <v>15000</v>
      </c>
      <c r="M102">
        <f t="shared" si="6"/>
        <v>15000</v>
      </c>
      <c r="N102">
        <f t="shared" si="7"/>
        <v>12000</v>
      </c>
      <c r="O102">
        <f t="shared" si="8"/>
        <v>3000</v>
      </c>
      <c r="P102" s="3">
        <f t="shared" si="9"/>
        <v>0.2</v>
      </c>
      <c r="Q102" s="3" t="str">
        <v>Low Profit</v>
      </c>
    </row>
    <row r="103" spans="1:17" x14ac:dyDescent="0.3">
      <c r="A103" t="s">
        <v>550</v>
      </c>
      <c r="B103" s="2">
        <v>45831</v>
      </c>
      <c r="C103" s="2" t="str">
        <f t="shared" si="5"/>
        <v>June</v>
      </c>
      <c r="D103" t="s">
        <v>93</v>
      </c>
      <c r="E103" t="s">
        <v>390</v>
      </c>
      <c r="F103">
        <v>1</v>
      </c>
      <c r="G103" t="s">
        <v>45</v>
      </c>
      <c r="H103" t="s">
        <v>14</v>
      </c>
      <c r="I103" t="s">
        <v>344</v>
      </c>
      <c r="J103" t="str">
        <f>_xlfn.XLOOKUP(E103, Product_Master!$A$2:$A$101, Product_Master!$C$2:$C$101)</f>
        <v>Accessories</v>
      </c>
      <c r="K103">
        <f>_xlfn.XLOOKUP(E103, Product_Master!$A$2:$A$101, Product_Master!$D$2:$D$101)</f>
        <v>2000</v>
      </c>
      <c r="L103">
        <f>_xlfn.XLOOKUP(E103, Product_Master!$A$2:$A$101, Product_Master!$E$2:$E$101)</f>
        <v>3000</v>
      </c>
      <c r="M103">
        <f t="shared" si="6"/>
        <v>3000</v>
      </c>
      <c r="N103">
        <f t="shared" si="7"/>
        <v>2000</v>
      </c>
      <c r="O103">
        <f t="shared" si="8"/>
        <v>1000</v>
      </c>
      <c r="P103" s="3">
        <f t="shared" si="9"/>
        <v>0.33333333333333331</v>
      </c>
      <c r="Q103" s="3" t="str">
        <v>High Profit</v>
      </c>
    </row>
    <row r="104" spans="1:17" x14ac:dyDescent="0.3">
      <c r="A104" t="s">
        <v>551</v>
      </c>
      <c r="B104" s="2">
        <v>45761</v>
      </c>
      <c r="C104" s="2" t="str">
        <f t="shared" si="5"/>
        <v>April</v>
      </c>
      <c r="D104" t="s">
        <v>241</v>
      </c>
      <c r="E104" t="s">
        <v>357</v>
      </c>
      <c r="F104">
        <v>3</v>
      </c>
      <c r="G104" t="s">
        <v>4</v>
      </c>
      <c r="H104" t="s">
        <v>20</v>
      </c>
      <c r="I104" t="s">
        <v>340</v>
      </c>
      <c r="J104" t="str">
        <f>_xlfn.XLOOKUP(E104, Product_Master!$A$2:$A$101, Product_Master!$C$2:$C$101)</f>
        <v>Electronics</v>
      </c>
      <c r="K104">
        <f>_xlfn.XLOOKUP(E104, Product_Master!$A$2:$A$101, Product_Master!$D$2:$D$101)</f>
        <v>42000</v>
      </c>
      <c r="L104">
        <f>_xlfn.XLOOKUP(E104, Product_Master!$A$2:$A$101, Product_Master!$E$2:$E$101)</f>
        <v>50000</v>
      </c>
      <c r="M104">
        <f t="shared" si="6"/>
        <v>150000</v>
      </c>
      <c r="N104">
        <f t="shared" si="7"/>
        <v>126000</v>
      </c>
      <c r="O104">
        <f t="shared" si="8"/>
        <v>24000</v>
      </c>
      <c r="P104" s="3">
        <f t="shared" si="9"/>
        <v>0.16</v>
      </c>
      <c r="Q104" s="3" t="str">
        <v>Low Profit</v>
      </c>
    </row>
    <row r="105" spans="1:17" x14ac:dyDescent="0.3">
      <c r="A105" t="s">
        <v>552</v>
      </c>
      <c r="B105" s="2">
        <v>46021</v>
      </c>
      <c r="C105" s="2" t="str">
        <f t="shared" si="5"/>
        <v>December</v>
      </c>
      <c r="D105" t="s">
        <v>226</v>
      </c>
      <c r="E105" t="s">
        <v>338</v>
      </c>
      <c r="F105">
        <v>5</v>
      </c>
      <c r="G105" t="s">
        <v>10</v>
      </c>
      <c r="H105" t="s">
        <v>14</v>
      </c>
      <c r="I105" t="s">
        <v>332</v>
      </c>
      <c r="J105" t="str">
        <f>_xlfn.XLOOKUP(E105, Product_Master!$A$2:$A$101, Product_Master!$C$2:$C$101)</f>
        <v>Accessories</v>
      </c>
      <c r="K105">
        <f>_xlfn.XLOOKUP(E105, Product_Master!$A$2:$A$101, Product_Master!$D$2:$D$101)</f>
        <v>500</v>
      </c>
      <c r="L105">
        <f>_xlfn.XLOOKUP(E105, Product_Master!$A$2:$A$101, Product_Master!$E$2:$E$101)</f>
        <v>800</v>
      </c>
      <c r="M105">
        <f t="shared" si="6"/>
        <v>4000</v>
      </c>
      <c r="N105">
        <f t="shared" si="7"/>
        <v>2500</v>
      </c>
      <c r="O105">
        <f t="shared" si="8"/>
        <v>1500</v>
      </c>
      <c r="P105" s="3">
        <f t="shared" si="9"/>
        <v>0.375</v>
      </c>
      <c r="Q105" s="3" t="str">
        <v>High Profit</v>
      </c>
    </row>
    <row r="106" spans="1:17" x14ac:dyDescent="0.3">
      <c r="A106" t="s">
        <v>553</v>
      </c>
      <c r="B106" s="2">
        <v>45808</v>
      </c>
      <c r="C106" s="2" t="str">
        <f t="shared" si="5"/>
        <v>May</v>
      </c>
      <c r="D106" t="s">
        <v>154</v>
      </c>
      <c r="E106" t="s">
        <v>406</v>
      </c>
      <c r="F106">
        <v>4</v>
      </c>
      <c r="G106" t="s">
        <v>47</v>
      </c>
      <c r="H106" t="s">
        <v>20</v>
      </c>
      <c r="I106" t="s">
        <v>344</v>
      </c>
      <c r="J106" t="str">
        <f>_xlfn.XLOOKUP(E106, Product_Master!$A$2:$A$101, Product_Master!$C$2:$C$101)</f>
        <v>Accessories</v>
      </c>
      <c r="K106">
        <f>_xlfn.XLOOKUP(E106, Product_Master!$A$2:$A$101, Product_Master!$D$2:$D$101)</f>
        <v>2000</v>
      </c>
      <c r="L106">
        <f>_xlfn.XLOOKUP(E106, Product_Master!$A$2:$A$101, Product_Master!$E$2:$E$101)</f>
        <v>3000</v>
      </c>
      <c r="M106">
        <f t="shared" si="6"/>
        <v>12000</v>
      </c>
      <c r="N106">
        <f t="shared" si="7"/>
        <v>8000</v>
      </c>
      <c r="O106">
        <f t="shared" si="8"/>
        <v>4000</v>
      </c>
      <c r="P106" s="3">
        <f t="shared" si="9"/>
        <v>0.33333333333333331</v>
      </c>
      <c r="Q106" s="3" t="str">
        <v>High Profit</v>
      </c>
    </row>
    <row r="107" spans="1:17" x14ac:dyDescent="0.3">
      <c r="A107" t="s">
        <v>554</v>
      </c>
      <c r="B107" s="2">
        <v>45947</v>
      </c>
      <c r="C107" s="2" t="str">
        <f t="shared" si="5"/>
        <v>October</v>
      </c>
      <c r="D107" t="s">
        <v>314</v>
      </c>
      <c r="E107" t="s">
        <v>431</v>
      </c>
      <c r="F107">
        <v>1</v>
      </c>
      <c r="G107" t="s">
        <v>22</v>
      </c>
      <c r="H107" t="s">
        <v>8</v>
      </c>
      <c r="I107" t="s">
        <v>332</v>
      </c>
      <c r="J107" t="str">
        <f>_xlfn.XLOOKUP(E107, Product_Master!$A$2:$A$101, Product_Master!$C$2:$C$101)</f>
        <v>Accessories</v>
      </c>
      <c r="K107">
        <f>_xlfn.XLOOKUP(E107, Product_Master!$A$2:$A$101, Product_Master!$D$2:$D$101)</f>
        <v>500</v>
      </c>
      <c r="L107">
        <f>_xlfn.XLOOKUP(E107, Product_Master!$A$2:$A$101, Product_Master!$E$2:$E$101)</f>
        <v>800</v>
      </c>
      <c r="M107">
        <f t="shared" si="6"/>
        <v>800</v>
      </c>
      <c r="N107">
        <f t="shared" si="7"/>
        <v>500</v>
      </c>
      <c r="O107">
        <f t="shared" si="8"/>
        <v>300</v>
      </c>
      <c r="P107" s="3">
        <f t="shared" si="9"/>
        <v>0.375</v>
      </c>
      <c r="Q107" s="3" t="str">
        <v>High Profit</v>
      </c>
    </row>
    <row r="108" spans="1:17" x14ac:dyDescent="0.3">
      <c r="A108" t="s">
        <v>555</v>
      </c>
      <c r="B108" s="2">
        <v>45962</v>
      </c>
      <c r="C108" s="2" t="str">
        <f t="shared" si="5"/>
        <v>November</v>
      </c>
      <c r="D108" t="s">
        <v>109</v>
      </c>
      <c r="E108" t="s">
        <v>372</v>
      </c>
      <c r="F108">
        <v>1</v>
      </c>
      <c r="G108" t="s">
        <v>47</v>
      </c>
      <c r="H108" t="s">
        <v>27</v>
      </c>
      <c r="I108" t="s">
        <v>340</v>
      </c>
      <c r="J108" t="str">
        <f>_xlfn.XLOOKUP(E108, Product_Master!$A$2:$A$101, Product_Master!$C$2:$C$101)</f>
        <v>Electronics</v>
      </c>
      <c r="K108">
        <f>_xlfn.XLOOKUP(E108, Product_Master!$A$2:$A$101, Product_Master!$D$2:$D$101)</f>
        <v>42000</v>
      </c>
      <c r="L108">
        <f>_xlfn.XLOOKUP(E108, Product_Master!$A$2:$A$101, Product_Master!$E$2:$E$101)</f>
        <v>50000</v>
      </c>
      <c r="M108">
        <f t="shared" si="6"/>
        <v>50000</v>
      </c>
      <c r="N108">
        <f t="shared" si="7"/>
        <v>42000</v>
      </c>
      <c r="O108">
        <f t="shared" si="8"/>
        <v>8000</v>
      </c>
      <c r="P108" s="3">
        <f t="shared" si="9"/>
        <v>0.16</v>
      </c>
      <c r="Q108" s="3" t="str">
        <v>Low Profit</v>
      </c>
    </row>
    <row r="109" spans="1:17" x14ac:dyDescent="0.3">
      <c r="A109" t="s">
        <v>556</v>
      </c>
      <c r="B109" s="2">
        <v>45822</v>
      </c>
      <c r="C109" s="2" t="str">
        <f t="shared" si="5"/>
        <v>June</v>
      </c>
      <c r="D109" t="s">
        <v>249</v>
      </c>
      <c r="E109" t="s">
        <v>374</v>
      </c>
      <c r="F109">
        <v>3</v>
      </c>
      <c r="G109" t="s">
        <v>4</v>
      </c>
      <c r="H109" t="s">
        <v>8</v>
      </c>
      <c r="I109" t="s">
        <v>346</v>
      </c>
      <c r="J109" t="str">
        <f>_xlfn.XLOOKUP(E109, Product_Master!$A$2:$A$101, Product_Master!$C$2:$C$101)</f>
        <v>Accessories</v>
      </c>
      <c r="K109">
        <f>_xlfn.XLOOKUP(E109, Product_Master!$A$2:$A$101, Product_Master!$D$2:$D$101)</f>
        <v>9000</v>
      </c>
      <c r="L109">
        <f>_xlfn.XLOOKUP(E109, Product_Master!$A$2:$A$101, Product_Master!$E$2:$E$101)</f>
        <v>12000</v>
      </c>
      <c r="M109">
        <f t="shared" si="6"/>
        <v>36000</v>
      </c>
      <c r="N109">
        <f t="shared" si="7"/>
        <v>27000</v>
      </c>
      <c r="O109">
        <f t="shared" si="8"/>
        <v>9000</v>
      </c>
      <c r="P109" s="3">
        <f t="shared" si="9"/>
        <v>0.25</v>
      </c>
      <c r="Q109" s="3" t="str">
        <v>High Profit</v>
      </c>
    </row>
    <row r="110" spans="1:17" x14ac:dyDescent="0.3">
      <c r="A110" t="s">
        <v>557</v>
      </c>
      <c r="B110" s="2">
        <v>45814</v>
      </c>
      <c r="C110" s="2" t="str">
        <f t="shared" si="5"/>
        <v>June</v>
      </c>
      <c r="D110" t="s">
        <v>216</v>
      </c>
      <c r="E110" t="s">
        <v>402</v>
      </c>
      <c r="F110">
        <v>3</v>
      </c>
      <c r="G110" t="s">
        <v>12</v>
      </c>
      <c r="H110" t="s">
        <v>1455</v>
      </c>
      <c r="I110" t="s">
        <v>332</v>
      </c>
      <c r="J110" t="str">
        <f>_xlfn.XLOOKUP(E110, Product_Master!$A$2:$A$101, Product_Master!$C$2:$C$101)</f>
        <v>Accessories</v>
      </c>
      <c r="K110">
        <f>_xlfn.XLOOKUP(E110, Product_Master!$A$2:$A$101, Product_Master!$D$2:$D$101)</f>
        <v>500</v>
      </c>
      <c r="L110">
        <f>_xlfn.XLOOKUP(E110, Product_Master!$A$2:$A$101, Product_Master!$E$2:$E$101)</f>
        <v>800</v>
      </c>
      <c r="M110">
        <f t="shared" si="6"/>
        <v>2400</v>
      </c>
      <c r="N110">
        <f t="shared" si="7"/>
        <v>1500</v>
      </c>
      <c r="O110">
        <f t="shared" si="8"/>
        <v>900</v>
      </c>
      <c r="P110" s="3">
        <f t="shared" si="9"/>
        <v>0.375</v>
      </c>
      <c r="Q110" s="3" t="str">
        <v>High Profit</v>
      </c>
    </row>
    <row r="111" spans="1:17" x14ac:dyDescent="0.3">
      <c r="A111" t="s">
        <v>558</v>
      </c>
      <c r="B111" s="2">
        <v>45663</v>
      </c>
      <c r="C111" s="2" t="str">
        <f t="shared" si="5"/>
        <v>January</v>
      </c>
      <c r="D111" t="s">
        <v>272</v>
      </c>
      <c r="E111" t="s">
        <v>356</v>
      </c>
      <c r="F111">
        <v>3</v>
      </c>
      <c r="G111" t="s">
        <v>7</v>
      </c>
      <c r="H111" t="s">
        <v>17</v>
      </c>
      <c r="I111" t="s">
        <v>340</v>
      </c>
      <c r="J111" t="str">
        <f>_xlfn.XLOOKUP(E111, Product_Master!$A$2:$A$101, Product_Master!$C$2:$C$101)</f>
        <v>Electronics</v>
      </c>
      <c r="K111">
        <f>_xlfn.XLOOKUP(E111, Product_Master!$A$2:$A$101, Product_Master!$D$2:$D$101)</f>
        <v>42000</v>
      </c>
      <c r="L111">
        <f>_xlfn.XLOOKUP(E111, Product_Master!$A$2:$A$101, Product_Master!$E$2:$E$101)</f>
        <v>50000</v>
      </c>
      <c r="M111">
        <f t="shared" si="6"/>
        <v>150000</v>
      </c>
      <c r="N111">
        <f t="shared" si="7"/>
        <v>126000</v>
      </c>
      <c r="O111">
        <f t="shared" si="8"/>
        <v>24000</v>
      </c>
      <c r="P111" s="3">
        <f t="shared" si="9"/>
        <v>0.16</v>
      </c>
      <c r="Q111" s="3" t="str">
        <v>Low Profit</v>
      </c>
    </row>
    <row r="112" spans="1:17" x14ac:dyDescent="0.3">
      <c r="A112" t="s">
        <v>559</v>
      </c>
      <c r="B112" s="2">
        <v>45867</v>
      </c>
      <c r="C112" s="2" t="str">
        <f t="shared" si="5"/>
        <v>July</v>
      </c>
      <c r="D112" t="s">
        <v>299</v>
      </c>
      <c r="E112" t="s">
        <v>408</v>
      </c>
      <c r="F112">
        <v>3</v>
      </c>
      <c r="G112" t="s">
        <v>7</v>
      </c>
      <c r="H112" t="s">
        <v>39</v>
      </c>
      <c r="I112" t="s">
        <v>332</v>
      </c>
      <c r="J112" t="str">
        <f>_xlfn.XLOOKUP(E112, Product_Master!$A$2:$A$101, Product_Master!$C$2:$C$101)</f>
        <v>Accessories</v>
      </c>
      <c r="K112">
        <f>_xlfn.XLOOKUP(E112, Product_Master!$A$2:$A$101, Product_Master!$D$2:$D$101)</f>
        <v>500</v>
      </c>
      <c r="L112">
        <f>_xlfn.XLOOKUP(E112, Product_Master!$A$2:$A$101, Product_Master!$E$2:$E$101)</f>
        <v>800</v>
      </c>
      <c r="M112">
        <f t="shared" si="6"/>
        <v>2400</v>
      </c>
      <c r="N112">
        <f t="shared" si="7"/>
        <v>1500</v>
      </c>
      <c r="O112">
        <f t="shared" si="8"/>
        <v>900</v>
      </c>
      <c r="P112" s="3">
        <f t="shared" si="9"/>
        <v>0.375</v>
      </c>
      <c r="Q112" s="3" t="str">
        <v>High Profit</v>
      </c>
    </row>
    <row r="113" spans="1:17" x14ac:dyDescent="0.3">
      <c r="A113" t="s">
        <v>560</v>
      </c>
      <c r="B113" s="2">
        <v>45753</v>
      </c>
      <c r="C113" s="2" t="str">
        <f t="shared" si="5"/>
        <v>April</v>
      </c>
      <c r="D113" t="s">
        <v>104</v>
      </c>
      <c r="E113" t="s">
        <v>395</v>
      </c>
      <c r="F113">
        <v>3</v>
      </c>
      <c r="G113" t="s">
        <v>10</v>
      </c>
      <c r="H113" t="s">
        <v>14</v>
      </c>
      <c r="I113" t="s">
        <v>340</v>
      </c>
      <c r="J113" t="str">
        <f>_xlfn.XLOOKUP(E113, Product_Master!$A$2:$A$101, Product_Master!$C$2:$C$101)</f>
        <v>Electronics</v>
      </c>
      <c r="K113">
        <f>_xlfn.XLOOKUP(E113, Product_Master!$A$2:$A$101, Product_Master!$D$2:$D$101)</f>
        <v>42000</v>
      </c>
      <c r="L113">
        <f>_xlfn.XLOOKUP(E113, Product_Master!$A$2:$A$101, Product_Master!$E$2:$E$101)</f>
        <v>50000</v>
      </c>
      <c r="M113">
        <f t="shared" si="6"/>
        <v>150000</v>
      </c>
      <c r="N113">
        <f t="shared" si="7"/>
        <v>126000</v>
      </c>
      <c r="O113">
        <f t="shared" si="8"/>
        <v>24000</v>
      </c>
      <c r="P113" s="3">
        <f t="shared" si="9"/>
        <v>0.16</v>
      </c>
      <c r="Q113" s="3" t="str">
        <v>Low Profit</v>
      </c>
    </row>
    <row r="114" spans="1:17" x14ac:dyDescent="0.3">
      <c r="A114" t="s">
        <v>561</v>
      </c>
      <c r="B114" s="2">
        <v>45997</v>
      </c>
      <c r="C114" s="2" t="str">
        <f t="shared" si="5"/>
        <v>December</v>
      </c>
      <c r="D114" t="s">
        <v>215</v>
      </c>
      <c r="E114" t="s">
        <v>345</v>
      </c>
      <c r="F114">
        <v>3</v>
      </c>
      <c r="G114" t="s">
        <v>45</v>
      </c>
      <c r="H114" t="s">
        <v>8</v>
      </c>
      <c r="I114" t="s">
        <v>346</v>
      </c>
      <c r="J114" t="str">
        <f>_xlfn.XLOOKUP(E114, Product_Master!$A$2:$A$101, Product_Master!$C$2:$C$101)</f>
        <v>Accessories</v>
      </c>
      <c r="K114">
        <f>_xlfn.XLOOKUP(E114, Product_Master!$A$2:$A$101, Product_Master!$D$2:$D$101)</f>
        <v>9000</v>
      </c>
      <c r="L114">
        <f>_xlfn.XLOOKUP(E114, Product_Master!$A$2:$A$101, Product_Master!$E$2:$E$101)</f>
        <v>12000</v>
      </c>
      <c r="M114">
        <f t="shared" si="6"/>
        <v>36000</v>
      </c>
      <c r="N114">
        <f t="shared" si="7"/>
        <v>27000</v>
      </c>
      <c r="O114">
        <f t="shared" si="8"/>
        <v>9000</v>
      </c>
      <c r="P114" s="3">
        <f t="shared" si="9"/>
        <v>0.25</v>
      </c>
      <c r="Q114" s="3" t="str">
        <v>High Profit</v>
      </c>
    </row>
    <row r="115" spans="1:17" x14ac:dyDescent="0.3">
      <c r="A115" t="s">
        <v>562</v>
      </c>
      <c r="B115" s="2">
        <v>45934</v>
      </c>
      <c r="C115" s="2" t="str">
        <f t="shared" si="5"/>
        <v>October</v>
      </c>
      <c r="D115" t="s">
        <v>272</v>
      </c>
      <c r="E115" t="s">
        <v>345</v>
      </c>
      <c r="F115">
        <v>4</v>
      </c>
      <c r="G115" t="s">
        <v>7</v>
      </c>
      <c r="H115" t="s">
        <v>17</v>
      </c>
      <c r="I115" t="s">
        <v>346</v>
      </c>
      <c r="J115" t="str">
        <f>_xlfn.XLOOKUP(E115, Product_Master!$A$2:$A$101, Product_Master!$C$2:$C$101)</f>
        <v>Accessories</v>
      </c>
      <c r="K115">
        <f>_xlfn.XLOOKUP(E115, Product_Master!$A$2:$A$101, Product_Master!$D$2:$D$101)</f>
        <v>9000</v>
      </c>
      <c r="L115">
        <f>_xlfn.XLOOKUP(E115, Product_Master!$A$2:$A$101, Product_Master!$E$2:$E$101)</f>
        <v>12000</v>
      </c>
      <c r="M115">
        <f t="shared" si="6"/>
        <v>48000</v>
      </c>
      <c r="N115">
        <f t="shared" si="7"/>
        <v>36000</v>
      </c>
      <c r="O115">
        <f t="shared" si="8"/>
        <v>12000</v>
      </c>
      <c r="P115" s="3">
        <f t="shared" si="9"/>
        <v>0.25</v>
      </c>
      <c r="Q115" s="3" t="str">
        <v>High Profit</v>
      </c>
    </row>
    <row r="116" spans="1:17" x14ac:dyDescent="0.3">
      <c r="A116" t="s">
        <v>563</v>
      </c>
      <c r="B116" s="2">
        <v>45715</v>
      </c>
      <c r="C116" s="2" t="str">
        <f t="shared" si="5"/>
        <v>February</v>
      </c>
      <c r="D116" t="s">
        <v>283</v>
      </c>
      <c r="E116" t="s">
        <v>410</v>
      </c>
      <c r="F116">
        <v>1</v>
      </c>
      <c r="G116" t="s">
        <v>29</v>
      </c>
      <c r="H116" t="s">
        <v>8</v>
      </c>
      <c r="I116" t="s">
        <v>353</v>
      </c>
      <c r="J116" t="str">
        <f>_xlfn.XLOOKUP(E116, Product_Master!$A$2:$A$101, Product_Master!$C$2:$C$101)</f>
        <v>Electronics</v>
      </c>
      <c r="K116">
        <f>_xlfn.XLOOKUP(E116, Product_Master!$A$2:$A$101, Product_Master!$D$2:$D$101)</f>
        <v>12000</v>
      </c>
      <c r="L116">
        <f>_xlfn.XLOOKUP(E116, Product_Master!$A$2:$A$101, Product_Master!$E$2:$E$101)</f>
        <v>15000</v>
      </c>
      <c r="M116">
        <f t="shared" si="6"/>
        <v>15000</v>
      </c>
      <c r="N116">
        <f t="shared" si="7"/>
        <v>12000</v>
      </c>
      <c r="O116">
        <f t="shared" si="8"/>
        <v>3000</v>
      </c>
      <c r="P116" s="3">
        <f t="shared" si="9"/>
        <v>0.2</v>
      </c>
      <c r="Q116" s="3" t="str">
        <v>Low Profit</v>
      </c>
    </row>
    <row r="117" spans="1:17" x14ac:dyDescent="0.3">
      <c r="A117" t="s">
        <v>564</v>
      </c>
      <c r="B117" s="2">
        <v>45664</v>
      </c>
      <c r="C117" s="2" t="str">
        <f t="shared" si="5"/>
        <v>January</v>
      </c>
      <c r="D117" t="s">
        <v>26</v>
      </c>
      <c r="E117" t="s">
        <v>348</v>
      </c>
      <c r="F117">
        <v>4</v>
      </c>
      <c r="G117" t="s">
        <v>16</v>
      </c>
      <c r="H117" t="s">
        <v>27</v>
      </c>
      <c r="I117" t="s">
        <v>335</v>
      </c>
      <c r="J117" t="str">
        <f>_xlfn.XLOOKUP(E117, Product_Master!$A$2:$A$101, Product_Master!$C$2:$C$101)</f>
        <v>Accessories</v>
      </c>
      <c r="K117">
        <f>_xlfn.XLOOKUP(E117, Product_Master!$A$2:$A$101, Product_Master!$D$2:$D$101)</f>
        <v>900</v>
      </c>
      <c r="L117">
        <f>_xlfn.XLOOKUP(E117, Product_Master!$A$2:$A$101, Product_Master!$E$2:$E$101)</f>
        <v>1500</v>
      </c>
      <c r="M117">
        <f t="shared" si="6"/>
        <v>6000</v>
      </c>
      <c r="N117">
        <f t="shared" si="7"/>
        <v>3600</v>
      </c>
      <c r="O117">
        <f t="shared" si="8"/>
        <v>2400</v>
      </c>
      <c r="P117" s="3">
        <f t="shared" si="9"/>
        <v>0.4</v>
      </c>
      <c r="Q117" s="3" t="str">
        <v>High Profit</v>
      </c>
    </row>
    <row r="118" spans="1:17" x14ac:dyDescent="0.3">
      <c r="A118" t="s">
        <v>565</v>
      </c>
      <c r="B118" s="2">
        <v>45901</v>
      </c>
      <c r="C118" s="2" t="str">
        <f t="shared" si="5"/>
        <v>September</v>
      </c>
      <c r="D118" t="s">
        <v>165</v>
      </c>
      <c r="E118" t="s">
        <v>396</v>
      </c>
      <c r="F118">
        <v>5</v>
      </c>
      <c r="G118" t="s">
        <v>22</v>
      </c>
      <c r="H118" t="s">
        <v>17</v>
      </c>
      <c r="I118" t="s">
        <v>335</v>
      </c>
      <c r="J118" t="str">
        <f>_xlfn.XLOOKUP(E118, Product_Master!$A$2:$A$101, Product_Master!$C$2:$C$101)</f>
        <v>Accessories</v>
      </c>
      <c r="K118">
        <f>_xlfn.XLOOKUP(E118, Product_Master!$A$2:$A$101, Product_Master!$D$2:$D$101)</f>
        <v>900</v>
      </c>
      <c r="L118">
        <f>_xlfn.XLOOKUP(E118, Product_Master!$A$2:$A$101, Product_Master!$E$2:$E$101)</f>
        <v>1500</v>
      </c>
      <c r="M118">
        <f t="shared" si="6"/>
        <v>7500</v>
      </c>
      <c r="N118">
        <f t="shared" si="7"/>
        <v>4500</v>
      </c>
      <c r="O118">
        <f t="shared" si="8"/>
        <v>3000</v>
      </c>
      <c r="P118" s="3">
        <f t="shared" si="9"/>
        <v>0.4</v>
      </c>
      <c r="Q118" s="3" t="str">
        <v>High Profit</v>
      </c>
    </row>
    <row r="119" spans="1:17" x14ac:dyDescent="0.3">
      <c r="A119" t="s">
        <v>566</v>
      </c>
      <c r="B119" s="2">
        <v>46016</v>
      </c>
      <c r="C119" s="2" t="str">
        <f t="shared" si="5"/>
        <v>December</v>
      </c>
      <c r="D119" t="s">
        <v>138</v>
      </c>
      <c r="E119" t="s">
        <v>380</v>
      </c>
      <c r="F119">
        <v>5</v>
      </c>
      <c r="G119" t="s">
        <v>10</v>
      </c>
      <c r="H119" t="s">
        <v>31</v>
      </c>
      <c r="I119" t="s">
        <v>340</v>
      </c>
      <c r="J119" t="str">
        <f>_xlfn.XLOOKUP(E119, Product_Master!$A$2:$A$101, Product_Master!$C$2:$C$101)</f>
        <v>Electronics</v>
      </c>
      <c r="K119">
        <f>_xlfn.XLOOKUP(E119, Product_Master!$A$2:$A$101, Product_Master!$D$2:$D$101)</f>
        <v>42000</v>
      </c>
      <c r="L119">
        <f>_xlfn.XLOOKUP(E119, Product_Master!$A$2:$A$101, Product_Master!$E$2:$E$101)</f>
        <v>50000</v>
      </c>
      <c r="M119">
        <f t="shared" si="6"/>
        <v>250000</v>
      </c>
      <c r="N119">
        <f t="shared" si="7"/>
        <v>210000</v>
      </c>
      <c r="O119">
        <f t="shared" si="8"/>
        <v>40000</v>
      </c>
      <c r="P119" s="3">
        <f t="shared" si="9"/>
        <v>0.16</v>
      </c>
      <c r="Q119" s="3" t="str">
        <v>Low Profit</v>
      </c>
    </row>
    <row r="120" spans="1:17" x14ac:dyDescent="0.3">
      <c r="A120" t="s">
        <v>567</v>
      </c>
      <c r="B120" s="2">
        <v>45719</v>
      </c>
      <c r="C120" s="2" t="str">
        <f t="shared" si="5"/>
        <v>March</v>
      </c>
      <c r="D120" t="s">
        <v>268</v>
      </c>
      <c r="E120" t="s">
        <v>348</v>
      </c>
      <c r="F120">
        <v>4</v>
      </c>
      <c r="G120" t="s">
        <v>10</v>
      </c>
      <c r="H120" t="s">
        <v>17</v>
      </c>
      <c r="I120" t="s">
        <v>335</v>
      </c>
      <c r="J120" t="str">
        <f>_xlfn.XLOOKUP(E120, Product_Master!$A$2:$A$101, Product_Master!$C$2:$C$101)</f>
        <v>Accessories</v>
      </c>
      <c r="K120">
        <f>_xlfn.XLOOKUP(E120, Product_Master!$A$2:$A$101, Product_Master!$D$2:$D$101)</f>
        <v>900</v>
      </c>
      <c r="L120">
        <f>_xlfn.XLOOKUP(E120, Product_Master!$A$2:$A$101, Product_Master!$E$2:$E$101)</f>
        <v>1500</v>
      </c>
      <c r="M120">
        <f t="shared" si="6"/>
        <v>6000</v>
      </c>
      <c r="N120">
        <f t="shared" si="7"/>
        <v>3600</v>
      </c>
      <c r="O120">
        <f t="shared" si="8"/>
        <v>2400</v>
      </c>
      <c r="P120" s="3">
        <f t="shared" si="9"/>
        <v>0.4</v>
      </c>
      <c r="Q120" s="3" t="str">
        <v>High Profit</v>
      </c>
    </row>
    <row r="121" spans="1:17" x14ac:dyDescent="0.3">
      <c r="A121" t="s">
        <v>568</v>
      </c>
      <c r="B121" s="2">
        <v>45814</v>
      </c>
      <c r="C121" s="2" t="str">
        <f t="shared" si="5"/>
        <v>June</v>
      </c>
      <c r="D121" t="s">
        <v>276</v>
      </c>
      <c r="E121" t="s">
        <v>439</v>
      </c>
      <c r="F121">
        <v>3</v>
      </c>
      <c r="G121" t="s">
        <v>24</v>
      </c>
      <c r="H121" t="s">
        <v>20</v>
      </c>
      <c r="I121" t="s">
        <v>353</v>
      </c>
      <c r="J121" t="str">
        <f>_xlfn.XLOOKUP(E121, Product_Master!$A$2:$A$101, Product_Master!$C$2:$C$101)</f>
        <v>Electronics</v>
      </c>
      <c r="K121">
        <f>_xlfn.XLOOKUP(E121, Product_Master!$A$2:$A$101, Product_Master!$D$2:$D$101)</f>
        <v>12000</v>
      </c>
      <c r="L121">
        <f>_xlfn.XLOOKUP(E121, Product_Master!$A$2:$A$101, Product_Master!$E$2:$E$101)</f>
        <v>15000</v>
      </c>
      <c r="M121">
        <f t="shared" si="6"/>
        <v>45000</v>
      </c>
      <c r="N121">
        <f t="shared" si="7"/>
        <v>36000</v>
      </c>
      <c r="O121">
        <f t="shared" si="8"/>
        <v>9000</v>
      </c>
      <c r="P121" s="3">
        <f t="shared" si="9"/>
        <v>0.2</v>
      </c>
      <c r="Q121" s="3" t="str">
        <v>Low Profit</v>
      </c>
    </row>
    <row r="122" spans="1:17" x14ac:dyDescent="0.3">
      <c r="A122" t="s">
        <v>569</v>
      </c>
      <c r="B122" s="2">
        <v>45768</v>
      </c>
      <c r="C122" s="2" t="str">
        <f t="shared" si="5"/>
        <v>April</v>
      </c>
      <c r="D122" t="s">
        <v>211</v>
      </c>
      <c r="E122" t="s">
        <v>341</v>
      </c>
      <c r="F122">
        <v>4</v>
      </c>
      <c r="G122" t="s">
        <v>29</v>
      </c>
      <c r="H122" t="s">
        <v>20</v>
      </c>
      <c r="I122" t="s">
        <v>329</v>
      </c>
      <c r="J122" t="str">
        <f>_xlfn.XLOOKUP(E122, Product_Master!$A$2:$A$101, Product_Master!$C$2:$C$101)</f>
        <v>Electronics</v>
      </c>
      <c r="K122">
        <f>_xlfn.XLOOKUP(E122, Product_Master!$A$2:$A$101, Product_Master!$D$2:$D$101)</f>
        <v>20000</v>
      </c>
      <c r="L122">
        <f>_xlfn.XLOOKUP(E122, Product_Master!$A$2:$A$101, Product_Master!$E$2:$E$101)</f>
        <v>25000</v>
      </c>
      <c r="M122">
        <f t="shared" si="6"/>
        <v>100000</v>
      </c>
      <c r="N122">
        <f t="shared" si="7"/>
        <v>80000</v>
      </c>
      <c r="O122">
        <f t="shared" si="8"/>
        <v>20000</v>
      </c>
      <c r="P122" s="3">
        <f t="shared" si="9"/>
        <v>0.2</v>
      </c>
      <c r="Q122" s="3" t="str">
        <v>Low Profit</v>
      </c>
    </row>
    <row r="123" spans="1:17" x14ac:dyDescent="0.3">
      <c r="A123" t="s">
        <v>570</v>
      </c>
      <c r="B123" s="2">
        <v>45948</v>
      </c>
      <c r="C123" s="2" t="str">
        <f t="shared" si="5"/>
        <v>October</v>
      </c>
      <c r="D123" t="s">
        <v>189</v>
      </c>
      <c r="E123" t="s">
        <v>359</v>
      </c>
      <c r="F123">
        <v>1</v>
      </c>
      <c r="G123" t="s">
        <v>16</v>
      </c>
      <c r="H123" t="s">
        <v>8</v>
      </c>
      <c r="I123" t="s">
        <v>329</v>
      </c>
      <c r="J123" t="str">
        <f>_xlfn.XLOOKUP(E123, Product_Master!$A$2:$A$101, Product_Master!$C$2:$C$101)</f>
        <v>Electronics</v>
      </c>
      <c r="K123">
        <f>_xlfn.XLOOKUP(E123, Product_Master!$A$2:$A$101, Product_Master!$D$2:$D$101)</f>
        <v>20000</v>
      </c>
      <c r="L123">
        <f>_xlfn.XLOOKUP(E123, Product_Master!$A$2:$A$101, Product_Master!$E$2:$E$101)</f>
        <v>25000</v>
      </c>
      <c r="M123">
        <f t="shared" si="6"/>
        <v>25000</v>
      </c>
      <c r="N123">
        <f t="shared" si="7"/>
        <v>20000</v>
      </c>
      <c r="O123">
        <f t="shared" si="8"/>
        <v>5000</v>
      </c>
      <c r="P123" s="3">
        <f t="shared" si="9"/>
        <v>0.2</v>
      </c>
      <c r="Q123" s="3" t="str">
        <v>Low Profit</v>
      </c>
    </row>
    <row r="124" spans="1:17" x14ac:dyDescent="0.3">
      <c r="A124" t="s">
        <v>571</v>
      </c>
      <c r="B124" s="2">
        <v>45781</v>
      </c>
      <c r="C124" s="2" t="str">
        <f t="shared" si="5"/>
        <v>May</v>
      </c>
      <c r="D124" t="s">
        <v>49</v>
      </c>
      <c r="E124" t="s">
        <v>414</v>
      </c>
      <c r="F124">
        <v>3</v>
      </c>
      <c r="G124" t="s">
        <v>19</v>
      </c>
      <c r="H124" t="s">
        <v>31</v>
      </c>
      <c r="I124" t="s">
        <v>332</v>
      </c>
      <c r="J124" t="str">
        <f>_xlfn.XLOOKUP(E124, Product_Master!$A$2:$A$101, Product_Master!$C$2:$C$101)</f>
        <v>Accessories</v>
      </c>
      <c r="K124">
        <f>_xlfn.XLOOKUP(E124, Product_Master!$A$2:$A$101, Product_Master!$D$2:$D$101)</f>
        <v>500</v>
      </c>
      <c r="L124">
        <f>_xlfn.XLOOKUP(E124, Product_Master!$A$2:$A$101, Product_Master!$E$2:$E$101)</f>
        <v>800</v>
      </c>
      <c r="M124">
        <f t="shared" si="6"/>
        <v>2400</v>
      </c>
      <c r="N124">
        <f t="shared" si="7"/>
        <v>1500</v>
      </c>
      <c r="O124">
        <f t="shared" si="8"/>
        <v>900</v>
      </c>
      <c r="P124" s="3">
        <f t="shared" si="9"/>
        <v>0.375</v>
      </c>
      <c r="Q124" s="3" t="str">
        <v>High Profit</v>
      </c>
    </row>
    <row r="125" spans="1:17" x14ac:dyDescent="0.3">
      <c r="A125" t="s">
        <v>572</v>
      </c>
      <c r="B125" s="2">
        <v>45892</v>
      </c>
      <c r="C125" s="2" t="str">
        <f t="shared" si="5"/>
        <v>August</v>
      </c>
      <c r="D125" t="s">
        <v>81</v>
      </c>
      <c r="E125" t="s">
        <v>411</v>
      </c>
      <c r="F125">
        <v>4</v>
      </c>
      <c r="G125" t="s">
        <v>4</v>
      </c>
      <c r="H125" t="s">
        <v>27</v>
      </c>
      <c r="I125" t="s">
        <v>346</v>
      </c>
      <c r="J125" t="str">
        <f>_xlfn.XLOOKUP(E125, Product_Master!$A$2:$A$101, Product_Master!$C$2:$C$101)</f>
        <v>Accessories</v>
      </c>
      <c r="K125">
        <f>_xlfn.XLOOKUP(E125, Product_Master!$A$2:$A$101, Product_Master!$D$2:$D$101)</f>
        <v>9000</v>
      </c>
      <c r="L125">
        <f>_xlfn.XLOOKUP(E125, Product_Master!$A$2:$A$101, Product_Master!$E$2:$E$101)</f>
        <v>12000</v>
      </c>
      <c r="M125">
        <f t="shared" si="6"/>
        <v>48000</v>
      </c>
      <c r="N125">
        <f t="shared" si="7"/>
        <v>36000</v>
      </c>
      <c r="O125">
        <f t="shared" si="8"/>
        <v>12000</v>
      </c>
      <c r="P125" s="3">
        <f t="shared" si="9"/>
        <v>0.25</v>
      </c>
      <c r="Q125" s="3" t="str">
        <v>High Profit</v>
      </c>
    </row>
    <row r="126" spans="1:17" x14ac:dyDescent="0.3">
      <c r="A126" t="s">
        <v>573</v>
      </c>
      <c r="B126" s="2">
        <v>45691</v>
      </c>
      <c r="C126" s="2" t="str">
        <f t="shared" si="5"/>
        <v>February</v>
      </c>
      <c r="D126" t="s">
        <v>53</v>
      </c>
      <c r="E126" t="s">
        <v>373</v>
      </c>
      <c r="F126">
        <v>3</v>
      </c>
      <c r="G126" t="s">
        <v>7</v>
      </c>
      <c r="H126" t="s">
        <v>31</v>
      </c>
      <c r="I126" t="s">
        <v>335</v>
      </c>
      <c r="J126" t="str">
        <f>_xlfn.XLOOKUP(E126, Product_Master!$A$2:$A$101, Product_Master!$C$2:$C$101)</f>
        <v>Accessories</v>
      </c>
      <c r="K126">
        <f>_xlfn.XLOOKUP(E126, Product_Master!$A$2:$A$101, Product_Master!$D$2:$D$101)</f>
        <v>900</v>
      </c>
      <c r="L126">
        <f>_xlfn.XLOOKUP(E126, Product_Master!$A$2:$A$101, Product_Master!$E$2:$E$101)</f>
        <v>1500</v>
      </c>
      <c r="M126">
        <f t="shared" si="6"/>
        <v>4500</v>
      </c>
      <c r="N126">
        <f t="shared" si="7"/>
        <v>2700</v>
      </c>
      <c r="O126">
        <f t="shared" si="8"/>
        <v>1800</v>
      </c>
      <c r="P126" s="3">
        <f t="shared" si="9"/>
        <v>0.4</v>
      </c>
      <c r="Q126" s="3" t="str">
        <v>High Profit</v>
      </c>
    </row>
    <row r="127" spans="1:17" x14ac:dyDescent="0.3">
      <c r="A127" t="s">
        <v>574</v>
      </c>
      <c r="B127" s="2">
        <v>45690</v>
      </c>
      <c r="C127" s="2" t="str">
        <f t="shared" si="5"/>
        <v>February</v>
      </c>
      <c r="D127" t="s">
        <v>98</v>
      </c>
      <c r="E127" t="s">
        <v>433</v>
      </c>
      <c r="F127">
        <v>1</v>
      </c>
      <c r="G127" t="s">
        <v>29</v>
      </c>
      <c r="H127" t="s">
        <v>14</v>
      </c>
      <c r="I127" t="s">
        <v>353</v>
      </c>
      <c r="J127" t="str">
        <f>_xlfn.XLOOKUP(E127, Product_Master!$A$2:$A$101, Product_Master!$C$2:$C$101)</f>
        <v>Electronics</v>
      </c>
      <c r="K127">
        <f>_xlfn.XLOOKUP(E127, Product_Master!$A$2:$A$101, Product_Master!$D$2:$D$101)</f>
        <v>12000</v>
      </c>
      <c r="L127">
        <f>_xlfn.XLOOKUP(E127, Product_Master!$A$2:$A$101, Product_Master!$E$2:$E$101)</f>
        <v>15000</v>
      </c>
      <c r="M127">
        <f t="shared" si="6"/>
        <v>15000</v>
      </c>
      <c r="N127">
        <f t="shared" si="7"/>
        <v>12000</v>
      </c>
      <c r="O127">
        <f t="shared" si="8"/>
        <v>3000</v>
      </c>
      <c r="P127" s="3">
        <f t="shared" si="9"/>
        <v>0.2</v>
      </c>
      <c r="Q127" s="3" t="str">
        <v>Low Profit</v>
      </c>
    </row>
    <row r="128" spans="1:17" x14ac:dyDescent="0.3">
      <c r="A128" t="s">
        <v>575</v>
      </c>
      <c r="B128" s="2">
        <v>45808</v>
      </c>
      <c r="C128" s="2" t="str">
        <f t="shared" si="5"/>
        <v>May</v>
      </c>
      <c r="D128" t="s">
        <v>318</v>
      </c>
      <c r="E128" t="s">
        <v>383</v>
      </c>
      <c r="F128">
        <v>5</v>
      </c>
      <c r="G128" t="s">
        <v>16</v>
      </c>
      <c r="H128" t="s">
        <v>31</v>
      </c>
      <c r="I128" t="s">
        <v>335</v>
      </c>
      <c r="J128" t="str">
        <f>_xlfn.XLOOKUP(E128, Product_Master!$A$2:$A$101, Product_Master!$C$2:$C$101)</f>
        <v>Accessories</v>
      </c>
      <c r="K128">
        <f>_xlfn.XLOOKUP(E128, Product_Master!$A$2:$A$101, Product_Master!$D$2:$D$101)</f>
        <v>900</v>
      </c>
      <c r="L128">
        <f>_xlfn.XLOOKUP(E128, Product_Master!$A$2:$A$101, Product_Master!$E$2:$E$101)</f>
        <v>1500</v>
      </c>
      <c r="M128">
        <f t="shared" si="6"/>
        <v>7500</v>
      </c>
      <c r="N128">
        <f t="shared" si="7"/>
        <v>4500</v>
      </c>
      <c r="O128">
        <f t="shared" si="8"/>
        <v>3000</v>
      </c>
      <c r="P128" s="3">
        <f t="shared" si="9"/>
        <v>0.4</v>
      </c>
      <c r="Q128" s="3" t="str">
        <v>High Profit</v>
      </c>
    </row>
    <row r="129" spans="1:17" x14ac:dyDescent="0.3">
      <c r="A129" t="s">
        <v>576</v>
      </c>
      <c r="B129" s="2">
        <v>45921</v>
      </c>
      <c r="C129" s="2" t="str">
        <f t="shared" si="5"/>
        <v>September</v>
      </c>
      <c r="D129" t="s">
        <v>168</v>
      </c>
      <c r="E129" t="s">
        <v>374</v>
      </c>
      <c r="F129">
        <v>2</v>
      </c>
      <c r="G129" t="s">
        <v>45</v>
      </c>
      <c r="H129" t="s">
        <v>14</v>
      </c>
      <c r="I129" t="s">
        <v>346</v>
      </c>
      <c r="J129" t="str">
        <f>_xlfn.XLOOKUP(E129, Product_Master!$A$2:$A$101, Product_Master!$C$2:$C$101)</f>
        <v>Accessories</v>
      </c>
      <c r="K129">
        <f>_xlfn.XLOOKUP(E129, Product_Master!$A$2:$A$101, Product_Master!$D$2:$D$101)</f>
        <v>9000</v>
      </c>
      <c r="L129">
        <f>_xlfn.XLOOKUP(E129, Product_Master!$A$2:$A$101, Product_Master!$E$2:$E$101)</f>
        <v>12000</v>
      </c>
      <c r="M129">
        <f t="shared" si="6"/>
        <v>24000</v>
      </c>
      <c r="N129">
        <f t="shared" si="7"/>
        <v>18000</v>
      </c>
      <c r="O129">
        <f t="shared" si="8"/>
        <v>6000</v>
      </c>
      <c r="P129" s="3">
        <f t="shared" si="9"/>
        <v>0.25</v>
      </c>
      <c r="Q129" s="3" t="str">
        <v>High Profit</v>
      </c>
    </row>
    <row r="130" spans="1:17" x14ac:dyDescent="0.3">
      <c r="A130" t="s">
        <v>577</v>
      </c>
      <c r="B130" s="2">
        <v>45926</v>
      </c>
      <c r="C130" s="2" t="str">
        <f t="shared" si="5"/>
        <v>September</v>
      </c>
      <c r="D130" t="s">
        <v>241</v>
      </c>
      <c r="E130" t="s">
        <v>345</v>
      </c>
      <c r="F130">
        <v>3</v>
      </c>
      <c r="G130" t="s">
        <v>4</v>
      </c>
      <c r="H130" t="s">
        <v>20</v>
      </c>
      <c r="I130" t="s">
        <v>346</v>
      </c>
      <c r="J130" t="str">
        <f>_xlfn.XLOOKUP(E130, Product_Master!$A$2:$A$101, Product_Master!$C$2:$C$101)</f>
        <v>Accessories</v>
      </c>
      <c r="K130">
        <f>_xlfn.XLOOKUP(E130, Product_Master!$A$2:$A$101, Product_Master!$D$2:$D$101)</f>
        <v>9000</v>
      </c>
      <c r="L130">
        <f>_xlfn.XLOOKUP(E130, Product_Master!$A$2:$A$101, Product_Master!$E$2:$E$101)</f>
        <v>12000</v>
      </c>
      <c r="M130">
        <f t="shared" si="6"/>
        <v>36000</v>
      </c>
      <c r="N130">
        <f t="shared" si="7"/>
        <v>27000</v>
      </c>
      <c r="O130">
        <f t="shared" si="8"/>
        <v>9000</v>
      </c>
      <c r="P130" s="3">
        <f t="shared" si="9"/>
        <v>0.25</v>
      </c>
      <c r="Q130" s="3" t="str">
        <v>High Profit</v>
      </c>
    </row>
    <row r="131" spans="1:17" x14ac:dyDescent="0.3">
      <c r="A131" t="s">
        <v>578</v>
      </c>
      <c r="B131" s="2">
        <v>45672</v>
      </c>
      <c r="C131" s="2" t="str">
        <f t="shared" ref="C131:C194" si="10">TEXT(B131,"MMMM")</f>
        <v>January</v>
      </c>
      <c r="D131" t="s">
        <v>243</v>
      </c>
      <c r="E131" t="s">
        <v>419</v>
      </c>
      <c r="F131">
        <v>5</v>
      </c>
      <c r="G131" t="s">
        <v>19</v>
      </c>
      <c r="H131" t="s">
        <v>39</v>
      </c>
      <c r="I131" t="s">
        <v>344</v>
      </c>
      <c r="J131" t="str">
        <f>_xlfn.XLOOKUP(E131, Product_Master!$A$2:$A$101, Product_Master!$C$2:$C$101)</f>
        <v>Accessories</v>
      </c>
      <c r="K131">
        <f>_xlfn.XLOOKUP(E131, Product_Master!$A$2:$A$101, Product_Master!$D$2:$D$101)</f>
        <v>2000</v>
      </c>
      <c r="L131">
        <f>_xlfn.XLOOKUP(E131, Product_Master!$A$2:$A$101, Product_Master!$E$2:$E$101)</f>
        <v>3000</v>
      </c>
      <c r="M131">
        <f t="shared" ref="M131:M194" si="11">F131*L131</f>
        <v>15000</v>
      </c>
      <c r="N131">
        <f t="shared" ref="N131:N194" si="12">F131*K131</f>
        <v>10000</v>
      </c>
      <c r="O131">
        <f t="shared" ref="O131:O194" si="13">M131-N131</f>
        <v>5000</v>
      </c>
      <c r="P131" s="3">
        <f t="shared" ref="P131:P194" si="14">O131/M131</f>
        <v>0.33333333333333331</v>
      </c>
      <c r="Q131" s="3" t="str">
        <v>High Profit</v>
      </c>
    </row>
    <row r="132" spans="1:17" x14ac:dyDescent="0.3">
      <c r="A132" t="s">
        <v>579</v>
      </c>
      <c r="B132" s="2">
        <v>45809</v>
      </c>
      <c r="C132" s="2" t="str">
        <f t="shared" si="10"/>
        <v>June</v>
      </c>
      <c r="D132" t="s">
        <v>308</v>
      </c>
      <c r="E132" t="s">
        <v>406</v>
      </c>
      <c r="F132">
        <v>4</v>
      </c>
      <c r="G132" t="s">
        <v>10</v>
      </c>
      <c r="H132" t="s">
        <v>17</v>
      </c>
      <c r="I132" t="s">
        <v>344</v>
      </c>
      <c r="J132" t="str">
        <f>_xlfn.XLOOKUP(E132, Product_Master!$A$2:$A$101, Product_Master!$C$2:$C$101)</f>
        <v>Accessories</v>
      </c>
      <c r="K132">
        <f>_xlfn.XLOOKUP(E132, Product_Master!$A$2:$A$101, Product_Master!$D$2:$D$101)</f>
        <v>2000</v>
      </c>
      <c r="L132">
        <f>_xlfn.XLOOKUP(E132, Product_Master!$A$2:$A$101, Product_Master!$E$2:$E$101)</f>
        <v>3000</v>
      </c>
      <c r="M132">
        <f t="shared" si="11"/>
        <v>12000</v>
      </c>
      <c r="N132">
        <f t="shared" si="12"/>
        <v>8000</v>
      </c>
      <c r="O132">
        <f t="shared" si="13"/>
        <v>4000</v>
      </c>
      <c r="P132" s="3">
        <f t="shared" si="14"/>
        <v>0.33333333333333331</v>
      </c>
      <c r="Q132" s="3" t="str">
        <v>High Profit</v>
      </c>
    </row>
    <row r="133" spans="1:17" x14ac:dyDescent="0.3">
      <c r="A133" t="s">
        <v>580</v>
      </c>
      <c r="B133" s="2">
        <v>45789</v>
      </c>
      <c r="C133" s="2" t="str">
        <f t="shared" si="10"/>
        <v>May</v>
      </c>
      <c r="D133" t="s">
        <v>308</v>
      </c>
      <c r="E133" t="s">
        <v>348</v>
      </c>
      <c r="F133">
        <v>5</v>
      </c>
      <c r="G133" t="s">
        <v>10</v>
      </c>
      <c r="H133" t="s">
        <v>17</v>
      </c>
      <c r="I133" t="s">
        <v>335</v>
      </c>
      <c r="J133" t="str">
        <f>_xlfn.XLOOKUP(E133, Product_Master!$A$2:$A$101, Product_Master!$C$2:$C$101)</f>
        <v>Accessories</v>
      </c>
      <c r="K133">
        <f>_xlfn.XLOOKUP(E133, Product_Master!$A$2:$A$101, Product_Master!$D$2:$D$101)</f>
        <v>900</v>
      </c>
      <c r="L133">
        <f>_xlfn.XLOOKUP(E133, Product_Master!$A$2:$A$101, Product_Master!$E$2:$E$101)</f>
        <v>1500</v>
      </c>
      <c r="M133">
        <f t="shared" si="11"/>
        <v>7500</v>
      </c>
      <c r="N133">
        <f t="shared" si="12"/>
        <v>4500</v>
      </c>
      <c r="O133">
        <f t="shared" si="13"/>
        <v>3000</v>
      </c>
      <c r="P133" s="3">
        <f t="shared" si="14"/>
        <v>0.4</v>
      </c>
      <c r="Q133" s="3" t="str">
        <v>High Profit</v>
      </c>
    </row>
    <row r="134" spans="1:17" x14ac:dyDescent="0.3">
      <c r="A134" t="s">
        <v>581</v>
      </c>
      <c r="B134" s="2">
        <v>45782</v>
      </c>
      <c r="C134" s="2" t="str">
        <f t="shared" si="10"/>
        <v>May</v>
      </c>
      <c r="D134" t="s">
        <v>309</v>
      </c>
      <c r="E134" t="s">
        <v>341</v>
      </c>
      <c r="F134">
        <v>2</v>
      </c>
      <c r="G134" t="s">
        <v>4</v>
      </c>
      <c r="H134" t="s">
        <v>39</v>
      </c>
      <c r="I134" t="s">
        <v>329</v>
      </c>
      <c r="J134" t="str">
        <f>_xlfn.XLOOKUP(E134, Product_Master!$A$2:$A$101, Product_Master!$C$2:$C$101)</f>
        <v>Electronics</v>
      </c>
      <c r="K134">
        <f>_xlfn.XLOOKUP(E134, Product_Master!$A$2:$A$101, Product_Master!$D$2:$D$101)</f>
        <v>20000</v>
      </c>
      <c r="L134">
        <f>_xlfn.XLOOKUP(E134, Product_Master!$A$2:$A$101, Product_Master!$E$2:$E$101)</f>
        <v>25000</v>
      </c>
      <c r="M134">
        <f t="shared" si="11"/>
        <v>50000</v>
      </c>
      <c r="N134">
        <f t="shared" si="12"/>
        <v>40000</v>
      </c>
      <c r="O134">
        <f t="shared" si="13"/>
        <v>10000</v>
      </c>
      <c r="P134" s="3">
        <f t="shared" si="14"/>
        <v>0.2</v>
      </c>
      <c r="Q134" s="3" t="str">
        <v>Low Profit</v>
      </c>
    </row>
    <row r="135" spans="1:17" x14ac:dyDescent="0.3">
      <c r="A135" t="s">
        <v>582</v>
      </c>
      <c r="B135" s="2">
        <v>45898</v>
      </c>
      <c r="C135" s="2" t="str">
        <f t="shared" si="10"/>
        <v>August</v>
      </c>
      <c r="D135" t="s">
        <v>255</v>
      </c>
      <c r="E135" t="s">
        <v>347</v>
      </c>
      <c r="F135">
        <v>2</v>
      </c>
      <c r="G135" t="s">
        <v>29</v>
      </c>
      <c r="H135" t="s">
        <v>20</v>
      </c>
      <c r="I135" t="s">
        <v>335</v>
      </c>
      <c r="J135" t="str">
        <f>_xlfn.XLOOKUP(E135, Product_Master!$A$2:$A$101, Product_Master!$C$2:$C$101)</f>
        <v>Accessories</v>
      </c>
      <c r="K135">
        <f>_xlfn.XLOOKUP(E135, Product_Master!$A$2:$A$101, Product_Master!$D$2:$D$101)</f>
        <v>900</v>
      </c>
      <c r="L135">
        <f>_xlfn.XLOOKUP(E135, Product_Master!$A$2:$A$101, Product_Master!$E$2:$E$101)</f>
        <v>1500</v>
      </c>
      <c r="M135">
        <f t="shared" si="11"/>
        <v>3000</v>
      </c>
      <c r="N135">
        <f t="shared" si="12"/>
        <v>1800</v>
      </c>
      <c r="O135">
        <f t="shared" si="13"/>
        <v>1200</v>
      </c>
      <c r="P135" s="3">
        <f t="shared" si="14"/>
        <v>0.4</v>
      </c>
      <c r="Q135" s="3" t="str">
        <v>High Profit</v>
      </c>
    </row>
    <row r="136" spans="1:17" x14ac:dyDescent="0.3">
      <c r="A136" t="s">
        <v>583</v>
      </c>
      <c r="B136" s="2">
        <v>45700</v>
      </c>
      <c r="C136" s="2" t="str">
        <f t="shared" si="10"/>
        <v>February</v>
      </c>
      <c r="D136" t="s">
        <v>208</v>
      </c>
      <c r="E136" t="s">
        <v>338</v>
      </c>
      <c r="F136">
        <v>1</v>
      </c>
      <c r="G136" t="s">
        <v>22</v>
      </c>
      <c r="H136" t="s">
        <v>17</v>
      </c>
      <c r="I136" t="s">
        <v>332</v>
      </c>
      <c r="J136" t="str">
        <f>_xlfn.XLOOKUP(E136, Product_Master!$A$2:$A$101, Product_Master!$C$2:$C$101)</f>
        <v>Accessories</v>
      </c>
      <c r="K136">
        <f>_xlfn.XLOOKUP(E136, Product_Master!$A$2:$A$101, Product_Master!$D$2:$D$101)</f>
        <v>500</v>
      </c>
      <c r="L136">
        <f>_xlfn.XLOOKUP(E136, Product_Master!$A$2:$A$101, Product_Master!$E$2:$E$101)</f>
        <v>800</v>
      </c>
      <c r="M136">
        <f t="shared" si="11"/>
        <v>800</v>
      </c>
      <c r="N136">
        <f t="shared" si="12"/>
        <v>500</v>
      </c>
      <c r="O136">
        <f t="shared" si="13"/>
        <v>300</v>
      </c>
      <c r="P136" s="3">
        <f t="shared" si="14"/>
        <v>0.375</v>
      </c>
      <c r="Q136" s="3" t="str">
        <v>High Profit</v>
      </c>
    </row>
    <row r="137" spans="1:17" x14ac:dyDescent="0.3">
      <c r="A137" t="s">
        <v>584</v>
      </c>
      <c r="B137" s="2">
        <v>45783</v>
      </c>
      <c r="C137" s="2" t="str">
        <f t="shared" si="10"/>
        <v>May</v>
      </c>
      <c r="D137" t="s">
        <v>68</v>
      </c>
      <c r="E137" t="s">
        <v>348</v>
      </c>
      <c r="F137">
        <v>3</v>
      </c>
      <c r="G137" t="s">
        <v>29</v>
      </c>
      <c r="H137" t="s">
        <v>27</v>
      </c>
      <c r="I137" t="s">
        <v>335</v>
      </c>
      <c r="J137" t="str">
        <f>_xlfn.XLOOKUP(E137, Product_Master!$A$2:$A$101, Product_Master!$C$2:$C$101)</f>
        <v>Accessories</v>
      </c>
      <c r="K137">
        <f>_xlfn.XLOOKUP(E137, Product_Master!$A$2:$A$101, Product_Master!$D$2:$D$101)</f>
        <v>900</v>
      </c>
      <c r="L137">
        <f>_xlfn.XLOOKUP(E137, Product_Master!$A$2:$A$101, Product_Master!$E$2:$E$101)</f>
        <v>1500</v>
      </c>
      <c r="M137">
        <f t="shared" si="11"/>
        <v>4500</v>
      </c>
      <c r="N137">
        <f t="shared" si="12"/>
        <v>2700</v>
      </c>
      <c r="O137">
        <f t="shared" si="13"/>
        <v>1800</v>
      </c>
      <c r="P137" s="3">
        <f t="shared" si="14"/>
        <v>0.4</v>
      </c>
      <c r="Q137" s="3" t="str">
        <v>High Profit</v>
      </c>
    </row>
    <row r="138" spans="1:17" x14ac:dyDescent="0.3">
      <c r="A138" t="s">
        <v>585</v>
      </c>
      <c r="B138" s="2">
        <v>45658</v>
      </c>
      <c r="C138" s="2" t="str">
        <f t="shared" si="10"/>
        <v>January</v>
      </c>
      <c r="D138" t="s">
        <v>177</v>
      </c>
      <c r="E138" t="s">
        <v>389</v>
      </c>
      <c r="F138">
        <v>4</v>
      </c>
      <c r="G138" t="s">
        <v>22</v>
      </c>
      <c r="H138" t="s">
        <v>27</v>
      </c>
      <c r="I138" t="s">
        <v>337</v>
      </c>
      <c r="J138" t="str">
        <f>_xlfn.XLOOKUP(E138, Product_Master!$A$2:$A$101, Product_Master!$C$2:$C$101)</f>
        <v>Electronics</v>
      </c>
      <c r="K138">
        <f>_xlfn.XLOOKUP(E138, Product_Master!$A$2:$A$101, Product_Master!$D$2:$D$101)</f>
        <v>15000</v>
      </c>
      <c r="L138">
        <f>_xlfn.XLOOKUP(E138, Product_Master!$A$2:$A$101, Product_Master!$E$2:$E$101)</f>
        <v>18000</v>
      </c>
      <c r="M138">
        <f t="shared" si="11"/>
        <v>72000</v>
      </c>
      <c r="N138">
        <f t="shared" si="12"/>
        <v>60000</v>
      </c>
      <c r="O138">
        <f t="shared" si="13"/>
        <v>12000</v>
      </c>
      <c r="P138" s="3">
        <f t="shared" si="14"/>
        <v>0.16666666666666666</v>
      </c>
      <c r="Q138" s="3" t="str">
        <v>Low Profit</v>
      </c>
    </row>
    <row r="139" spans="1:17" x14ac:dyDescent="0.3">
      <c r="A139" t="s">
        <v>586</v>
      </c>
      <c r="B139" s="2">
        <v>45950</v>
      </c>
      <c r="C139" s="2" t="str">
        <f t="shared" si="10"/>
        <v>October</v>
      </c>
      <c r="D139" t="s">
        <v>292</v>
      </c>
      <c r="E139" t="s">
        <v>356</v>
      </c>
      <c r="F139">
        <v>1</v>
      </c>
      <c r="G139" t="s">
        <v>45</v>
      </c>
      <c r="H139" t="s">
        <v>8</v>
      </c>
      <c r="I139" t="s">
        <v>340</v>
      </c>
      <c r="J139" t="str">
        <f>_xlfn.XLOOKUP(E139, Product_Master!$A$2:$A$101, Product_Master!$C$2:$C$101)</f>
        <v>Electronics</v>
      </c>
      <c r="K139">
        <f>_xlfn.XLOOKUP(E139, Product_Master!$A$2:$A$101, Product_Master!$D$2:$D$101)</f>
        <v>42000</v>
      </c>
      <c r="L139">
        <f>_xlfn.XLOOKUP(E139, Product_Master!$A$2:$A$101, Product_Master!$E$2:$E$101)</f>
        <v>50000</v>
      </c>
      <c r="M139">
        <f t="shared" si="11"/>
        <v>50000</v>
      </c>
      <c r="N139">
        <f t="shared" si="12"/>
        <v>42000</v>
      </c>
      <c r="O139">
        <f t="shared" si="13"/>
        <v>8000</v>
      </c>
      <c r="P139" s="3">
        <f t="shared" si="14"/>
        <v>0.16</v>
      </c>
      <c r="Q139" s="3" t="str">
        <v>Low Profit</v>
      </c>
    </row>
    <row r="140" spans="1:17" x14ac:dyDescent="0.3">
      <c r="A140" t="s">
        <v>587</v>
      </c>
      <c r="B140" s="2">
        <v>45955</v>
      </c>
      <c r="C140" s="2" t="str">
        <f t="shared" si="10"/>
        <v>October</v>
      </c>
      <c r="D140" t="s">
        <v>129</v>
      </c>
      <c r="E140" t="s">
        <v>442</v>
      </c>
      <c r="F140">
        <v>4</v>
      </c>
      <c r="G140" t="s">
        <v>16</v>
      </c>
      <c r="H140" t="s">
        <v>20</v>
      </c>
      <c r="I140" t="s">
        <v>335</v>
      </c>
      <c r="J140" t="str">
        <f>_xlfn.XLOOKUP(E140, Product_Master!$A$2:$A$101, Product_Master!$C$2:$C$101)</f>
        <v>Accessories</v>
      </c>
      <c r="K140">
        <f>_xlfn.XLOOKUP(E140, Product_Master!$A$2:$A$101, Product_Master!$D$2:$D$101)</f>
        <v>900</v>
      </c>
      <c r="L140">
        <f>_xlfn.XLOOKUP(E140, Product_Master!$A$2:$A$101, Product_Master!$E$2:$E$101)</f>
        <v>1500</v>
      </c>
      <c r="M140">
        <f t="shared" si="11"/>
        <v>6000</v>
      </c>
      <c r="N140">
        <f t="shared" si="12"/>
        <v>3600</v>
      </c>
      <c r="O140">
        <f t="shared" si="13"/>
        <v>2400</v>
      </c>
      <c r="P140" s="3">
        <f t="shared" si="14"/>
        <v>0.4</v>
      </c>
      <c r="Q140" s="3" t="str">
        <v>High Profit</v>
      </c>
    </row>
    <row r="141" spans="1:17" x14ac:dyDescent="0.3">
      <c r="A141" t="s">
        <v>588</v>
      </c>
      <c r="B141" s="2">
        <v>45676</v>
      </c>
      <c r="C141" s="2" t="str">
        <f t="shared" si="10"/>
        <v>January</v>
      </c>
      <c r="D141" t="s">
        <v>459</v>
      </c>
      <c r="E141" t="s">
        <v>328</v>
      </c>
      <c r="F141">
        <v>1</v>
      </c>
      <c r="G141" t="s">
        <v>1454</v>
      </c>
      <c r="H141" t="s">
        <v>1455</v>
      </c>
      <c r="I141" t="s">
        <v>329</v>
      </c>
      <c r="J141" t="str">
        <f>_xlfn.XLOOKUP(E141, Product_Master!$A$2:$A$101, Product_Master!$C$2:$C$101)</f>
        <v>Electronics</v>
      </c>
      <c r="K141">
        <f>_xlfn.XLOOKUP(E141, Product_Master!$A$2:$A$101, Product_Master!$D$2:$D$101)</f>
        <v>20000</v>
      </c>
      <c r="L141">
        <f>_xlfn.XLOOKUP(E141, Product_Master!$A$2:$A$101, Product_Master!$E$2:$E$101)</f>
        <v>25000</v>
      </c>
      <c r="M141">
        <f t="shared" si="11"/>
        <v>25000</v>
      </c>
      <c r="N141">
        <f t="shared" si="12"/>
        <v>20000</v>
      </c>
      <c r="O141">
        <f t="shared" si="13"/>
        <v>5000</v>
      </c>
      <c r="P141" s="3">
        <f t="shared" si="14"/>
        <v>0.2</v>
      </c>
      <c r="Q141" s="3" t="str">
        <v>Low Profit</v>
      </c>
    </row>
    <row r="142" spans="1:17" x14ac:dyDescent="0.3">
      <c r="A142" t="s">
        <v>589</v>
      </c>
      <c r="B142" s="2">
        <v>45971</v>
      </c>
      <c r="C142" s="2" t="str">
        <f t="shared" si="10"/>
        <v>November</v>
      </c>
      <c r="D142" t="s">
        <v>208</v>
      </c>
      <c r="E142" t="s">
        <v>376</v>
      </c>
      <c r="F142">
        <v>2</v>
      </c>
      <c r="G142" t="s">
        <v>22</v>
      </c>
      <c r="H142" t="s">
        <v>17</v>
      </c>
      <c r="I142" t="s">
        <v>353</v>
      </c>
      <c r="J142" t="str">
        <f>_xlfn.XLOOKUP(E142, Product_Master!$A$2:$A$101, Product_Master!$C$2:$C$101)</f>
        <v>Electronics</v>
      </c>
      <c r="K142">
        <f>_xlfn.XLOOKUP(E142, Product_Master!$A$2:$A$101, Product_Master!$D$2:$D$101)</f>
        <v>12000</v>
      </c>
      <c r="L142">
        <f>_xlfn.XLOOKUP(E142, Product_Master!$A$2:$A$101, Product_Master!$E$2:$E$101)</f>
        <v>15000</v>
      </c>
      <c r="M142">
        <f t="shared" si="11"/>
        <v>30000</v>
      </c>
      <c r="N142">
        <f t="shared" si="12"/>
        <v>24000</v>
      </c>
      <c r="O142">
        <f t="shared" si="13"/>
        <v>6000</v>
      </c>
      <c r="P142" s="3">
        <f t="shared" si="14"/>
        <v>0.2</v>
      </c>
      <c r="Q142" s="3" t="str">
        <v>Low Profit</v>
      </c>
    </row>
    <row r="143" spans="1:17" x14ac:dyDescent="0.3">
      <c r="A143" t="s">
        <v>590</v>
      </c>
      <c r="B143" s="2">
        <v>45666</v>
      </c>
      <c r="C143" s="2" t="str">
        <f t="shared" si="10"/>
        <v>January</v>
      </c>
      <c r="D143" t="s">
        <v>18</v>
      </c>
      <c r="E143" t="s">
        <v>415</v>
      </c>
      <c r="F143">
        <v>2</v>
      </c>
      <c r="G143" t="s">
        <v>19</v>
      </c>
      <c r="H143" t="s">
        <v>20</v>
      </c>
      <c r="I143" t="s">
        <v>329</v>
      </c>
      <c r="J143" t="str">
        <f>_xlfn.XLOOKUP(E143, Product_Master!$A$2:$A$101, Product_Master!$C$2:$C$101)</f>
        <v>Electronics</v>
      </c>
      <c r="K143">
        <f>_xlfn.XLOOKUP(E143, Product_Master!$A$2:$A$101, Product_Master!$D$2:$D$101)</f>
        <v>20000</v>
      </c>
      <c r="L143">
        <f>_xlfn.XLOOKUP(E143, Product_Master!$A$2:$A$101, Product_Master!$E$2:$E$101)</f>
        <v>25000</v>
      </c>
      <c r="M143">
        <f t="shared" si="11"/>
        <v>50000</v>
      </c>
      <c r="N143">
        <f t="shared" si="12"/>
        <v>40000</v>
      </c>
      <c r="O143">
        <f t="shared" si="13"/>
        <v>10000</v>
      </c>
      <c r="P143" s="3">
        <f t="shared" si="14"/>
        <v>0.2</v>
      </c>
      <c r="Q143" s="3" t="str">
        <v>Low Profit</v>
      </c>
    </row>
    <row r="144" spans="1:17" x14ac:dyDescent="0.3">
      <c r="A144" t="s">
        <v>591</v>
      </c>
      <c r="B144" s="2">
        <v>45740</v>
      </c>
      <c r="C144" s="2" t="str">
        <f t="shared" si="10"/>
        <v>March</v>
      </c>
      <c r="D144" t="s">
        <v>246</v>
      </c>
      <c r="E144" t="s">
        <v>428</v>
      </c>
      <c r="F144">
        <v>1</v>
      </c>
      <c r="G144" t="s">
        <v>4</v>
      </c>
      <c r="H144" t="s">
        <v>17</v>
      </c>
      <c r="I144" t="s">
        <v>335</v>
      </c>
      <c r="J144" t="str">
        <f>_xlfn.XLOOKUP(E144, Product_Master!$A$2:$A$101, Product_Master!$C$2:$C$101)</f>
        <v>Accessories</v>
      </c>
      <c r="K144">
        <f>_xlfn.XLOOKUP(E144, Product_Master!$A$2:$A$101, Product_Master!$D$2:$D$101)</f>
        <v>900</v>
      </c>
      <c r="L144">
        <f>_xlfn.XLOOKUP(E144, Product_Master!$A$2:$A$101, Product_Master!$E$2:$E$101)</f>
        <v>1500</v>
      </c>
      <c r="M144">
        <f t="shared" si="11"/>
        <v>1500</v>
      </c>
      <c r="N144">
        <f t="shared" si="12"/>
        <v>900</v>
      </c>
      <c r="O144">
        <f t="shared" si="13"/>
        <v>600</v>
      </c>
      <c r="P144" s="3">
        <f t="shared" si="14"/>
        <v>0.4</v>
      </c>
      <c r="Q144" s="3" t="str">
        <v>High Profit</v>
      </c>
    </row>
    <row r="145" spans="1:17" x14ac:dyDescent="0.3">
      <c r="A145" t="s">
        <v>592</v>
      </c>
      <c r="B145" s="2">
        <v>45875</v>
      </c>
      <c r="C145" s="2" t="str">
        <f t="shared" si="10"/>
        <v>August</v>
      </c>
      <c r="D145" t="s">
        <v>459</v>
      </c>
      <c r="E145" t="s">
        <v>339</v>
      </c>
      <c r="F145">
        <v>3</v>
      </c>
      <c r="G145" t="s">
        <v>1454</v>
      </c>
      <c r="H145" t="s">
        <v>1455</v>
      </c>
      <c r="I145" t="s">
        <v>340</v>
      </c>
      <c r="J145" t="str">
        <f>_xlfn.XLOOKUP(E145, Product_Master!$A$2:$A$101, Product_Master!$C$2:$C$101)</f>
        <v>Electronics</v>
      </c>
      <c r="K145">
        <f>_xlfn.XLOOKUP(E145, Product_Master!$A$2:$A$101, Product_Master!$D$2:$D$101)</f>
        <v>42000</v>
      </c>
      <c r="L145">
        <f>_xlfn.XLOOKUP(E145, Product_Master!$A$2:$A$101, Product_Master!$E$2:$E$101)</f>
        <v>50000</v>
      </c>
      <c r="M145">
        <f t="shared" si="11"/>
        <v>150000</v>
      </c>
      <c r="N145">
        <f t="shared" si="12"/>
        <v>126000</v>
      </c>
      <c r="O145">
        <f t="shared" si="13"/>
        <v>24000</v>
      </c>
      <c r="P145" s="3">
        <f t="shared" si="14"/>
        <v>0.16</v>
      </c>
      <c r="Q145" s="3" t="str">
        <v>Low Profit</v>
      </c>
    </row>
    <row r="146" spans="1:17" x14ac:dyDescent="0.3">
      <c r="A146" t="s">
        <v>593</v>
      </c>
      <c r="B146" s="2">
        <v>45835</v>
      </c>
      <c r="C146" s="2" t="str">
        <f t="shared" si="10"/>
        <v>June</v>
      </c>
      <c r="D146" t="s">
        <v>83</v>
      </c>
      <c r="E146" t="s">
        <v>375</v>
      </c>
      <c r="F146">
        <v>3</v>
      </c>
      <c r="G146" t="s">
        <v>7</v>
      </c>
      <c r="H146" t="s">
        <v>8</v>
      </c>
      <c r="I146" t="s">
        <v>329</v>
      </c>
      <c r="J146" t="str">
        <f>_xlfn.XLOOKUP(E146, Product_Master!$A$2:$A$101, Product_Master!$C$2:$C$101)</f>
        <v>Electronics</v>
      </c>
      <c r="K146">
        <f>_xlfn.XLOOKUP(E146, Product_Master!$A$2:$A$101, Product_Master!$D$2:$D$101)</f>
        <v>20000</v>
      </c>
      <c r="L146">
        <f>_xlfn.XLOOKUP(E146, Product_Master!$A$2:$A$101, Product_Master!$E$2:$E$101)</f>
        <v>25000</v>
      </c>
      <c r="M146">
        <f t="shared" si="11"/>
        <v>75000</v>
      </c>
      <c r="N146">
        <f t="shared" si="12"/>
        <v>60000</v>
      </c>
      <c r="O146">
        <f t="shared" si="13"/>
        <v>15000</v>
      </c>
      <c r="P146" s="3">
        <f t="shared" si="14"/>
        <v>0.2</v>
      </c>
      <c r="Q146" s="3" t="str">
        <v>Low Profit</v>
      </c>
    </row>
    <row r="147" spans="1:17" x14ac:dyDescent="0.3">
      <c r="A147" t="s">
        <v>594</v>
      </c>
      <c r="B147" s="2">
        <v>45896</v>
      </c>
      <c r="C147" s="2" t="str">
        <f t="shared" si="10"/>
        <v>August</v>
      </c>
      <c r="D147" t="s">
        <v>195</v>
      </c>
      <c r="E147" t="s">
        <v>407</v>
      </c>
      <c r="F147">
        <v>1</v>
      </c>
      <c r="G147" t="s">
        <v>12</v>
      </c>
      <c r="H147" t="s">
        <v>17</v>
      </c>
      <c r="I147" t="s">
        <v>329</v>
      </c>
      <c r="J147" t="str">
        <f>_xlfn.XLOOKUP(E147, Product_Master!$A$2:$A$101, Product_Master!$C$2:$C$101)</f>
        <v>Electronics</v>
      </c>
      <c r="K147">
        <f>_xlfn.XLOOKUP(E147, Product_Master!$A$2:$A$101, Product_Master!$D$2:$D$101)</f>
        <v>20000</v>
      </c>
      <c r="L147">
        <f>_xlfn.XLOOKUP(E147, Product_Master!$A$2:$A$101, Product_Master!$E$2:$E$101)</f>
        <v>25000</v>
      </c>
      <c r="M147">
        <f t="shared" si="11"/>
        <v>25000</v>
      </c>
      <c r="N147">
        <f t="shared" si="12"/>
        <v>20000</v>
      </c>
      <c r="O147">
        <f t="shared" si="13"/>
        <v>5000</v>
      </c>
      <c r="P147" s="3">
        <f t="shared" si="14"/>
        <v>0.2</v>
      </c>
      <c r="Q147" s="3" t="str">
        <v>Low Profit</v>
      </c>
    </row>
    <row r="148" spans="1:17" x14ac:dyDescent="0.3">
      <c r="A148" t="s">
        <v>595</v>
      </c>
      <c r="B148" s="2">
        <v>45786</v>
      </c>
      <c r="C148" s="2" t="str">
        <f t="shared" si="10"/>
        <v>May</v>
      </c>
      <c r="D148" t="s">
        <v>97</v>
      </c>
      <c r="E148" t="s">
        <v>366</v>
      </c>
      <c r="F148">
        <v>5</v>
      </c>
      <c r="G148" t="s">
        <v>12</v>
      </c>
      <c r="H148" t="s">
        <v>14</v>
      </c>
      <c r="I148" t="s">
        <v>340</v>
      </c>
      <c r="J148" t="str">
        <f>_xlfn.XLOOKUP(E148, Product_Master!$A$2:$A$101, Product_Master!$C$2:$C$101)</f>
        <v>Electronics</v>
      </c>
      <c r="K148">
        <f>_xlfn.XLOOKUP(E148, Product_Master!$A$2:$A$101, Product_Master!$D$2:$D$101)</f>
        <v>42000</v>
      </c>
      <c r="L148">
        <f>_xlfn.XLOOKUP(E148, Product_Master!$A$2:$A$101, Product_Master!$E$2:$E$101)</f>
        <v>50000</v>
      </c>
      <c r="M148">
        <f t="shared" si="11"/>
        <v>250000</v>
      </c>
      <c r="N148">
        <f t="shared" si="12"/>
        <v>210000</v>
      </c>
      <c r="O148">
        <f t="shared" si="13"/>
        <v>40000</v>
      </c>
      <c r="P148" s="3">
        <f t="shared" si="14"/>
        <v>0.16</v>
      </c>
      <c r="Q148" s="3" t="str">
        <v>Low Profit</v>
      </c>
    </row>
    <row r="149" spans="1:17" x14ac:dyDescent="0.3">
      <c r="A149" t="s">
        <v>596</v>
      </c>
      <c r="B149" s="2">
        <v>45678</v>
      </c>
      <c r="C149" s="2" t="str">
        <f t="shared" si="10"/>
        <v>January</v>
      </c>
      <c r="D149" t="s">
        <v>228</v>
      </c>
      <c r="E149" t="s">
        <v>348</v>
      </c>
      <c r="F149">
        <v>3</v>
      </c>
      <c r="G149" t="s">
        <v>47</v>
      </c>
      <c r="H149" t="s">
        <v>20</v>
      </c>
      <c r="I149" t="s">
        <v>335</v>
      </c>
      <c r="J149" t="str">
        <f>_xlfn.XLOOKUP(E149, Product_Master!$A$2:$A$101, Product_Master!$C$2:$C$101)</f>
        <v>Accessories</v>
      </c>
      <c r="K149">
        <f>_xlfn.XLOOKUP(E149, Product_Master!$A$2:$A$101, Product_Master!$D$2:$D$101)</f>
        <v>900</v>
      </c>
      <c r="L149">
        <f>_xlfn.XLOOKUP(E149, Product_Master!$A$2:$A$101, Product_Master!$E$2:$E$101)</f>
        <v>1500</v>
      </c>
      <c r="M149">
        <f t="shared" si="11"/>
        <v>4500</v>
      </c>
      <c r="N149">
        <f t="shared" si="12"/>
        <v>2700</v>
      </c>
      <c r="O149">
        <f t="shared" si="13"/>
        <v>1800</v>
      </c>
      <c r="P149" s="3">
        <f t="shared" si="14"/>
        <v>0.4</v>
      </c>
      <c r="Q149" s="3" t="str">
        <v>High Profit</v>
      </c>
    </row>
    <row r="150" spans="1:17" x14ac:dyDescent="0.3">
      <c r="A150" t="s">
        <v>597</v>
      </c>
      <c r="B150" s="2">
        <v>45930</v>
      </c>
      <c r="C150" s="2" t="str">
        <f t="shared" si="10"/>
        <v>September</v>
      </c>
      <c r="D150" t="s">
        <v>178</v>
      </c>
      <c r="E150" t="s">
        <v>388</v>
      </c>
      <c r="F150">
        <v>3</v>
      </c>
      <c r="G150" t="s">
        <v>37</v>
      </c>
      <c r="H150" t="s">
        <v>20</v>
      </c>
      <c r="I150" t="s">
        <v>344</v>
      </c>
      <c r="J150" t="str">
        <f>_xlfn.XLOOKUP(E150, Product_Master!$A$2:$A$101, Product_Master!$C$2:$C$101)</f>
        <v>Accessories</v>
      </c>
      <c r="K150">
        <f>_xlfn.XLOOKUP(E150, Product_Master!$A$2:$A$101, Product_Master!$D$2:$D$101)</f>
        <v>2000</v>
      </c>
      <c r="L150">
        <f>_xlfn.XLOOKUP(E150, Product_Master!$A$2:$A$101, Product_Master!$E$2:$E$101)</f>
        <v>3000</v>
      </c>
      <c r="M150">
        <f t="shared" si="11"/>
        <v>9000</v>
      </c>
      <c r="N150">
        <f t="shared" si="12"/>
        <v>6000</v>
      </c>
      <c r="O150">
        <f t="shared" si="13"/>
        <v>3000</v>
      </c>
      <c r="P150" s="3">
        <f t="shared" si="14"/>
        <v>0.33333333333333331</v>
      </c>
      <c r="Q150" s="3" t="str">
        <v>High Profit</v>
      </c>
    </row>
    <row r="151" spans="1:17" x14ac:dyDescent="0.3">
      <c r="A151" t="s">
        <v>598</v>
      </c>
      <c r="B151" s="2">
        <v>45728</v>
      </c>
      <c r="C151" s="2" t="str">
        <f t="shared" si="10"/>
        <v>March</v>
      </c>
      <c r="D151" t="s">
        <v>96</v>
      </c>
      <c r="E151" t="s">
        <v>443</v>
      </c>
      <c r="F151">
        <v>5</v>
      </c>
      <c r="G151" t="s">
        <v>4</v>
      </c>
      <c r="H151" t="s">
        <v>31</v>
      </c>
      <c r="I151" t="s">
        <v>344</v>
      </c>
      <c r="J151" t="str">
        <f>_xlfn.XLOOKUP(E151, Product_Master!$A$2:$A$101, Product_Master!$C$2:$C$101)</f>
        <v>Accessories</v>
      </c>
      <c r="K151">
        <f>_xlfn.XLOOKUP(E151, Product_Master!$A$2:$A$101, Product_Master!$D$2:$D$101)</f>
        <v>2000</v>
      </c>
      <c r="L151">
        <f>_xlfn.XLOOKUP(E151, Product_Master!$A$2:$A$101, Product_Master!$E$2:$E$101)</f>
        <v>3000</v>
      </c>
      <c r="M151">
        <f t="shared" si="11"/>
        <v>15000</v>
      </c>
      <c r="N151">
        <f t="shared" si="12"/>
        <v>10000</v>
      </c>
      <c r="O151">
        <f t="shared" si="13"/>
        <v>5000</v>
      </c>
      <c r="P151" s="3">
        <f t="shared" si="14"/>
        <v>0.33333333333333331</v>
      </c>
      <c r="Q151" s="3" t="str">
        <v>High Profit</v>
      </c>
    </row>
    <row r="152" spans="1:17" x14ac:dyDescent="0.3">
      <c r="A152" t="s">
        <v>599</v>
      </c>
      <c r="B152" s="2">
        <v>45814</v>
      </c>
      <c r="C152" s="2" t="str">
        <f t="shared" si="10"/>
        <v>June</v>
      </c>
      <c r="D152" t="s">
        <v>312</v>
      </c>
      <c r="E152" t="s">
        <v>442</v>
      </c>
      <c r="F152">
        <v>2</v>
      </c>
      <c r="G152" t="s">
        <v>4</v>
      </c>
      <c r="H152" t="s">
        <v>5</v>
      </c>
      <c r="I152" t="s">
        <v>335</v>
      </c>
      <c r="J152" t="str">
        <f>_xlfn.XLOOKUP(E152, Product_Master!$A$2:$A$101, Product_Master!$C$2:$C$101)</f>
        <v>Accessories</v>
      </c>
      <c r="K152">
        <f>_xlfn.XLOOKUP(E152, Product_Master!$A$2:$A$101, Product_Master!$D$2:$D$101)</f>
        <v>900</v>
      </c>
      <c r="L152">
        <f>_xlfn.XLOOKUP(E152, Product_Master!$A$2:$A$101, Product_Master!$E$2:$E$101)</f>
        <v>1500</v>
      </c>
      <c r="M152">
        <f t="shared" si="11"/>
        <v>3000</v>
      </c>
      <c r="N152">
        <f t="shared" si="12"/>
        <v>1800</v>
      </c>
      <c r="O152">
        <f t="shared" si="13"/>
        <v>1200</v>
      </c>
      <c r="P152" s="3">
        <f t="shared" si="14"/>
        <v>0.4</v>
      </c>
      <c r="Q152" s="3" t="str">
        <v>High Profit</v>
      </c>
    </row>
    <row r="153" spans="1:17" x14ac:dyDescent="0.3">
      <c r="A153" t="s">
        <v>600</v>
      </c>
      <c r="B153" s="2">
        <v>46002</v>
      </c>
      <c r="C153" s="2" t="str">
        <f t="shared" si="10"/>
        <v>December</v>
      </c>
      <c r="D153" t="s">
        <v>231</v>
      </c>
      <c r="E153" t="s">
        <v>360</v>
      </c>
      <c r="F153">
        <v>5</v>
      </c>
      <c r="G153" t="s">
        <v>16</v>
      </c>
      <c r="H153" t="s">
        <v>31</v>
      </c>
      <c r="I153" t="s">
        <v>340</v>
      </c>
      <c r="J153" t="str">
        <f>_xlfn.XLOOKUP(E153, Product_Master!$A$2:$A$101, Product_Master!$C$2:$C$101)</f>
        <v>Electronics</v>
      </c>
      <c r="K153">
        <f>_xlfn.XLOOKUP(E153, Product_Master!$A$2:$A$101, Product_Master!$D$2:$D$101)</f>
        <v>42000</v>
      </c>
      <c r="L153">
        <f>_xlfn.XLOOKUP(E153, Product_Master!$A$2:$A$101, Product_Master!$E$2:$E$101)</f>
        <v>50000</v>
      </c>
      <c r="M153">
        <f t="shared" si="11"/>
        <v>250000</v>
      </c>
      <c r="N153">
        <f t="shared" si="12"/>
        <v>210000</v>
      </c>
      <c r="O153">
        <f t="shared" si="13"/>
        <v>40000</v>
      </c>
      <c r="P153" s="3">
        <f t="shared" si="14"/>
        <v>0.16</v>
      </c>
      <c r="Q153" s="3" t="str">
        <v>Low Profit</v>
      </c>
    </row>
    <row r="154" spans="1:17" x14ac:dyDescent="0.3">
      <c r="A154" t="s">
        <v>601</v>
      </c>
      <c r="B154" s="2">
        <v>45684</v>
      </c>
      <c r="C154" s="2" t="str">
        <f t="shared" si="10"/>
        <v>January</v>
      </c>
      <c r="D154" t="s">
        <v>78</v>
      </c>
      <c r="E154" t="s">
        <v>349</v>
      </c>
      <c r="F154">
        <v>5</v>
      </c>
      <c r="G154" t="s">
        <v>7</v>
      </c>
      <c r="H154" t="s">
        <v>39</v>
      </c>
      <c r="I154" t="s">
        <v>346</v>
      </c>
      <c r="J154" t="str">
        <f>_xlfn.XLOOKUP(E154, Product_Master!$A$2:$A$101, Product_Master!$C$2:$C$101)</f>
        <v>Accessories</v>
      </c>
      <c r="K154">
        <f>_xlfn.XLOOKUP(E154, Product_Master!$A$2:$A$101, Product_Master!$D$2:$D$101)</f>
        <v>9000</v>
      </c>
      <c r="L154">
        <f>_xlfn.XLOOKUP(E154, Product_Master!$A$2:$A$101, Product_Master!$E$2:$E$101)</f>
        <v>12000</v>
      </c>
      <c r="M154">
        <f t="shared" si="11"/>
        <v>60000</v>
      </c>
      <c r="N154">
        <f t="shared" si="12"/>
        <v>45000</v>
      </c>
      <c r="O154">
        <f t="shared" si="13"/>
        <v>15000</v>
      </c>
      <c r="P154" s="3">
        <f t="shared" si="14"/>
        <v>0.25</v>
      </c>
      <c r="Q154" s="3" t="str">
        <v>High Profit</v>
      </c>
    </row>
    <row r="155" spans="1:17" x14ac:dyDescent="0.3">
      <c r="A155" t="s">
        <v>602</v>
      </c>
      <c r="B155" s="2">
        <v>45824</v>
      </c>
      <c r="C155" s="2" t="str">
        <f t="shared" si="10"/>
        <v>June</v>
      </c>
      <c r="D155" t="s">
        <v>98</v>
      </c>
      <c r="E155" t="s">
        <v>428</v>
      </c>
      <c r="F155">
        <v>5</v>
      </c>
      <c r="G155" t="s">
        <v>29</v>
      </c>
      <c r="H155" t="s">
        <v>14</v>
      </c>
      <c r="I155" t="s">
        <v>335</v>
      </c>
      <c r="J155" t="str">
        <f>_xlfn.XLOOKUP(E155, Product_Master!$A$2:$A$101, Product_Master!$C$2:$C$101)</f>
        <v>Accessories</v>
      </c>
      <c r="K155">
        <f>_xlfn.XLOOKUP(E155, Product_Master!$A$2:$A$101, Product_Master!$D$2:$D$101)</f>
        <v>900</v>
      </c>
      <c r="L155">
        <f>_xlfn.XLOOKUP(E155, Product_Master!$A$2:$A$101, Product_Master!$E$2:$E$101)</f>
        <v>1500</v>
      </c>
      <c r="M155">
        <f t="shared" si="11"/>
        <v>7500</v>
      </c>
      <c r="N155">
        <f t="shared" si="12"/>
        <v>4500</v>
      </c>
      <c r="O155">
        <f t="shared" si="13"/>
        <v>3000</v>
      </c>
      <c r="P155" s="3">
        <f t="shared" si="14"/>
        <v>0.4</v>
      </c>
      <c r="Q155" s="3" t="str">
        <v>High Profit</v>
      </c>
    </row>
    <row r="156" spans="1:17" x14ac:dyDescent="0.3">
      <c r="A156" t="s">
        <v>603</v>
      </c>
      <c r="B156" s="2">
        <v>45793</v>
      </c>
      <c r="C156" s="2" t="str">
        <f t="shared" si="10"/>
        <v>May</v>
      </c>
      <c r="D156" t="s">
        <v>208</v>
      </c>
      <c r="E156" t="s">
        <v>383</v>
      </c>
      <c r="F156">
        <v>3</v>
      </c>
      <c r="G156" t="s">
        <v>22</v>
      </c>
      <c r="H156" t="s">
        <v>17</v>
      </c>
      <c r="I156" t="s">
        <v>335</v>
      </c>
      <c r="J156" t="str">
        <f>_xlfn.XLOOKUP(E156, Product_Master!$A$2:$A$101, Product_Master!$C$2:$C$101)</f>
        <v>Accessories</v>
      </c>
      <c r="K156">
        <f>_xlfn.XLOOKUP(E156, Product_Master!$A$2:$A$101, Product_Master!$D$2:$D$101)</f>
        <v>900</v>
      </c>
      <c r="L156">
        <f>_xlfn.XLOOKUP(E156, Product_Master!$A$2:$A$101, Product_Master!$E$2:$E$101)</f>
        <v>1500</v>
      </c>
      <c r="M156">
        <f t="shared" si="11"/>
        <v>4500</v>
      </c>
      <c r="N156">
        <f t="shared" si="12"/>
        <v>2700</v>
      </c>
      <c r="O156">
        <f t="shared" si="13"/>
        <v>1800</v>
      </c>
      <c r="P156" s="3">
        <f t="shared" si="14"/>
        <v>0.4</v>
      </c>
      <c r="Q156" s="3" t="str">
        <v>High Profit</v>
      </c>
    </row>
    <row r="157" spans="1:17" x14ac:dyDescent="0.3">
      <c r="A157" t="s">
        <v>604</v>
      </c>
      <c r="B157" s="2">
        <v>45910</v>
      </c>
      <c r="C157" s="2" t="str">
        <f t="shared" si="10"/>
        <v>September</v>
      </c>
      <c r="D157" t="s">
        <v>148</v>
      </c>
      <c r="E157" t="s">
        <v>405</v>
      </c>
      <c r="F157">
        <v>3</v>
      </c>
      <c r="G157" t="s">
        <v>4</v>
      </c>
      <c r="H157" t="s">
        <v>5</v>
      </c>
      <c r="I157" t="s">
        <v>332</v>
      </c>
      <c r="J157" t="str">
        <f>_xlfn.XLOOKUP(E157, Product_Master!$A$2:$A$101, Product_Master!$C$2:$C$101)</f>
        <v>Accessories</v>
      </c>
      <c r="K157">
        <f>_xlfn.XLOOKUP(E157, Product_Master!$A$2:$A$101, Product_Master!$D$2:$D$101)</f>
        <v>500</v>
      </c>
      <c r="L157">
        <f>_xlfn.XLOOKUP(E157, Product_Master!$A$2:$A$101, Product_Master!$E$2:$E$101)</f>
        <v>800</v>
      </c>
      <c r="M157">
        <f t="shared" si="11"/>
        <v>2400</v>
      </c>
      <c r="N157">
        <f t="shared" si="12"/>
        <v>1500</v>
      </c>
      <c r="O157">
        <f t="shared" si="13"/>
        <v>900</v>
      </c>
      <c r="P157" s="3">
        <f t="shared" si="14"/>
        <v>0.375</v>
      </c>
      <c r="Q157" s="3" t="str">
        <v>High Profit</v>
      </c>
    </row>
    <row r="158" spans="1:17" x14ac:dyDescent="0.3">
      <c r="A158" t="s">
        <v>605</v>
      </c>
      <c r="B158" s="2">
        <v>45732</v>
      </c>
      <c r="C158" s="2" t="str">
        <f t="shared" si="10"/>
        <v>March</v>
      </c>
      <c r="D158" t="s">
        <v>295</v>
      </c>
      <c r="E158" t="s">
        <v>411</v>
      </c>
      <c r="F158">
        <v>4</v>
      </c>
      <c r="G158" t="s">
        <v>10</v>
      </c>
      <c r="H158" t="s">
        <v>8</v>
      </c>
      <c r="I158" t="s">
        <v>346</v>
      </c>
      <c r="J158" t="str">
        <f>_xlfn.XLOOKUP(E158, Product_Master!$A$2:$A$101, Product_Master!$C$2:$C$101)</f>
        <v>Accessories</v>
      </c>
      <c r="K158">
        <f>_xlfn.XLOOKUP(E158, Product_Master!$A$2:$A$101, Product_Master!$D$2:$D$101)</f>
        <v>9000</v>
      </c>
      <c r="L158">
        <f>_xlfn.XLOOKUP(E158, Product_Master!$A$2:$A$101, Product_Master!$E$2:$E$101)</f>
        <v>12000</v>
      </c>
      <c r="M158">
        <f t="shared" si="11"/>
        <v>48000</v>
      </c>
      <c r="N158">
        <f t="shared" si="12"/>
        <v>36000</v>
      </c>
      <c r="O158">
        <f t="shared" si="13"/>
        <v>12000</v>
      </c>
      <c r="P158" s="3">
        <f t="shared" si="14"/>
        <v>0.25</v>
      </c>
      <c r="Q158" s="3" t="str">
        <v>High Profit</v>
      </c>
    </row>
    <row r="159" spans="1:17" x14ac:dyDescent="0.3">
      <c r="A159" t="s">
        <v>606</v>
      </c>
      <c r="B159" s="2">
        <v>45684</v>
      </c>
      <c r="C159" s="2" t="str">
        <f t="shared" si="10"/>
        <v>January</v>
      </c>
      <c r="D159" t="s">
        <v>469</v>
      </c>
      <c r="E159" t="s">
        <v>354</v>
      </c>
      <c r="F159">
        <v>1</v>
      </c>
      <c r="G159" t="s">
        <v>1454</v>
      </c>
      <c r="H159" t="s">
        <v>1455</v>
      </c>
      <c r="I159" t="s">
        <v>329</v>
      </c>
      <c r="J159" t="str">
        <f>_xlfn.XLOOKUP(E159, Product_Master!$A$2:$A$101, Product_Master!$C$2:$C$101)</f>
        <v>Electronics</v>
      </c>
      <c r="K159">
        <f>_xlfn.XLOOKUP(E159, Product_Master!$A$2:$A$101, Product_Master!$D$2:$D$101)</f>
        <v>20000</v>
      </c>
      <c r="L159">
        <f>_xlfn.XLOOKUP(E159, Product_Master!$A$2:$A$101, Product_Master!$E$2:$E$101)</f>
        <v>25000</v>
      </c>
      <c r="M159">
        <f t="shared" si="11"/>
        <v>25000</v>
      </c>
      <c r="N159">
        <f t="shared" si="12"/>
        <v>20000</v>
      </c>
      <c r="O159">
        <f t="shared" si="13"/>
        <v>5000</v>
      </c>
      <c r="P159" s="3">
        <f t="shared" si="14"/>
        <v>0.2</v>
      </c>
      <c r="Q159" s="3" t="str">
        <v>Low Profit</v>
      </c>
    </row>
    <row r="160" spans="1:17" x14ac:dyDescent="0.3">
      <c r="A160" t="s">
        <v>607</v>
      </c>
      <c r="B160" s="2">
        <v>45803</v>
      </c>
      <c r="C160" s="2" t="str">
        <f t="shared" si="10"/>
        <v>May</v>
      </c>
      <c r="D160" t="s">
        <v>315</v>
      </c>
      <c r="E160" t="s">
        <v>349</v>
      </c>
      <c r="F160">
        <v>2</v>
      </c>
      <c r="G160" t="s">
        <v>29</v>
      </c>
      <c r="H160" t="s">
        <v>14</v>
      </c>
      <c r="I160" t="s">
        <v>346</v>
      </c>
      <c r="J160" t="str">
        <f>_xlfn.XLOOKUP(E160, Product_Master!$A$2:$A$101, Product_Master!$C$2:$C$101)</f>
        <v>Accessories</v>
      </c>
      <c r="K160">
        <f>_xlfn.XLOOKUP(E160, Product_Master!$A$2:$A$101, Product_Master!$D$2:$D$101)</f>
        <v>9000</v>
      </c>
      <c r="L160">
        <f>_xlfn.XLOOKUP(E160, Product_Master!$A$2:$A$101, Product_Master!$E$2:$E$101)</f>
        <v>12000</v>
      </c>
      <c r="M160">
        <f t="shared" si="11"/>
        <v>24000</v>
      </c>
      <c r="N160">
        <f t="shared" si="12"/>
        <v>18000</v>
      </c>
      <c r="O160">
        <f t="shared" si="13"/>
        <v>6000</v>
      </c>
      <c r="P160" s="3">
        <f t="shared" si="14"/>
        <v>0.25</v>
      </c>
      <c r="Q160" s="3" t="str">
        <v>High Profit</v>
      </c>
    </row>
    <row r="161" spans="1:17" x14ac:dyDescent="0.3">
      <c r="A161" t="s">
        <v>608</v>
      </c>
      <c r="B161" s="2">
        <v>45791</v>
      </c>
      <c r="C161" s="2" t="str">
        <f t="shared" si="10"/>
        <v>May</v>
      </c>
      <c r="D161" t="s">
        <v>293</v>
      </c>
      <c r="E161" t="s">
        <v>426</v>
      </c>
      <c r="F161">
        <v>5</v>
      </c>
      <c r="G161" t="s">
        <v>4</v>
      </c>
      <c r="H161" t="s">
        <v>1455</v>
      </c>
      <c r="I161" t="s">
        <v>337</v>
      </c>
      <c r="J161" t="str">
        <f>_xlfn.XLOOKUP(E161, Product_Master!$A$2:$A$101, Product_Master!$C$2:$C$101)</f>
        <v>Electronics</v>
      </c>
      <c r="K161">
        <f>_xlfn.XLOOKUP(E161, Product_Master!$A$2:$A$101, Product_Master!$D$2:$D$101)</f>
        <v>15000</v>
      </c>
      <c r="L161">
        <f>_xlfn.XLOOKUP(E161, Product_Master!$A$2:$A$101, Product_Master!$E$2:$E$101)</f>
        <v>18000</v>
      </c>
      <c r="M161">
        <f t="shared" si="11"/>
        <v>90000</v>
      </c>
      <c r="N161">
        <f t="shared" si="12"/>
        <v>75000</v>
      </c>
      <c r="O161">
        <f t="shared" si="13"/>
        <v>15000</v>
      </c>
      <c r="P161" s="3">
        <f t="shared" si="14"/>
        <v>0.16666666666666666</v>
      </c>
      <c r="Q161" s="3" t="str">
        <v>Low Profit</v>
      </c>
    </row>
    <row r="162" spans="1:17" x14ac:dyDescent="0.3">
      <c r="A162" t="s">
        <v>609</v>
      </c>
      <c r="B162" s="2">
        <v>45943</v>
      </c>
      <c r="C162" s="2" t="str">
        <f t="shared" si="10"/>
        <v>October</v>
      </c>
      <c r="D162" t="s">
        <v>205</v>
      </c>
      <c r="E162" t="s">
        <v>380</v>
      </c>
      <c r="F162">
        <v>4</v>
      </c>
      <c r="G162" t="s">
        <v>16</v>
      </c>
      <c r="H162" t="s">
        <v>17</v>
      </c>
      <c r="I162" t="s">
        <v>340</v>
      </c>
      <c r="J162" t="str">
        <f>_xlfn.XLOOKUP(E162, Product_Master!$A$2:$A$101, Product_Master!$C$2:$C$101)</f>
        <v>Electronics</v>
      </c>
      <c r="K162">
        <f>_xlfn.XLOOKUP(E162, Product_Master!$A$2:$A$101, Product_Master!$D$2:$D$101)</f>
        <v>42000</v>
      </c>
      <c r="L162">
        <f>_xlfn.XLOOKUP(E162, Product_Master!$A$2:$A$101, Product_Master!$E$2:$E$101)</f>
        <v>50000</v>
      </c>
      <c r="M162">
        <f t="shared" si="11"/>
        <v>200000</v>
      </c>
      <c r="N162">
        <f t="shared" si="12"/>
        <v>168000</v>
      </c>
      <c r="O162">
        <f t="shared" si="13"/>
        <v>32000</v>
      </c>
      <c r="P162" s="3">
        <f t="shared" si="14"/>
        <v>0.16</v>
      </c>
      <c r="Q162" s="3" t="str">
        <v>Low Profit</v>
      </c>
    </row>
    <row r="163" spans="1:17" x14ac:dyDescent="0.3">
      <c r="A163" t="s">
        <v>610</v>
      </c>
      <c r="B163" s="2">
        <v>45939</v>
      </c>
      <c r="C163" s="2" t="str">
        <f t="shared" si="10"/>
        <v>October</v>
      </c>
      <c r="D163" t="s">
        <v>231</v>
      </c>
      <c r="E163" t="s">
        <v>426</v>
      </c>
      <c r="F163">
        <v>1</v>
      </c>
      <c r="G163" t="s">
        <v>16</v>
      </c>
      <c r="H163" t="s">
        <v>31</v>
      </c>
      <c r="I163" t="s">
        <v>337</v>
      </c>
      <c r="J163" t="str">
        <f>_xlfn.XLOOKUP(E163, Product_Master!$A$2:$A$101, Product_Master!$C$2:$C$101)</f>
        <v>Electronics</v>
      </c>
      <c r="K163">
        <f>_xlfn.XLOOKUP(E163, Product_Master!$A$2:$A$101, Product_Master!$D$2:$D$101)</f>
        <v>15000</v>
      </c>
      <c r="L163">
        <f>_xlfn.XLOOKUP(E163, Product_Master!$A$2:$A$101, Product_Master!$E$2:$E$101)</f>
        <v>18000</v>
      </c>
      <c r="M163">
        <f t="shared" si="11"/>
        <v>18000</v>
      </c>
      <c r="N163">
        <f t="shared" si="12"/>
        <v>15000</v>
      </c>
      <c r="O163">
        <f t="shared" si="13"/>
        <v>3000</v>
      </c>
      <c r="P163" s="3">
        <f t="shared" si="14"/>
        <v>0.16666666666666666</v>
      </c>
      <c r="Q163" s="3" t="str">
        <v>Low Profit</v>
      </c>
    </row>
    <row r="164" spans="1:17" x14ac:dyDescent="0.3">
      <c r="A164" t="s">
        <v>611</v>
      </c>
      <c r="B164" s="2">
        <v>45999</v>
      </c>
      <c r="C164" s="2" t="str">
        <f t="shared" si="10"/>
        <v>December</v>
      </c>
      <c r="D164" t="s">
        <v>181</v>
      </c>
      <c r="E164" t="s">
        <v>364</v>
      </c>
      <c r="F164">
        <v>2</v>
      </c>
      <c r="G164" t="s">
        <v>10</v>
      </c>
      <c r="H164" t="s">
        <v>20</v>
      </c>
      <c r="I164" t="s">
        <v>346</v>
      </c>
      <c r="J164" t="str">
        <f>_xlfn.XLOOKUP(E164, Product_Master!$A$2:$A$101, Product_Master!$C$2:$C$101)</f>
        <v>Accessories</v>
      </c>
      <c r="K164">
        <f>_xlfn.XLOOKUP(E164, Product_Master!$A$2:$A$101, Product_Master!$D$2:$D$101)</f>
        <v>9000</v>
      </c>
      <c r="L164">
        <f>_xlfn.XLOOKUP(E164, Product_Master!$A$2:$A$101, Product_Master!$E$2:$E$101)</f>
        <v>12000</v>
      </c>
      <c r="M164">
        <f t="shared" si="11"/>
        <v>24000</v>
      </c>
      <c r="N164">
        <f t="shared" si="12"/>
        <v>18000</v>
      </c>
      <c r="O164">
        <f t="shared" si="13"/>
        <v>6000</v>
      </c>
      <c r="P164" s="3">
        <f t="shared" si="14"/>
        <v>0.25</v>
      </c>
      <c r="Q164" s="3" t="str">
        <v>High Profit</v>
      </c>
    </row>
    <row r="165" spans="1:17" x14ac:dyDescent="0.3">
      <c r="A165" t="s">
        <v>612</v>
      </c>
      <c r="B165" s="2">
        <v>45893</v>
      </c>
      <c r="C165" s="2" t="str">
        <f t="shared" si="10"/>
        <v>August</v>
      </c>
      <c r="D165" t="s">
        <v>170</v>
      </c>
      <c r="E165" t="s">
        <v>386</v>
      </c>
      <c r="F165">
        <v>1</v>
      </c>
      <c r="G165" t="s">
        <v>16</v>
      </c>
      <c r="H165" t="s">
        <v>14</v>
      </c>
      <c r="I165" t="s">
        <v>335</v>
      </c>
      <c r="J165" t="str">
        <f>_xlfn.XLOOKUP(E165, Product_Master!$A$2:$A$101, Product_Master!$C$2:$C$101)</f>
        <v>Accessories</v>
      </c>
      <c r="K165">
        <f>_xlfn.XLOOKUP(E165, Product_Master!$A$2:$A$101, Product_Master!$D$2:$D$101)</f>
        <v>900</v>
      </c>
      <c r="L165">
        <f>_xlfn.XLOOKUP(E165, Product_Master!$A$2:$A$101, Product_Master!$E$2:$E$101)</f>
        <v>1500</v>
      </c>
      <c r="M165">
        <f t="shared" si="11"/>
        <v>1500</v>
      </c>
      <c r="N165">
        <f t="shared" si="12"/>
        <v>900</v>
      </c>
      <c r="O165">
        <f t="shared" si="13"/>
        <v>600</v>
      </c>
      <c r="P165" s="3">
        <f t="shared" si="14"/>
        <v>0.4</v>
      </c>
      <c r="Q165" s="3" t="str">
        <v>High Profit</v>
      </c>
    </row>
    <row r="166" spans="1:17" x14ac:dyDescent="0.3">
      <c r="A166" t="s">
        <v>613</v>
      </c>
      <c r="B166" s="2">
        <v>45721</v>
      </c>
      <c r="C166" s="2" t="str">
        <f t="shared" si="10"/>
        <v>March</v>
      </c>
      <c r="D166" t="s">
        <v>115</v>
      </c>
      <c r="E166" t="s">
        <v>355</v>
      </c>
      <c r="F166">
        <v>5</v>
      </c>
      <c r="G166" t="s">
        <v>4</v>
      </c>
      <c r="H166" t="s">
        <v>5</v>
      </c>
      <c r="I166" t="s">
        <v>335</v>
      </c>
      <c r="J166" t="str">
        <f>_xlfn.XLOOKUP(E166, Product_Master!$A$2:$A$101, Product_Master!$C$2:$C$101)</f>
        <v>Accessories</v>
      </c>
      <c r="K166">
        <f>_xlfn.XLOOKUP(E166, Product_Master!$A$2:$A$101, Product_Master!$D$2:$D$101)</f>
        <v>900</v>
      </c>
      <c r="L166">
        <f>_xlfn.XLOOKUP(E166, Product_Master!$A$2:$A$101, Product_Master!$E$2:$E$101)</f>
        <v>1500</v>
      </c>
      <c r="M166">
        <f t="shared" si="11"/>
        <v>7500</v>
      </c>
      <c r="N166">
        <f t="shared" si="12"/>
        <v>4500</v>
      </c>
      <c r="O166">
        <f t="shared" si="13"/>
        <v>3000</v>
      </c>
      <c r="P166" s="3">
        <f t="shared" si="14"/>
        <v>0.4</v>
      </c>
      <c r="Q166" s="3" t="str">
        <v>High Profit</v>
      </c>
    </row>
    <row r="167" spans="1:17" x14ac:dyDescent="0.3">
      <c r="A167" t="s">
        <v>614</v>
      </c>
      <c r="B167" s="2">
        <v>45805</v>
      </c>
      <c r="C167" s="2" t="str">
        <f t="shared" si="10"/>
        <v>May</v>
      </c>
      <c r="D167" t="s">
        <v>245</v>
      </c>
      <c r="E167" t="s">
        <v>347</v>
      </c>
      <c r="F167">
        <v>3</v>
      </c>
      <c r="G167" t="s">
        <v>37</v>
      </c>
      <c r="H167" t="s">
        <v>20</v>
      </c>
      <c r="I167" t="s">
        <v>335</v>
      </c>
      <c r="J167" t="str">
        <f>_xlfn.XLOOKUP(E167, Product_Master!$A$2:$A$101, Product_Master!$C$2:$C$101)</f>
        <v>Accessories</v>
      </c>
      <c r="K167">
        <f>_xlfn.XLOOKUP(E167, Product_Master!$A$2:$A$101, Product_Master!$D$2:$D$101)</f>
        <v>900</v>
      </c>
      <c r="L167">
        <f>_xlfn.XLOOKUP(E167, Product_Master!$A$2:$A$101, Product_Master!$E$2:$E$101)</f>
        <v>1500</v>
      </c>
      <c r="M167">
        <f t="shared" si="11"/>
        <v>4500</v>
      </c>
      <c r="N167">
        <f t="shared" si="12"/>
        <v>2700</v>
      </c>
      <c r="O167">
        <f t="shared" si="13"/>
        <v>1800</v>
      </c>
      <c r="P167" s="3">
        <f t="shared" si="14"/>
        <v>0.4</v>
      </c>
      <c r="Q167" s="3" t="str">
        <v>High Profit</v>
      </c>
    </row>
    <row r="168" spans="1:17" x14ac:dyDescent="0.3">
      <c r="A168" t="s">
        <v>615</v>
      </c>
      <c r="B168" s="2">
        <v>45934</v>
      </c>
      <c r="C168" s="2" t="str">
        <f t="shared" si="10"/>
        <v>October</v>
      </c>
      <c r="D168" t="s">
        <v>99</v>
      </c>
      <c r="E168" t="s">
        <v>360</v>
      </c>
      <c r="F168">
        <v>4</v>
      </c>
      <c r="G168" t="s">
        <v>45</v>
      </c>
      <c r="H168" t="s">
        <v>39</v>
      </c>
      <c r="I168" t="s">
        <v>340</v>
      </c>
      <c r="J168" t="str">
        <f>_xlfn.XLOOKUP(E168, Product_Master!$A$2:$A$101, Product_Master!$C$2:$C$101)</f>
        <v>Electronics</v>
      </c>
      <c r="K168">
        <f>_xlfn.XLOOKUP(E168, Product_Master!$A$2:$A$101, Product_Master!$D$2:$D$101)</f>
        <v>42000</v>
      </c>
      <c r="L168">
        <f>_xlfn.XLOOKUP(E168, Product_Master!$A$2:$A$101, Product_Master!$E$2:$E$101)</f>
        <v>50000</v>
      </c>
      <c r="M168">
        <f t="shared" si="11"/>
        <v>200000</v>
      </c>
      <c r="N168">
        <f t="shared" si="12"/>
        <v>168000</v>
      </c>
      <c r="O168">
        <f t="shared" si="13"/>
        <v>32000</v>
      </c>
      <c r="P168" s="3">
        <f t="shared" si="14"/>
        <v>0.16</v>
      </c>
      <c r="Q168" s="3" t="str">
        <v>Low Profit</v>
      </c>
    </row>
    <row r="169" spans="1:17" x14ac:dyDescent="0.3">
      <c r="A169" t="s">
        <v>616</v>
      </c>
      <c r="B169" s="2">
        <v>45708</v>
      </c>
      <c r="C169" s="2" t="str">
        <f t="shared" si="10"/>
        <v>February</v>
      </c>
      <c r="D169" t="s">
        <v>267</v>
      </c>
      <c r="E169" t="s">
        <v>426</v>
      </c>
      <c r="F169">
        <v>5</v>
      </c>
      <c r="G169" t="s">
        <v>47</v>
      </c>
      <c r="H169" t="s">
        <v>27</v>
      </c>
      <c r="I169" t="s">
        <v>337</v>
      </c>
      <c r="J169" t="str">
        <f>_xlfn.XLOOKUP(E169, Product_Master!$A$2:$A$101, Product_Master!$C$2:$C$101)</f>
        <v>Electronics</v>
      </c>
      <c r="K169">
        <f>_xlfn.XLOOKUP(E169, Product_Master!$A$2:$A$101, Product_Master!$D$2:$D$101)</f>
        <v>15000</v>
      </c>
      <c r="L169">
        <f>_xlfn.XLOOKUP(E169, Product_Master!$A$2:$A$101, Product_Master!$E$2:$E$101)</f>
        <v>18000</v>
      </c>
      <c r="M169">
        <f t="shared" si="11"/>
        <v>90000</v>
      </c>
      <c r="N169">
        <f t="shared" si="12"/>
        <v>75000</v>
      </c>
      <c r="O169">
        <f t="shared" si="13"/>
        <v>15000</v>
      </c>
      <c r="P169" s="3">
        <f t="shared" si="14"/>
        <v>0.16666666666666666</v>
      </c>
      <c r="Q169" s="3" t="str">
        <v>Low Profit</v>
      </c>
    </row>
    <row r="170" spans="1:17" x14ac:dyDescent="0.3">
      <c r="A170" t="s">
        <v>617</v>
      </c>
      <c r="B170" s="2">
        <v>45836</v>
      </c>
      <c r="C170" s="2" t="str">
        <f t="shared" si="10"/>
        <v>June</v>
      </c>
      <c r="D170" t="s">
        <v>80</v>
      </c>
      <c r="E170" t="s">
        <v>434</v>
      </c>
      <c r="F170">
        <v>1</v>
      </c>
      <c r="G170" t="s">
        <v>37</v>
      </c>
      <c r="H170" t="s">
        <v>27</v>
      </c>
      <c r="I170" t="s">
        <v>346</v>
      </c>
      <c r="J170" t="str">
        <f>_xlfn.XLOOKUP(E170, Product_Master!$A$2:$A$101, Product_Master!$C$2:$C$101)</f>
        <v>Accessories</v>
      </c>
      <c r="K170">
        <f>_xlfn.XLOOKUP(E170, Product_Master!$A$2:$A$101, Product_Master!$D$2:$D$101)</f>
        <v>9000</v>
      </c>
      <c r="L170">
        <f>_xlfn.XLOOKUP(E170, Product_Master!$A$2:$A$101, Product_Master!$E$2:$E$101)</f>
        <v>12000</v>
      </c>
      <c r="M170">
        <f t="shared" si="11"/>
        <v>12000</v>
      </c>
      <c r="N170">
        <f t="shared" si="12"/>
        <v>9000</v>
      </c>
      <c r="O170">
        <f t="shared" si="13"/>
        <v>3000</v>
      </c>
      <c r="P170" s="3">
        <f t="shared" si="14"/>
        <v>0.25</v>
      </c>
      <c r="Q170" s="3" t="str">
        <v>High Profit</v>
      </c>
    </row>
    <row r="171" spans="1:17" x14ac:dyDescent="0.3">
      <c r="A171" t="s">
        <v>618</v>
      </c>
      <c r="B171" s="2">
        <v>45935</v>
      </c>
      <c r="C171" s="2" t="str">
        <f t="shared" si="10"/>
        <v>October</v>
      </c>
      <c r="D171" t="s">
        <v>97</v>
      </c>
      <c r="E171" t="s">
        <v>416</v>
      </c>
      <c r="F171">
        <v>2</v>
      </c>
      <c r="G171" t="s">
        <v>12</v>
      </c>
      <c r="H171" t="s">
        <v>14</v>
      </c>
      <c r="I171" t="s">
        <v>340</v>
      </c>
      <c r="J171" t="str">
        <f>_xlfn.XLOOKUP(E171, Product_Master!$A$2:$A$101, Product_Master!$C$2:$C$101)</f>
        <v>Electronics</v>
      </c>
      <c r="K171">
        <f>_xlfn.XLOOKUP(E171, Product_Master!$A$2:$A$101, Product_Master!$D$2:$D$101)</f>
        <v>42000</v>
      </c>
      <c r="L171">
        <f>_xlfn.XLOOKUP(E171, Product_Master!$A$2:$A$101, Product_Master!$E$2:$E$101)</f>
        <v>50000</v>
      </c>
      <c r="M171">
        <f t="shared" si="11"/>
        <v>100000</v>
      </c>
      <c r="N171">
        <f t="shared" si="12"/>
        <v>84000</v>
      </c>
      <c r="O171">
        <f t="shared" si="13"/>
        <v>16000</v>
      </c>
      <c r="P171" s="3">
        <f t="shared" si="14"/>
        <v>0.16</v>
      </c>
      <c r="Q171" s="3" t="str">
        <v>Low Profit</v>
      </c>
    </row>
    <row r="172" spans="1:17" x14ac:dyDescent="0.3">
      <c r="A172" t="s">
        <v>619</v>
      </c>
      <c r="B172" s="2">
        <v>45942</v>
      </c>
      <c r="C172" s="2" t="str">
        <f t="shared" si="10"/>
        <v>October</v>
      </c>
      <c r="D172" t="s">
        <v>36</v>
      </c>
      <c r="E172" t="s">
        <v>443</v>
      </c>
      <c r="F172">
        <v>2</v>
      </c>
      <c r="G172" t="s">
        <v>37</v>
      </c>
      <c r="H172" t="s">
        <v>8</v>
      </c>
      <c r="I172" t="s">
        <v>344</v>
      </c>
      <c r="J172" t="str">
        <f>_xlfn.XLOOKUP(E172, Product_Master!$A$2:$A$101, Product_Master!$C$2:$C$101)</f>
        <v>Accessories</v>
      </c>
      <c r="K172">
        <f>_xlfn.XLOOKUP(E172, Product_Master!$A$2:$A$101, Product_Master!$D$2:$D$101)</f>
        <v>2000</v>
      </c>
      <c r="L172">
        <f>_xlfn.XLOOKUP(E172, Product_Master!$A$2:$A$101, Product_Master!$E$2:$E$101)</f>
        <v>3000</v>
      </c>
      <c r="M172">
        <f t="shared" si="11"/>
        <v>6000</v>
      </c>
      <c r="N172">
        <f t="shared" si="12"/>
        <v>4000</v>
      </c>
      <c r="O172">
        <f t="shared" si="13"/>
        <v>2000</v>
      </c>
      <c r="P172" s="3">
        <f t="shared" si="14"/>
        <v>0.33333333333333331</v>
      </c>
      <c r="Q172" s="3" t="str">
        <v>High Profit</v>
      </c>
    </row>
    <row r="173" spans="1:17" x14ac:dyDescent="0.3">
      <c r="A173" t="s">
        <v>620</v>
      </c>
      <c r="B173" s="2">
        <v>45766</v>
      </c>
      <c r="C173" s="2" t="str">
        <f t="shared" si="10"/>
        <v>April</v>
      </c>
      <c r="D173" t="s">
        <v>236</v>
      </c>
      <c r="E173" t="s">
        <v>423</v>
      </c>
      <c r="F173">
        <v>3</v>
      </c>
      <c r="G173" t="s">
        <v>47</v>
      </c>
      <c r="H173" t="s">
        <v>1455</v>
      </c>
      <c r="I173" t="s">
        <v>335</v>
      </c>
      <c r="J173" t="str">
        <f>_xlfn.XLOOKUP(E173, Product_Master!$A$2:$A$101, Product_Master!$C$2:$C$101)</f>
        <v>Accessories</v>
      </c>
      <c r="K173">
        <f>_xlfn.XLOOKUP(E173, Product_Master!$A$2:$A$101, Product_Master!$D$2:$D$101)</f>
        <v>900</v>
      </c>
      <c r="L173">
        <f>_xlfn.XLOOKUP(E173, Product_Master!$A$2:$A$101, Product_Master!$E$2:$E$101)</f>
        <v>1500</v>
      </c>
      <c r="M173">
        <f t="shared" si="11"/>
        <v>4500</v>
      </c>
      <c r="N173">
        <f t="shared" si="12"/>
        <v>2700</v>
      </c>
      <c r="O173">
        <f t="shared" si="13"/>
        <v>1800</v>
      </c>
      <c r="P173" s="3">
        <f t="shared" si="14"/>
        <v>0.4</v>
      </c>
      <c r="Q173" s="3" t="str">
        <v>High Profit</v>
      </c>
    </row>
    <row r="174" spans="1:17" x14ac:dyDescent="0.3">
      <c r="A174" t="s">
        <v>621</v>
      </c>
      <c r="B174" s="2">
        <v>45696</v>
      </c>
      <c r="C174" s="2" t="str">
        <f t="shared" si="10"/>
        <v>February</v>
      </c>
      <c r="D174" t="s">
        <v>172</v>
      </c>
      <c r="E174" t="s">
        <v>338</v>
      </c>
      <c r="F174">
        <v>5</v>
      </c>
      <c r="G174" t="s">
        <v>10</v>
      </c>
      <c r="H174" t="s">
        <v>39</v>
      </c>
      <c r="I174" t="s">
        <v>332</v>
      </c>
      <c r="J174" t="str">
        <f>_xlfn.XLOOKUP(E174, Product_Master!$A$2:$A$101, Product_Master!$C$2:$C$101)</f>
        <v>Accessories</v>
      </c>
      <c r="K174">
        <f>_xlfn.XLOOKUP(E174, Product_Master!$A$2:$A$101, Product_Master!$D$2:$D$101)</f>
        <v>500</v>
      </c>
      <c r="L174">
        <f>_xlfn.XLOOKUP(E174, Product_Master!$A$2:$A$101, Product_Master!$E$2:$E$101)</f>
        <v>800</v>
      </c>
      <c r="M174">
        <f t="shared" si="11"/>
        <v>4000</v>
      </c>
      <c r="N174">
        <f t="shared" si="12"/>
        <v>2500</v>
      </c>
      <c r="O174">
        <f t="shared" si="13"/>
        <v>1500</v>
      </c>
      <c r="P174" s="3">
        <f t="shared" si="14"/>
        <v>0.375</v>
      </c>
      <c r="Q174" s="3" t="str">
        <v>High Profit</v>
      </c>
    </row>
    <row r="175" spans="1:17" x14ac:dyDescent="0.3">
      <c r="A175" t="s">
        <v>622</v>
      </c>
      <c r="B175" s="2">
        <v>45832</v>
      </c>
      <c r="C175" s="2" t="str">
        <f t="shared" si="10"/>
        <v>June</v>
      </c>
      <c r="D175" t="s">
        <v>191</v>
      </c>
      <c r="E175" t="s">
        <v>386</v>
      </c>
      <c r="F175">
        <v>3</v>
      </c>
      <c r="G175" t="s">
        <v>16</v>
      </c>
      <c r="H175" t="s">
        <v>31</v>
      </c>
      <c r="I175" t="s">
        <v>335</v>
      </c>
      <c r="J175" t="str">
        <f>_xlfn.XLOOKUP(E175, Product_Master!$A$2:$A$101, Product_Master!$C$2:$C$101)</f>
        <v>Accessories</v>
      </c>
      <c r="K175">
        <f>_xlfn.XLOOKUP(E175, Product_Master!$A$2:$A$101, Product_Master!$D$2:$D$101)</f>
        <v>900</v>
      </c>
      <c r="L175">
        <f>_xlfn.XLOOKUP(E175, Product_Master!$A$2:$A$101, Product_Master!$E$2:$E$101)</f>
        <v>1500</v>
      </c>
      <c r="M175">
        <f t="shared" si="11"/>
        <v>4500</v>
      </c>
      <c r="N175">
        <f t="shared" si="12"/>
        <v>2700</v>
      </c>
      <c r="O175">
        <f t="shared" si="13"/>
        <v>1800</v>
      </c>
      <c r="P175" s="3">
        <f t="shared" si="14"/>
        <v>0.4</v>
      </c>
      <c r="Q175" s="3" t="str">
        <v>High Profit</v>
      </c>
    </row>
    <row r="176" spans="1:17" x14ac:dyDescent="0.3">
      <c r="A176" t="s">
        <v>623</v>
      </c>
      <c r="B176" s="2">
        <v>45965</v>
      </c>
      <c r="C176" s="2" t="str">
        <f t="shared" si="10"/>
        <v>November</v>
      </c>
      <c r="D176" t="s">
        <v>284</v>
      </c>
      <c r="E176" t="s">
        <v>427</v>
      </c>
      <c r="F176">
        <v>4</v>
      </c>
      <c r="G176" t="s">
        <v>7</v>
      </c>
      <c r="H176" t="s">
        <v>5</v>
      </c>
      <c r="I176" t="s">
        <v>329</v>
      </c>
      <c r="J176" t="str">
        <f>_xlfn.XLOOKUP(E176, Product_Master!$A$2:$A$101, Product_Master!$C$2:$C$101)</f>
        <v>Electronics</v>
      </c>
      <c r="K176">
        <f>_xlfn.XLOOKUP(E176, Product_Master!$A$2:$A$101, Product_Master!$D$2:$D$101)</f>
        <v>20000</v>
      </c>
      <c r="L176">
        <f>_xlfn.XLOOKUP(E176, Product_Master!$A$2:$A$101, Product_Master!$E$2:$E$101)</f>
        <v>25000</v>
      </c>
      <c r="M176">
        <f t="shared" si="11"/>
        <v>100000</v>
      </c>
      <c r="N176">
        <f t="shared" si="12"/>
        <v>80000</v>
      </c>
      <c r="O176">
        <f t="shared" si="13"/>
        <v>20000</v>
      </c>
      <c r="P176" s="3">
        <f t="shared" si="14"/>
        <v>0.2</v>
      </c>
      <c r="Q176" s="3" t="str">
        <v>Low Profit</v>
      </c>
    </row>
    <row r="177" spans="1:17" x14ac:dyDescent="0.3">
      <c r="A177" t="s">
        <v>624</v>
      </c>
      <c r="B177" s="2">
        <v>45974</v>
      </c>
      <c r="C177" s="2" t="str">
        <f t="shared" si="10"/>
        <v>November</v>
      </c>
      <c r="D177" t="s">
        <v>278</v>
      </c>
      <c r="E177" t="s">
        <v>376</v>
      </c>
      <c r="F177">
        <v>2</v>
      </c>
      <c r="G177" t="s">
        <v>37</v>
      </c>
      <c r="H177" t="s">
        <v>8</v>
      </c>
      <c r="I177" t="s">
        <v>353</v>
      </c>
      <c r="J177" t="str">
        <f>_xlfn.XLOOKUP(E177, Product_Master!$A$2:$A$101, Product_Master!$C$2:$C$101)</f>
        <v>Electronics</v>
      </c>
      <c r="K177">
        <f>_xlfn.XLOOKUP(E177, Product_Master!$A$2:$A$101, Product_Master!$D$2:$D$101)</f>
        <v>12000</v>
      </c>
      <c r="L177">
        <f>_xlfn.XLOOKUP(E177, Product_Master!$A$2:$A$101, Product_Master!$E$2:$E$101)</f>
        <v>15000</v>
      </c>
      <c r="M177">
        <f t="shared" si="11"/>
        <v>30000</v>
      </c>
      <c r="N177">
        <f t="shared" si="12"/>
        <v>24000</v>
      </c>
      <c r="O177">
        <f t="shared" si="13"/>
        <v>6000</v>
      </c>
      <c r="P177" s="3">
        <f t="shared" si="14"/>
        <v>0.2</v>
      </c>
      <c r="Q177" s="3" t="str">
        <v>Low Profit</v>
      </c>
    </row>
    <row r="178" spans="1:17" x14ac:dyDescent="0.3">
      <c r="A178" t="s">
        <v>625</v>
      </c>
      <c r="B178" s="2">
        <v>45807</v>
      </c>
      <c r="C178" s="2" t="str">
        <f t="shared" si="10"/>
        <v>May</v>
      </c>
      <c r="D178" t="s">
        <v>236</v>
      </c>
      <c r="E178" t="s">
        <v>356</v>
      </c>
      <c r="F178">
        <v>5</v>
      </c>
      <c r="G178" t="s">
        <v>47</v>
      </c>
      <c r="H178" t="s">
        <v>1455</v>
      </c>
      <c r="I178" t="s">
        <v>340</v>
      </c>
      <c r="J178" t="str">
        <f>_xlfn.XLOOKUP(E178, Product_Master!$A$2:$A$101, Product_Master!$C$2:$C$101)</f>
        <v>Electronics</v>
      </c>
      <c r="K178">
        <f>_xlfn.XLOOKUP(E178, Product_Master!$A$2:$A$101, Product_Master!$D$2:$D$101)</f>
        <v>42000</v>
      </c>
      <c r="L178">
        <f>_xlfn.XLOOKUP(E178, Product_Master!$A$2:$A$101, Product_Master!$E$2:$E$101)</f>
        <v>50000</v>
      </c>
      <c r="M178">
        <f t="shared" si="11"/>
        <v>250000</v>
      </c>
      <c r="N178">
        <f t="shared" si="12"/>
        <v>210000</v>
      </c>
      <c r="O178">
        <f t="shared" si="13"/>
        <v>40000</v>
      </c>
      <c r="P178" s="3">
        <f t="shared" si="14"/>
        <v>0.16</v>
      </c>
      <c r="Q178" s="3" t="str">
        <v>Low Profit</v>
      </c>
    </row>
    <row r="179" spans="1:17" x14ac:dyDescent="0.3">
      <c r="A179" t="s">
        <v>626</v>
      </c>
      <c r="B179" s="2">
        <v>45780</v>
      </c>
      <c r="C179" s="2" t="str">
        <f t="shared" si="10"/>
        <v>May</v>
      </c>
      <c r="D179" t="s">
        <v>285</v>
      </c>
      <c r="E179" t="s">
        <v>365</v>
      </c>
      <c r="F179">
        <v>4</v>
      </c>
      <c r="G179" t="s">
        <v>19</v>
      </c>
      <c r="H179" t="s">
        <v>1455</v>
      </c>
      <c r="I179" t="s">
        <v>340</v>
      </c>
      <c r="J179" t="str">
        <f>_xlfn.XLOOKUP(E179, Product_Master!$A$2:$A$101, Product_Master!$C$2:$C$101)</f>
        <v>Electronics</v>
      </c>
      <c r="K179">
        <f>_xlfn.XLOOKUP(E179, Product_Master!$A$2:$A$101, Product_Master!$D$2:$D$101)</f>
        <v>42000</v>
      </c>
      <c r="L179">
        <f>_xlfn.XLOOKUP(E179, Product_Master!$A$2:$A$101, Product_Master!$E$2:$E$101)</f>
        <v>50000</v>
      </c>
      <c r="M179">
        <f t="shared" si="11"/>
        <v>200000</v>
      </c>
      <c r="N179">
        <f t="shared" si="12"/>
        <v>168000</v>
      </c>
      <c r="O179">
        <f t="shared" si="13"/>
        <v>32000</v>
      </c>
      <c r="P179" s="3">
        <f t="shared" si="14"/>
        <v>0.16</v>
      </c>
      <c r="Q179" s="3" t="str">
        <v>Low Profit</v>
      </c>
    </row>
    <row r="180" spans="1:17" x14ac:dyDescent="0.3">
      <c r="A180" t="s">
        <v>627</v>
      </c>
      <c r="B180" s="2">
        <v>45713</v>
      </c>
      <c r="C180" s="2" t="str">
        <f t="shared" si="10"/>
        <v>February</v>
      </c>
      <c r="D180" t="s">
        <v>79</v>
      </c>
      <c r="E180" t="s">
        <v>432</v>
      </c>
      <c r="F180">
        <v>2</v>
      </c>
      <c r="G180" t="s">
        <v>47</v>
      </c>
      <c r="H180" t="s">
        <v>20</v>
      </c>
      <c r="I180" t="s">
        <v>344</v>
      </c>
      <c r="J180" t="str">
        <f>_xlfn.XLOOKUP(E180, Product_Master!$A$2:$A$101, Product_Master!$C$2:$C$101)</f>
        <v>Accessories</v>
      </c>
      <c r="K180">
        <f>_xlfn.XLOOKUP(E180, Product_Master!$A$2:$A$101, Product_Master!$D$2:$D$101)</f>
        <v>2000</v>
      </c>
      <c r="L180">
        <f>_xlfn.XLOOKUP(E180, Product_Master!$A$2:$A$101, Product_Master!$E$2:$E$101)</f>
        <v>3000</v>
      </c>
      <c r="M180">
        <f t="shared" si="11"/>
        <v>6000</v>
      </c>
      <c r="N180">
        <f t="shared" si="12"/>
        <v>4000</v>
      </c>
      <c r="O180">
        <f t="shared" si="13"/>
        <v>2000</v>
      </c>
      <c r="P180" s="3">
        <f t="shared" si="14"/>
        <v>0.33333333333333331</v>
      </c>
      <c r="Q180" s="3" t="str">
        <v>High Profit</v>
      </c>
    </row>
    <row r="181" spans="1:17" x14ac:dyDescent="0.3">
      <c r="A181" t="s">
        <v>628</v>
      </c>
      <c r="B181" s="2">
        <v>45862</v>
      </c>
      <c r="C181" s="2" t="str">
        <f t="shared" si="10"/>
        <v>July</v>
      </c>
      <c r="D181" t="s">
        <v>79</v>
      </c>
      <c r="E181" t="s">
        <v>439</v>
      </c>
      <c r="F181">
        <v>1</v>
      </c>
      <c r="G181" t="s">
        <v>47</v>
      </c>
      <c r="H181" t="s">
        <v>20</v>
      </c>
      <c r="I181" t="s">
        <v>353</v>
      </c>
      <c r="J181" t="str">
        <f>_xlfn.XLOOKUP(E181, Product_Master!$A$2:$A$101, Product_Master!$C$2:$C$101)</f>
        <v>Electronics</v>
      </c>
      <c r="K181">
        <f>_xlfn.XLOOKUP(E181, Product_Master!$A$2:$A$101, Product_Master!$D$2:$D$101)</f>
        <v>12000</v>
      </c>
      <c r="L181">
        <f>_xlfn.XLOOKUP(E181, Product_Master!$A$2:$A$101, Product_Master!$E$2:$E$101)</f>
        <v>15000</v>
      </c>
      <c r="M181">
        <f t="shared" si="11"/>
        <v>15000</v>
      </c>
      <c r="N181">
        <f t="shared" si="12"/>
        <v>12000</v>
      </c>
      <c r="O181">
        <f t="shared" si="13"/>
        <v>3000</v>
      </c>
      <c r="P181" s="3">
        <f t="shared" si="14"/>
        <v>0.2</v>
      </c>
      <c r="Q181" s="3" t="str">
        <v>Low Profit</v>
      </c>
    </row>
    <row r="182" spans="1:17" x14ac:dyDescent="0.3">
      <c r="A182" t="s">
        <v>629</v>
      </c>
      <c r="B182" s="2">
        <v>45727</v>
      </c>
      <c r="C182" s="2" t="str">
        <f t="shared" si="10"/>
        <v>March</v>
      </c>
      <c r="D182" t="s">
        <v>130</v>
      </c>
      <c r="E182" t="s">
        <v>380</v>
      </c>
      <c r="F182">
        <v>1</v>
      </c>
      <c r="G182" t="s">
        <v>47</v>
      </c>
      <c r="H182" t="s">
        <v>20</v>
      </c>
      <c r="I182" t="s">
        <v>340</v>
      </c>
      <c r="J182" t="str">
        <f>_xlfn.XLOOKUP(E182, Product_Master!$A$2:$A$101, Product_Master!$C$2:$C$101)</f>
        <v>Electronics</v>
      </c>
      <c r="K182">
        <f>_xlfn.XLOOKUP(E182, Product_Master!$A$2:$A$101, Product_Master!$D$2:$D$101)</f>
        <v>42000</v>
      </c>
      <c r="L182">
        <f>_xlfn.XLOOKUP(E182, Product_Master!$A$2:$A$101, Product_Master!$E$2:$E$101)</f>
        <v>50000</v>
      </c>
      <c r="M182">
        <f t="shared" si="11"/>
        <v>50000</v>
      </c>
      <c r="N182">
        <f t="shared" si="12"/>
        <v>42000</v>
      </c>
      <c r="O182">
        <f t="shared" si="13"/>
        <v>8000</v>
      </c>
      <c r="P182" s="3">
        <f t="shared" si="14"/>
        <v>0.16</v>
      </c>
      <c r="Q182" s="3" t="str">
        <v>Low Profit</v>
      </c>
    </row>
    <row r="183" spans="1:17" x14ac:dyDescent="0.3">
      <c r="A183" t="s">
        <v>630</v>
      </c>
      <c r="B183" s="2">
        <v>45817</v>
      </c>
      <c r="C183" s="2" t="str">
        <f t="shared" si="10"/>
        <v>June</v>
      </c>
      <c r="D183" t="s">
        <v>241</v>
      </c>
      <c r="E183" t="s">
        <v>370</v>
      </c>
      <c r="F183">
        <v>4</v>
      </c>
      <c r="G183" t="s">
        <v>4</v>
      </c>
      <c r="H183" t="s">
        <v>20</v>
      </c>
      <c r="I183" t="s">
        <v>335</v>
      </c>
      <c r="J183" t="str">
        <f>_xlfn.XLOOKUP(E183, Product_Master!$A$2:$A$101, Product_Master!$C$2:$C$101)</f>
        <v>Accessories</v>
      </c>
      <c r="K183">
        <f>_xlfn.XLOOKUP(E183, Product_Master!$A$2:$A$101, Product_Master!$D$2:$D$101)</f>
        <v>900</v>
      </c>
      <c r="L183">
        <f>_xlfn.XLOOKUP(E183, Product_Master!$A$2:$A$101, Product_Master!$E$2:$E$101)</f>
        <v>1500</v>
      </c>
      <c r="M183">
        <f t="shared" si="11"/>
        <v>6000</v>
      </c>
      <c r="N183">
        <f t="shared" si="12"/>
        <v>3600</v>
      </c>
      <c r="O183">
        <f t="shared" si="13"/>
        <v>2400</v>
      </c>
      <c r="P183" s="3">
        <f t="shared" si="14"/>
        <v>0.4</v>
      </c>
      <c r="Q183" s="3" t="str">
        <v>High Profit</v>
      </c>
    </row>
    <row r="184" spans="1:17" x14ac:dyDescent="0.3">
      <c r="A184" t="s">
        <v>631</v>
      </c>
      <c r="B184" s="2">
        <v>45750</v>
      </c>
      <c r="C184" s="2" t="str">
        <f t="shared" si="10"/>
        <v>April</v>
      </c>
      <c r="D184" t="s">
        <v>322</v>
      </c>
      <c r="E184" t="s">
        <v>328</v>
      </c>
      <c r="F184">
        <v>5</v>
      </c>
      <c r="G184" t="s">
        <v>29</v>
      </c>
      <c r="H184" t="s">
        <v>17</v>
      </c>
      <c r="I184" t="s">
        <v>329</v>
      </c>
      <c r="J184" t="str">
        <f>_xlfn.XLOOKUP(E184, Product_Master!$A$2:$A$101, Product_Master!$C$2:$C$101)</f>
        <v>Electronics</v>
      </c>
      <c r="K184">
        <f>_xlfn.XLOOKUP(E184, Product_Master!$A$2:$A$101, Product_Master!$D$2:$D$101)</f>
        <v>20000</v>
      </c>
      <c r="L184">
        <f>_xlfn.XLOOKUP(E184, Product_Master!$A$2:$A$101, Product_Master!$E$2:$E$101)</f>
        <v>25000</v>
      </c>
      <c r="M184">
        <f t="shared" si="11"/>
        <v>125000</v>
      </c>
      <c r="N184">
        <f t="shared" si="12"/>
        <v>100000</v>
      </c>
      <c r="O184">
        <f t="shared" si="13"/>
        <v>25000</v>
      </c>
      <c r="P184" s="3">
        <f t="shared" si="14"/>
        <v>0.2</v>
      </c>
      <c r="Q184" s="3" t="str">
        <v>Low Profit</v>
      </c>
    </row>
    <row r="185" spans="1:17" x14ac:dyDescent="0.3">
      <c r="A185" t="s">
        <v>632</v>
      </c>
      <c r="B185" s="2">
        <v>45666</v>
      </c>
      <c r="C185" s="2" t="str">
        <f t="shared" si="10"/>
        <v>January</v>
      </c>
      <c r="D185" t="s">
        <v>459</v>
      </c>
      <c r="E185" t="s">
        <v>381</v>
      </c>
      <c r="F185">
        <v>2</v>
      </c>
      <c r="G185" t="s">
        <v>1454</v>
      </c>
      <c r="H185" t="s">
        <v>1455</v>
      </c>
      <c r="I185" t="s">
        <v>329</v>
      </c>
      <c r="J185" t="str">
        <f>_xlfn.XLOOKUP(E185, Product_Master!$A$2:$A$101, Product_Master!$C$2:$C$101)</f>
        <v>Electronics</v>
      </c>
      <c r="K185">
        <f>_xlfn.XLOOKUP(E185, Product_Master!$A$2:$A$101, Product_Master!$D$2:$D$101)</f>
        <v>20000</v>
      </c>
      <c r="L185">
        <f>_xlfn.XLOOKUP(E185, Product_Master!$A$2:$A$101, Product_Master!$E$2:$E$101)</f>
        <v>25000</v>
      </c>
      <c r="M185">
        <f t="shared" si="11"/>
        <v>50000</v>
      </c>
      <c r="N185">
        <f t="shared" si="12"/>
        <v>40000</v>
      </c>
      <c r="O185">
        <f t="shared" si="13"/>
        <v>10000</v>
      </c>
      <c r="P185" s="3">
        <f t="shared" si="14"/>
        <v>0.2</v>
      </c>
      <c r="Q185" s="3" t="str">
        <v>Low Profit</v>
      </c>
    </row>
    <row r="186" spans="1:17" x14ac:dyDescent="0.3">
      <c r="A186" t="s">
        <v>633</v>
      </c>
      <c r="B186" s="2">
        <v>45720</v>
      </c>
      <c r="C186" s="2" t="str">
        <f t="shared" si="10"/>
        <v>March</v>
      </c>
      <c r="D186" t="s">
        <v>469</v>
      </c>
      <c r="E186" t="s">
        <v>411</v>
      </c>
      <c r="F186">
        <v>3</v>
      </c>
      <c r="G186" t="s">
        <v>1454</v>
      </c>
      <c r="H186" t="s">
        <v>1455</v>
      </c>
      <c r="I186" t="s">
        <v>346</v>
      </c>
      <c r="J186" t="str">
        <f>_xlfn.XLOOKUP(E186, Product_Master!$A$2:$A$101, Product_Master!$C$2:$C$101)</f>
        <v>Accessories</v>
      </c>
      <c r="K186">
        <f>_xlfn.XLOOKUP(E186, Product_Master!$A$2:$A$101, Product_Master!$D$2:$D$101)</f>
        <v>9000</v>
      </c>
      <c r="L186">
        <f>_xlfn.XLOOKUP(E186, Product_Master!$A$2:$A$101, Product_Master!$E$2:$E$101)</f>
        <v>12000</v>
      </c>
      <c r="M186">
        <f t="shared" si="11"/>
        <v>36000</v>
      </c>
      <c r="N186">
        <f t="shared" si="12"/>
        <v>27000</v>
      </c>
      <c r="O186">
        <f t="shared" si="13"/>
        <v>9000</v>
      </c>
      <c r="P186" s="3">
        <f t="shared" si="14"/>
        <v>0.25</v>
      </c>
      <c r="Q186" s="3" t="str">
        <v>High Profit</v>
      </c>
    </row>
    <row r="187" spans="1:17" x14ac:dyDescent="0.3">
      <c r="A187" t="s">
        <v>634</v>
      </c>
      <c r="B187" s="2">
        <v>45844</v>
      </c>
      <c r="C187" s="2" t="str">
        <f t="shared" si="10"/>
        <v>July</v>
      </c>
      <c r="D187" t="s">
        <v>147</v>
      </c>
      <c r="E187" t="s">
        <v>407</v>
      </c>
      <c r="F187">
        <v>1</v>
      </c>
      <c r="G187" t="s">
        <v>10</v>
      </c>
      <c r="H187" t="s">
        <v>20</v>
      </c>
      <c r="I187" t="s">
        <v>329</v>
      </c>
      <c r="J187" t="str">
        <f>_xlfn.XLOOKUP(E187, Product_Master!$A$2:$A$101, Product_Master!$C$2:$C$101)</f>
        <v>Electronics</v>
      </c>
      <c r="K187">
        <f>_xlfn.XLOOKUP(E187, Product_Master!$A$2:$A$101, Product_Master!$D$2:$D$101)</f>
        <v>20000</v>
      </c>
      <c r="L187">
        <f>_xlfn.XLOOKUP(E187, Product_Master!$A$2:$A$101, Product_Master!$E$2:$E$101)</f>
        <v>25000</v>
      </c>
      <c r="M187">
        <f t="shared" si="11"/>
        <v>25000</v>
      </c>
      <c r="N187">
        <f t="shared" si="12"/>
        <v>20000</v>
      </c>
      <c r="O187">
        <f t="shared" si="13"/>
        <v>5000</v>
      </c>
      <c r="P187" s="3">
        <f t="shared" si="14"/>
        <v>0.2</v>
      </c>
      <c r="Q187" s="3" t="str">
        <v>Low Profit</v>
      </c>
    </row>
    <row r="188" spans="1:17" x14ac:dyDescent="0.3">
      <c r="A188" t="s">
        <v>635</v>
      </c>
      <c r="B188" s="2">
        <v>45858</v>
      </c>
      <c r="C188" s="2" t="str">
        <f t="shared" si="10"/>
        <v>July</v>
      </c>
      <c r="D188" t="s">
        <v>166</v>
      </c>
      <c r="E188" t="s">
        <v>416</v>
      </c>
      <c r="F188">
        <v>3</v>
      </c>
      <c r="G188" t="s">
        <v>29</v>
      </c>
      <c r="H188" t="s">
        <v>27</v>
      </c>
      <c r="I188" t="s">
        <v>340</v>
      </c>
      <c r="J188" t="str">
        <f>_xlfn.XLOOKUP(E188, Product_Master!$A$2:$A$101, Product_Master!$C$2:$C$101)</f>
        <v>Electronics</v>
      </c>
      <c r="K188">
        <f>_xlfn.XLOOKUP(E188, Product_Master!$A$2:$A$101, Product_Master!$D$2:$D$101)</f>
        <v>42000</v>
      </c>
      <c r="L188">
        <f>_xlfn.XLOOKUP(E188, Product_Master!$A$2:$A$101, Product_Master!$E$2:$E$101)</f>
        <v>50000</v>
      </c>
      <c r="M188">
        <f t="shared" si="11"/>
        <v>150000</v>
      </c>
      <c r="N188">
        <f t="shared" si="12"/>
        <v>126000</v>
      </c>
      <c r="O188">
        <f t="shared" si="13"/>
        <v>24000</v>
      </c>
      <c r="P188" s="3">
        <f t="shared" si="14"/>
        <v>0.16</v>
      </c>
      <c r="Q188" s="3" t="str">
        <v>Low Profit</v>
      </c>
    </row>
    <row r="189" spans="1:17" x14ac:dyDescent="0.3">
      <c r="A189" t="s">
        <v>636</v>
      </c>
      <c r="B189" s="2">
        <v>45875</v>
      </c>
      <c r="C189" s="2" t="str">
        <f t="shared" si="10"/>
        <v>August</v>
      </c>
      <c r="D189" t="s">
        <v>192</v>
      </c>
      <c r="E189" t="s">
        <v>365</v>
      </c>
      <c r="F189">
        <v>2</v>
      </c>
      <c r="G189" t="s">
        <v>10</v>
      </c>
      <c r="H189" t="s">
        <v>17</v>
      </c>
      <c r="I189" t="s">
        <v>340</v>
      </c>
      <c r="J189" t="str">
        <f>_xlfn.XLOOKUP(E189, Product_Master!$A$2:$A$101, Product_Master!$C$2:$C$101)</f>
        <v>Electronics</v>
      </c>
      <c r="K189">
        <f>_xlfn.XLOOKUP(E189, Product_Master!$A$2:$A$101, Product_Master!$D$2:$D$101)</f>
        <v>42000</v>
      </c>
      <c r="L189">
        <f>_xlfn.XLOOKUP(E189, Product_Master!$A$2:$A$101, Product_Master!$E$2:$E$101)</f>
        <v>50000</v>
      </c>
      <c r="M189">
        <f t="shared" si="11"/>
        <v>100000</v>
      </c>
      <c r="N189">
        <f t="shared" si="12"/>
        <v>84000</v>
      </c>
      <c r="O189">
        <f t="shared" si="13"/>
        <v>16000</v>
      </c>
      <c r="P189" s="3">
        <f t="shared" si="14"/>
        <v>0.16</v>
      </c>
      <c r="Q189" s="3" t="str">
        <v>Low Profit</v>
      </c>
    </row>
    <row r="190" spans="1:17" x14ac:dyDescent="0.3">
      <c r="A190" t="s">
        <v>637</v>
      </c>
      <c r="B190" s="2">
        <v>45738</v>
      </c>
      <c r="C190" s="2" t="str">
        <f t="shared" si="10"/>
        <v>March</v>
      </c>
      <c r="D190" t="s">
        <v>115</v>
      </c>
      <c r="E190" t="s">
        <v>406</v>
      </c>
      <c r="F190">
        <v>4</v>
      </c>
      <c r="G190" t="s">
        <v>4</v>
      </c>
      <c r="H190" t="s">
        <v>5</v>
      </c>
      <c r="I190" t="s">
        <v>344</v>
      </c>
      <c r="J190" t="str">
        <f>_xlfn.XLOOKUP(E190, Product_Master!$A$2:$A$101, Product_Master!$C$2:$C$101)</f>
        <v>Accessories</v>
      </c>
      <c r="K190">
        <f>_xlfn.XLOOKUP(E190, Product_Master!$A$2:$A$101, Product_Master!$D$2:$D$101)</f>
        <v>2000</v>
      </c>
      <c r="L190">
        <f>_xlfn.XLOOKUP(E190, Product_Master!$A$2:$A$101, Product_Master!$E$2:$E$101)</f>
        <v>3000</v>
      </c>
      <c r="M190">
        <f t="shared" si="11"/>
        <v>12000</v>
      </c>
      <c r="N190">
        <f t="shared" si="12"/>
        <v>8000</v>
      </c>
      <c r="O190">
        <f t="shared" si="13"/>
        <v>4000</v>
      </c>
      <c r="P190" s="3">
        <f t="shared" si="14"/>
        <v>0.33333333333333331</v>
      </c>
      <c r="Q190" s="3" t="str">
        <v>High Profit</v>
      </c>
    </row>
    <row r="191" spans="1:17" x14ac:dyDescent="0.3">
      <c r="A191" t="s">
        <v>638</v>
      </c>
      <c r="B191" s="2">
        <v>45845</v>
      </c>
      <c r="C191" s="2" t="str">
        <f t="shared" si="10"/>
        <v>July</v>
      </c>
      <c r="D191" t="s">
        <v>318</v>
      </c>
      <c r="E191" t="s">
        <v>347</v>
      </c>
      <c r="F191">
        <v>2</v>
      </c>
      <c r="G191" t="s">
        <v>16</v>
      </c>
      <c r="H191" t="s">
        <v>31</v>
      </c>
      <c r="I191" t="s">
        <v>335</v>
      </c>
      <c r="J191" t="str">
        <f>_xlfn.XLOOKUP(E191, Product_Master!$A$2:$A$101, Product_Master!$C$2:$C$101)</f>
        <v>Accessories</v>
      </c>
      <c r="K191">
        <f>_xlfn.XLOOKUP(E191, Product_Master!$A$2:$A$101, Product_Master!$D$2:$D$101)</f>
        <v>900</v>
      </c>
      <c r="L191">
        <f>_xlfn.XLOOKUP(E191, Product_Master!$A$2:$A$101, Product_Master!$E$2:$E$101)</f>
        <v>1500</v>
      </c>
      <c r="M191">
        <f t="shared" si="11"/>
        <v>3000</v>
      </c>
      <c r="N191">
        <f t="shared" si="12"/>
        <v>1800</v>
      </c>
      <c r="O191">
        <f t="shared" si="13"/>
        <v>1200</v>
      </c>
      <c r="P191" s="3">
        <f t="shared" si="14"/>
        <v>0.4</v>
      </c>
      <c r="Q191" s="3" t="str">
        <v>High Profit</v>
      </c>
    </row>
    <row r="192" spans="1:17" x14ac:dyDescent="0.3">
      <c r="A192" t="s">
        <v>639</v>
      </c>
      <c r="B192" s="2">
        <v>46017</v>
      </c>
      <c r="C192" s="2" t="str">
        <f t="shared" si="10"/>
        <v>December</v>
      </c>
      <c r="D192" t="s">
        <v>75</v>
      </c>
      <c r="E192" t="s">
        <v>390</v>
      </c>
      <c r="F192">
        <v>5</v>
      </c>
      <c r="G192" t="s">
        <v>29</v>
      </c>
      <c r="H192" t="s">
        <v>31</v>
      </c>
      <c r="I192" t="s">
        <v>344</v>
      </c>
      <c r="J192" t="str">
        <f>_xlfn.XLOOKUP(E192, Product_Master!$A$2:$A$101, Product_Master!$C$2:$C$101)</f>
        <v>Accessories</v>
      </c>
      <c r="K192">
        <f>_xlfn.XLOOKUP(E192, Product_Master!$A$2:$A$101, Product_Master!$D$2:$D$101)</f>
        <v>2000</v>
      </c>
      <c r="L192">
        <f>_xlfn.XLOOKUP(E192, Product_Master!$A$2:$A$101, Product_Master!$E$2:$E$101)</f>
        <v>3000</v>
      </c>
      <c r="M192">
        <f t="shared" si="11"/>
        <v>15000</v>
      </c>
      <c r="N192">
        <f t="shared" si="12"/>
        <v>10000</v>
      </c>
      <c r="O192">
        <f t="shared" si="13"/>
        <v>5000</v>
      </c>
      <c r="P192" s="3">
        <f t="shared" si="14"/>
        <v>0.33333333333333331</v>
      </c>
      <c r="Q192" s="3" t="str">
        <v>High Profit</v>
      </c>
    </row>
    <row r="193" spans="1:17" x14ac:dyDescent="0.3">
      <c r="A193" t="s">
        <v>640</v>
      </c>
      <c r="B193" s="2">
        <v>45916</v>
      </c>
      <c r="C193" s="2" t="str">
        <f t="shared" si="10"/>
        <v>September</v>
      </c>
      <c r="D193" t="s">
        <v>469</v>
      </c>
      <c r="E193" t="s">
        <v>348</v>
      </c>
      <c r="F193">
        <v>2</v>
      </c>
      <c r="G193" t="s">
        <v>1454</v>
      </c>
      <c r="H193" t="s">
        <v>1455</v>
      </c>
      <c r="I193" t="s">
        <v>335</v>
      </c>
      <c r="J193" t="str">
        <f>_xlfn.XLOOKUP(E193, Product_Master!$A$2:$A$101, Product_Master!$C$2:$C$101)</f>
        <v>Accessories</v>
      </c>
      <c r="K193">
        <f>_xlfn.XLOOKUP(E193, Product_Master!$A$2:$A$101, Product_Master!$D$2:$D$101)</f>
        <v>900</v>
      </c>
      <c r="L193">
        <f>_xlfn.XLOOKUP(E193, Product_Master!$A$2:$A$101, Product_Master!$E$2:$E$101)</f>
        <v>1500</v>
      </c>
      <c r="M193">
        <f t="shared" si="11"/>
        <v>3000</v>
      </c>
      <c r="N193">
        <f t="shared" si="12"/>
        <v>1800</v>
      </c>
      <c r="O193">
        <f t="shared" si="13"/>
        <v>1200</v>
      </c>
      <c r="P193" s="3">
        <f t="shared" si="14"/>
        <v>0.4</v>
      </c>
      <c r="Q193" s="3" t="str">
        <v>High Profit</v>
      </c>
    </row>
    <row r="194" spans="1:17" x14ac:dyDescent="0.3">
      <c r="A194" t="s">
        <v>641</v>
      </c>
      <c r="B194" s="2">
        <v>45890</v>
      </c>
      <c r="C194" s="2" t="str">
        <f t="shared" si="10"/>
        <v>August</v>
      </c>
      <c r="D194" t="s">
        <v>79</v>
      </c>
      <c r="E194" t="s">
        <v>381</v>
      </c>
      <c r="F194">
        <v>4</v>
      </c>
      <c r="G194" t="s">
        <v>47</v>
      </c>
      <c r="H194" t="s">
        <v>20</v>
      </c>
      <c r="I194" t="s">
        <v>329</v>
      </c>
      <c r="J194" t="str">
        <f>_xlfn.XLOOKUP(E194, Product_Master!$A$2:$A$101, Product_Master!$C$2:$C$101)</f>
        <v>Electronics</v>
      </c>
      <c r="K194">
        <f>_xlfn.XLOOKUP(E194, Product_Master!$A$2:$A$101, Product_Master!$D$2:$D$101)</f>
        <v>20000</v>
      </c>
      <c r="L194">
        <f>_xlfn.XLOOKUP(E194, Product_Master!$A$2:$A$101, Product_Master!$E$2:$E$101)</f>
        <v>25000</v>
      </c>
      <c r="M194">
        <f t="shared" si="11"/>
        <v>100000</v>
      </c>
      <c r="N194">
        <f t="shared" si="12"/>
        <v>80000</v>
      </c>
      <c r="O194">
        <f t="shared" si="13"/>
        <v>20000</v>
      </c>
      <c r="P194" s="3">
        <f t="shared" si="14"/>
        <v>0.2</v>
      </c>
      <c r="Q194" s="3" t="str">
        <v>Low Profit</v>
      </c>
    </row>
    <row r="195" spans="1:17" x14ac:dyDescent="0.3">
      <c r="A195" t="s">
        <v>642</v>
      </c>
      <c r="B195" s="2">
        <v>45719</v>
      </c>
      <c r="C195" s="2" t="str">
        <f t="shared" ref="C195:C258" si="15">TEXT(B195,"MMMM")</f>
        <v>March</v>
      </c>
      <c r="D195" t="s">
        <v>206</v>
      </c>
      <c r="E195" t="s">
        <v>374</v>
      </c>
      <c r="F195">
        <v>4</v>
      </c>
      <c r="G195" t="s">
        <v>29</v>
      </c>
      <c r="H195" t="s">
        <v>31</v>
      </c>
      <c r="I195" t="s">
        <v>346</v>
      </c>
      <c r="J195" t="str">
        <f>_xlfn.XLOOKUP(E195, Product_Master!$A$2:$A$101, Product_Master!$C$2:$C$101)</f>
        <v>Accessories</v>
      </c>
      <c r="K195">
        <f>_xlfn.XLOOKUP(E195, Product_Master!$A$2:$A$101, Product_Master!$D$2:$D$101)</f>
        <v>9000</v>
      </c>
      <c r="L195">
        <f>_xlfn.XLOOKUP(E195, Product_Master!$A$2:$A$101, Product_Master!$E$2:$E$101)</f>
        <v>12000</v>
      </c>
      <c r="M195">
        <f t="shared" ref="M195:M258" si="16">F195*L195</f>
        <v>48000</v>
      </c>
      <c r="N195">
        <f t="shared" ref="N195:N258" si="17">F195*K195</f>
        <v>36000</v>
      </c>
      <c r="O195">
        <f t="shared" ref="O195:O258" si="18">M195-N195</f>
        <v>12000</v>
      </c>
      <c r="P195" s="3">
        <f t="shared" ref="P195:P258" si="19">O195/M195</f>
        <v>0.25</v>
      </c>
      <c r="Q195" s="3" t="str">
        <v>High Profit</v>
      </c>
    </row>
    <row r="196" spans="1:17" x14ac:dyDescent="0.3">
      <c r="A196" t="s">
        <v>643</v>
      </c>
      <c r="B196" s="2">
        <v>45732</v>
      </c>
      <c r="C196" s="2" t="str">
        <f t="shared" si="15"/>
        <v>March</v>
      </c>
      <c r="D196" t="s">
        <v>318</v>
      </c>
      <c r="E196" t="s">
        <v>428</v>
      </c>
      <c r="F196">
        <v>5</v>
      </c>
      <c r="G196" t="s">
        <v>16</v>
      </c>
      <c r="H196" t="s">
        <v>31</v>
      </c>
      <c r="I196" t="s">
        <v>335</v>
      </c>
      <c r="J196" t="str">
        <f>_xlfn.XLOOKUP(E196, Product_Master!$A$2:$A$101, Product_Master!$C$2:$C$101)</f>
        <v>Accessories</v>
      </c>
      <c r="K196">
        <f>_xlfn.XLOOKUP(E196, Product_Master!$A$2:$A$101, Product_Master!$D$2:$D$101)</f>
        <v>900</v>
      </c>
      <c r="L196">
        <f>_xlfn.XLOOKUP(E196, Product_Master!$A$2:$A$101, Product_Master!$E$2:$E$101)</f>
        <v>1500</v>
      </c>
      <c r="M196">
        <f t="shared" si="16"/>
        <v>7500</v>
      </c>
      <c r="N196">
        <f t="shared" si="17"/>
        <v>4500</v>
      </c>
      <c r="O196">
        <f t="shared" si="18"/>
        <v>3000</v>
      </c>
      <c r="P196" s="3">
        <f t="shared" si="19"/>
        <v>0.4</v>
      </c>
      <c r="Q196" s="3" t="str">
        <v>High Profit</v>
      </c>
    </row>
    <row r="197" spans="1:17" x14ac:dyDescent="0.3">
      <c r="A197" t="s">
        <v>644</v>
      </c>
      <c r="B197" s="2">
        <v>45658</v>
      </c>
      <c r="C197" s="2" t="str">
        <f t="shared" si="15"/>
        <v>January</v>
      </c>
      <c r="D197" t="s">
        <v>150</v>
      </c>
      <c r="E197" t="s">
        <v>387</v>
      </c>
      <c r="F197">
        <v>2</v>
      </c>
      <c r="G197" t="s">
        <v>12</v>
      </c>
      <c r="H197" t="s">
        <v>17</v>
      </c>
      <c r="I197" t="s">
        <v>332</v>
      </c>
      <c r="J197" t="str">
        <f>_xlfn.XLOOKUP(E197, Product_Master!$A$2:$A$101, Product_Master!$C$2:$C$101)</f>
        <v>Accessories</v>
      </c>
      <c r="K197">
        <f>_xlfn.XLOOKUP(E197, Product_Master!$A$2:$A$101, Product_Master!$D$2:$D$101)</f>
        <v>500</v>
      </c>
      <c r="L197">
        <f>_xlfn.XLOOKUP(E197, Product_Master!$A$2:$A$101, Product_Master!$E$2:$E$101)</f>
        <v>800</v>
      </c>
      <c r="M197">
        <f t="shared" si="16"/>
        <v>1600</v>
      </c>
      <c r="N197">
        <f t="shared" si="17"/>
        <v>1000</v>
      </c>
      <c r="O197">
        <f t="shared" si="18"/>
        <v>600</v>
      </c>
      <c r="P197" s="3">
        <f t="shared" si="19"/>
        <v>0.375</v>
      </c>
      <c r="Q197" s="3" t="str">
        <v>High Profit</v>
      </c>
    </row>
    <row r="198" spans="1:17" x14ac:dyDescent="0.3">
      <c r="A198" t="s">
        <v>645</v>
      </c>
      <c r="B198" s="2">
        <v>45879</v>
      </c>
      <c r="C198" s="2" t="str">
        <f t="shared" si="15"/>
        <v>August</v>
      </c>
      <c r="D198" t="s">
        <v>130</v>
      </c>
      <c r="E198" t="s">
        <v>422</v>
      </c>
      <c r="F198">
        <v>2</v>
      </c>
      <c r="G198" t="s">
        <v>47</v>
      </c>
      <c r="H198" t="s">
        <v>20</v>
      </c>
      <c r="I198" t="s">
        <v>332</v>
      </c>
      <c r="J198" t="str">
        <f>_xlfn.XLOOKUP(E198, Product_Master!$A$2:$A$101, Product_Master!$C$2:$C$101)</f>
        <v>Accessories</v>
      </c>
      <c r="K198">
        <f>_xlfn.XLOOKUP(E198, Product_Master!$A$2:$A$101, Product_Master!$D$2:$D$101)</f>
        <v>500</v>
      </c>
      <c r="L198">
        <f>_xlfn.XLOOKUP(E198, Product_Master!$A$2:$A$101, Product_Master!$E$2:$E$101)</f>
        <v>800</v>
      </c>
      <c r="M198">
        <f t="shared" si="16"/>
        <v>1600</v>
      </c>
      <c r="N198">
        <f t="shared" si="17"/>
        <v>1000</v>
      </c>
      <c r="O198">
        <f t="shared" si="18"/>
        <v>600</v>
      </c>
      <c r="P198" s="3">
        <f t="shared" si="19"/>
        <v>0.375</v>
      </c>
      <c r="Q198" s="3" t="str">
        <v>High Profit</v>
      </c>
    </row>
    <row r="199" spans="1:17" x14ac:dyDescent="0.3">
      <c r="A199" t="s">
        <v>646</v>
      </c>
      <c r="B199" s="2">
        <v>45668</v>
      </c>
      <c r="C199" s="2" t="str">
        <f t="shared" si="15"/>
        <v>January</v>
      </c>
      <c r="D199" t="s">
        <v>62</v>
      </c>
      <c r="E199" t="s">
        <v>380</v>
      </c>
      <c r="F199">
        <v>5</v>
      </c>
      <c r="G199" t="s">
        <v>37</v>
      </c>
      <c r="H199" t="s">
        <v>8</v>
      </c>
      <c r="I199" t="s">
        <v>340</v>
      </c>
      <c r="J199" t="str">
        <f>_xlfn.XLOOKUP(E199, Product_Master!$A$2:$A$101, Product_Master!$C$2:$C$101)</f>
        <v>Electronics</v>
      </c>
      <c r="K199">
        <f>_xlfn.XLOOKUP(E199, Product_Master!$A$2:$A$101, Product_Master!$D$2:$D$101)</f>
        <v>42000</v>
      </c>
      <c r="L199">
        <f>_xlfn.XLOOKUP(E199, Product_Master!$A$2:$A$101, Product_Master!$E$2:$E$101)</f>
        <v>50000</v>
      </c>
      <c r="M199">
        <f t="shared" si="16"/>
        <v>250000</v>
      </c>
      <c r="N199">
        <f t="shared" si="17"/>
        <v>210000</v>
      </c>
      <c r="O199">
        <f t="shared" si="18"/>
        <v>40000</v>
      </c>
      <c r="P199" s="3">
        <f t="shared" si="19"/>
        <v>0.16</v>
      </c>
      <c r="Q199" s="3" t="str">
        <v>Low Profit</v>
      </c>
    </row>
    <row r="200" spans="1:17" x14ac:dyDescent="0.3">
      <c r="A200" t="s">
        <v>647</v>
      </c>
      <c r="B200" s="2">
        <v>45736</v>
      </c>
      <c r="C200" s="2" t="str">
        <f t="shared" si="15"/>
        <v>March</v>
      </c>
      <c r="D200" t="s">
        <v>225</v>
      </c>
      <c r="E200" t="s">
        <v>375</v>
      </c>
      <c r="F200">
        <v>1</v>
      </c>
      <c r="G200" t="s">
        <v>10</v>
      </c>
      <c r="H200" t="s">
        <v>20</v>
      </c>
      <c r="I200" t="s">
        <v>329</v>
      </c>
      <c r="J200" t="str">
        <f>_xlfn.XLOOKUP(E200, Product_Master!$A$2:$A$101, Product_Master!$C$2:$C$101)</f>
        <v>Electronics</v>
      </c>
      <c r="K200">
        <f>_xlfn.XLOOKUP(E200, Product_Master!$A$2:$A$101, Product_Master!$D$2:$D$101)</f>
        <v>20000</v>
      </c>
      <c r="L200">
        <f>_xlfn.XLOOKUP(E200, Product_Master!$A$2:$A$101, Product_Master!$E$2:$E$101)</f>
        <v>25000</v>
      </c>
      <c r="M200">
        <f t="shared" si="16"/>
        <v>25000</v>
      </c>
      <c r="N200">
        <f t="shared" si="17"/>
        <v>20000</v>
      </c>
      <c r="O200">
        <f t="shared" si="18"/>
        <v>5000</v>
      </c>
      <c r="P200" s="3">
        <f t="shared" si="19"/>
        <v>0.2</v>
      </c>
      <c r="Q200" s="3" t="str">
        <v>Low Profit</v>
      </c>
    </row>
    <row r="201" spans="1:17" x14ac:dyDescent="0.3">
      <c r="A201" t="s">
        <v>648</v>
      </c>
      <c r="B201" s="2">
        <v>45659</v>
      </c>
      <c r="C201" s="2" t="str">
        <f t="shared" si="15"/>
        <v>January</v>
      </c>
      <c r="D201" t="s">
        <v>225</v>
      </c>
      <c r="E201" t="s">
        <v>428</v>
      </c>
      <c r="F201">
        <v>2</v>
      </c>
      <c r="G201" t="s">
        <v>10</v>
      </c>
      <c r="H201" t="s">
        <v>20</v>
      </c>
      <c r="I201" t="s">
        <v>335</v>
      </c>
      <c r="J201" t="str">
        <f>_xlfn.XLOOKUP(E201, Product_Master!$A$2:$A$101, Product_Master!$C$2:$C$101)</f>
        <v>Accessories</v>
      </c>
      <c r="K201">
        <f>_xlfn.XLOOKUP(E201, Product_Master!$A$2:$A$101, Product_Master!$D$2:$D$101)</f>
        <v>900</v>
      </c>
      <c r="L201">
        <f>_xlfn.XLOOKUP(E201, Product_Master!$A$2:$A$101, Product_Master!$E$2:$E$101)</f>
        <v>1500</v>
      </c>
      <c r="M201">
        <f t="shared" si="16"/>
        <v>3000</v>
      </c>
      <c r="N201">
        <f t="shared" si="17"/>
        <v>1800</v>
      </c>
      <c r="O201">
        <f t="shared" si="18"/>
        <v>1200</v>
      </c>
      <c r="P201" s="3">
        <f t="shared" si="19"/>
        <v>0.4</v>
      </c>
      <c r="Q201" s="3" t="str">
        <v>High Profit</v>
      </c>
    </row>
    <row r="202" spans="1:17" x14ac:dyDescent="0.3">
      <c r="A202" t="s">
        <v>649</v>
      </c>
      <c r="B202" s="2">
        <v>46005</v>
      </c>
      <c r="C202" s="2" t="str">
        <f t="shared" si="15"/>
        <v>December</v>
      </c>
      <c r="D202" t="s">
        <v>210</v>
      </c>
      <c r="E202" t="s">
        <v>403</v>
      </c>
      <c r="F202">
        <v>2</v>
      </c>
      <c r="G202" t="s">
        <v>45</v>
      </c>
      <c r="H202" t="s">
        <v>27</v>
      </c>
      <c r="I202" t="s">
        <v>353</v>
      </c>
      <c r="J202" t="str">
        <f>_xlfn.XLOOKUP(E202, Product_Master!$A$2:$A$101, Product_Master!$C$2:$C$101)</f>
        <v>Electronics</v>
      </c>
      <c r="K202">
        <f>_xlfn.XLOOKUP(E202, Product_Master!$A$2:$A$101, Product_Master!$D$2:$D$101)</f>
        <v>12000</v>
      </c>
      <c r="L202">
        <f>_xlfn.XLOOKUP(E202, Product_Master!$A$2:$A$101, Product_Master!$E$2:$E$101)</f>
        <v>15000</v>
      </c>
      <c r="M202">
        <f t="shared" si="16"/>
        <v>30000</v>
      </c>
      <c r="N202">
        <f t="shared" si="17"/>
        <v>24000</v>
      </c>
      <c r="O202">
        <f t="shared" si="18"/>
        <v>6000</v>
      </c>
      <c r="P202" s="3">
        <f t="shared" si="19"/>
        <v>0.2</v>
      </c>
      <c r="Q202" s="3" t="str">
        <v>Low Profit</v>
      </c>
    </row>
    <row r="203" spans="1:17" x14ac:dyDescent="0.3">
      <c r="A203" t="s">
        <v>650</v>
      </c>
      <c r="B203" s="2">
        <v>45829</v>
      </c>
      <c r="C203" s="2" t="str">
        <f t="shared" si="15"/>
        <v>June</v>
      </c>
      <c r="D203" t="s">
        <v>113</v>
      </c>
      <c r="E203" t="s">
        <v>427</v>
      </c>
      <c r="F203">
        <v>4</v>
      </c>
      <c r="G203" t="s">
        <v>22</v>
      </c>
      <c r="H203" t="s">
        <v>20</v>
      </c>
      <c r="I203" t="s">
        <v>329</v>
      </c>
      <c r="J203" t="str">
        <f>_xlfn.XLOOKUP(E203, Product_Master!$A$2:$A$101, Product_Master!$C$2:$C$101)</f>
        <v>Electronics</v>
      </c>
      <c r="K203">
        <f>_xlfn.XLOOKUP(E203, Product_Master!$A$2:$A$101, Product_Master!$D$2:$D$101)</f>
        <v>20000</v>
      </c>
      <c r="L203">
        <f>_xlfn.XLOOKUP(E203, Product_Master!$A$2:$A$101, Product_Master!$E$2:$E$101)</f>
        <v>25000</v>
      </c>
      <c r="M203">
        <f t="shared" si="16"/>
        <v>100000</v>
      </c>
      <c r="N203">
        <f t="shared" si="17"/>
        <v>80000</v>
      </c>
      <c r="O203">
        <f t="shared" si="18"/>
        <v>20000</v>
      </c>
      <c r="P203" s="3">
        <f t="shared" si="19"/>
        <v>0.2</v>
      </c>
      <c r="Q203" s="3" t="str">
        <v>Low Profit</v>
      </c>
    </row>
    <row r="204" spans="1:17" x14ac:dyDescent="0.3">
      <c r="A204" t="s">
        <v>651</v>
      </c>
      <c r="B204" s="2">
        <v>45929</v>
      </c>
      <c r="C204" s="2" t="str">
        <f t="shared" si="15"/>
        <v>September</v>
      </c>
      <c r="D204" t="s">
        <v>285</v>
      </c>
      <c r="E204" t="s">
        <v>411</v>
      </c>
      <c r="F204">
        <v>1</v>
      </c>
      <c r="G204" t="s">
        <v>19</v>
      </c>
      <c r="H204" t="s">
        <v>1455</v>
      </c>
      <c r="I204" t="s">
        <v>346</v>
      </c>
      <c r="J204" t="str">
        <f>_xlfn.XLOOKUP(E204, Product_Master!$A$2:$A$101, Product_Master!$C$2:$C$101)</f>
        <v>Accessories</v>
      </c>
      <c r="K204">
        <f>_xlfn.XLOOKUP(E204, Product_Master!$A$2:$A$101, Product_Master!$D$2:$D$101)</f>
        <v>9000</v>
      </c>
      <c r="L204">
        <f>_xlfn.XLOOKUP(E204, Product_Master!$A$2:$A$101, Product_Master!$E$2:$E$101)</f>
        <v>12000</v>
      </c>
      <c r="M204">
        <f t="shared" si="16"/>
        <v>12000</v>
      </c>
      <c r="N204">
        <f t="shared" si="17"/>
        <v>9000</v>
      </c>
      <c r="O204">
        <f t="shared" si="18"/>
        <v>3000</v>
      </c>
      <c r="P204" s="3">
        <f t="shared" si="19"/>
        <v>0.25</v>
      </c>
      <c r="Q204" s="3" t="str">
        <v>High Profit</v>
      </c>
    </row>
    <row r="205" spans="1:17" x14ac:dyDescent="0.3">
      <c r="A205" t="s">
        <v>652</v>
      </c>
      <c r="B205" s="2">
        <v>45864</v>
      </c>
      <c r="C205" s="2" t="str">
        <f t="shared" si="15"/>
        <v>July</v>
      </c>
      <c r="D205" t="s">
        <v>223</v>
      </c>
      <c r="E205" t="s">
        <v>394</v>
      </c>
      <c r="F205">
        <v>3</v>
      </c>
      <c r="G205" t="s">
        <v>37</v>
      </c>
      <c r="H205" t="s">
        <v>8</v>
      </c>
      <c r="I205" t="s">
        <v>332</v>
      </c>
      <c r="J205" t="str">
        <f>_xlfn.XLOOKUP(E205, Product_Master!$A$2:$A$101, Product_Master!$C$2:$C$101)</f>
        <v>Accessories</v>
      </c>
      <c r="K205">
        <f>_xlfn.XLOOKUP(E205, Product_Master!$A$2:$A$101, Product_Master!$D$2:$D$101)</f>
        <v>500</v>
      </c>
      <c r="L205">
        <f>_xlfn.XLOOKUP(E205, Product_Master!$A$2:$A$101, Product_Master!$E$2:$E$101)</f>
        <v>800</v>
      </c>
      <c r="M205">
        <f t="shared" si="16"/>
        <v>2400</v>
      </c>
      <c r="N205">
        <f t="shared" si="17"/>
        <v>1500</v>
      </c>
      <c r="O205">
        <f t="shared" si="18"/>
        <v>900</v>
      </c>
      <c r="P205" s="3">
        <f t="shared" si="19"/>
        <v>0.375</v>
      </c>
      <c r="Q205" s="3" t="str">
        <v>High Profit</v>
      </c>
    </row>
    <row r="206" spans="1:17" x14ac:dyDescent="0.3">
      <c r="A206" t="s">
        <v>653</v>
      </c>
      <c r="B206" s="2">
        <v>46010</v>
      </c>
      <c r="C206" s="2" t="str">
        <f t="shared" si="15"/>
        <v>December</v>
      </c>
      <c r="D206" t="s">
        <v>137</v>
      </c>
      <c r="E206" t="s">
        <v>359</v>
      </c>
      <c r="F206">
        <v>5</v>
      </c>
      <c r="G206" t="s">
        <v>4</v>
      </c>
      <c r="H206" t="s">
        <v>5</v>
      </c>
      <c r="I206" t="s">
        <v>329</v>
      </c>
      <c r="J206" t="str">
        <f>_xlfn.XLOOKUP(E206, Product_Master!$A$2:$A$101, Product_Master!$C$2:$C$101)</f>
        <v>Electronics</v>
      </c>
      <c r="K206">
        <f>_xlfn.XLOOKUP(E206, Product_Master!$A$2:$A$101, Product_Master!$D$2:$D$101)</f>
        <v>20000</v>
      </c>
      <c r="L206">
        <f>_xlfn.XLOOKUP(E206, Product_Master!$A$2:$A$101, Product_Master!$E$2:$E$101)</f>
        <v>25000</v>
      </c>
      <c r="M206">
        <f t="shared" si="16"/>
        <v>125000</v>
      </c>
      <c r="N206">
        <f t="shared" si="17"/>
        <v>100000</v>
      </c>
      <c r="O206">
        <f t="shared" si="18"/>
        <v>25000</v>
      </c>
      <c r="P206" s="3">
        <f t="shared" si="19"/>
        <v>0.2</v>
      </c>
      <c r="Q206" s="3" t="str">
        <v>Low Profit</v>
      </c>
    </row>
    <row r="207" spans="1:17" x14ac:dyDescent="0.3">
      <c r="A207" t="s">
        <v>654</v>
      </c>
      <c r="B207" s="2">
        <v>45753</v>
      </c>
      <c r="C207" s="2" t="str">
        <f t="shared" si="15"/>
        <v>April</v>
      </c>
      <c r="D207" t="s">
        <v>226</v>
      </c>
      <c r="E207" t="s">
        <v>357</v>
      </c>
      <c r="F207">
        <v>2</v>
      </c>
      <c r="G207" t="s">
        <v>10</v>
      </c>
      <c r="H207" t="s">
        <v>14</v>
      </c>
      <c r="I207" t="s">
        <v>340</v>
      </c>
      <c r="J207" t="str">
        <f>_xlfn.XLOOKUP(E207, Product_Master!$A$2:$A$101, Product_Master!$C$2:$C$101)</f>
        <v>Electronics</v>
      </c>
      <c r="K207">
        <f>_xlfn.XLOOKUP(E207, Product_Master!$A$2:$A$101, Product_Master!$D$2:$D$101)</f>
        <v>42000</v>
      </c>
      <c r="L207">
        <f>_xlfn.XLOOKUP(E207, Product_Master!$A$2:$A$101, Product_Master!$E$2:$E$101)</f>
        <v>50000</v>
      </c>
      <c r="M207">
        <f t="shared" si="16"/>
        <v>100000</v>
      </c>
      <c r="N207">
        <f t="shared" si="17"/>
        <v>84000</v>
      </c>
      <c r="O207">
        <f t="shared" si="18"/>
        <v>16000</v>
      </c>
      <c r="P207" s="3">
        <f t="shared" si="19"/>
        <v>0.16</v>
      </c>
      <c r="Q207" s="3" t="str">
        <v>Low Profit</v>
      </c>
    </row>
    <row r="208" spans="1:17" x14ac:dyDescent="0.3">
      <c r="A208" t="s">
        <v>655</v>
      </c>
      <c r="B208" s="2">
        <v>45691</v>
      </c>
      <c r="C208" s="2" t="str">
        <f t="shared" si="15"/>
        <v>February</v>
      </c>
      <c r="D208" t="s">
        <v>217</v>
      </c>
      <c r="E208" t="s">
        <v>356</v>
      </c>
      <c r="F208">
        <v>3</v>
      </c>
      <c r="G208" t="s">
        <v>10</v>
      </c>
      <c r="H208" t="s">
        <v>31</v>
      </c>
      <c r="I208" t="s">
        <v>340</v>
      </c>
      <c r="J208" t="str">
        <f>_xlfn.XLOOKUP(E208, Product_Master!$A$2:$A$101, Product_Master!$C$2:$C$101)</f>
        <v>Electronics</v>
      </c>
      <c r="K208">
        <f>_xlfn.XLOOKUP(E208, Product_Master!$A$2:$A$101, Product_Master!$D$2:$D$101)</f>
        <v>42000</v>
      </c>
      <c r="L208">
        <f>_xlfn.XLOOKUP(E208, Product_Master!$A$2:$A$101, Product_Master!$E$2:$E$101)</f>
        <v>50000</v>
      </c>
      <c r="M208">
        <f t="shared" si="16"/>
        <v>150000</v>
      </c>
      <c r="N208">
        <f t="shared" si="17"/>
        <v>126000</v>
      </c>
      <c r="O208">
        <f t="shared" si="18"/>
        <v>24000</v>
      </c>
      <c r="P208" s="3">
        <f t="shared" si="19"/>
        <v>0.16</v>
      </c>
      <c r="Q208" s="3" t="str">
        <v>Low Profit</v>
      </c>
    </row>
    <row r="209" spans="1:17" x14ac:dyDescent="0.3">
      <c r="A209" t="s">
        <v>656</v>
      </c>
      <c r="B209" s="2">
        <v>45974</v>
      </c>
      <c r="C209" s="2" t="str">
        <f t="shared" si="15"/>
        <v>November</v>
      </c>
      <c r="D209" t="s">
        <v>78</v>
      </c>
      <c r="E209" t="s">
        <v>437</v>
      </c>
      <c r="F209">
        <v>5</v>
      </c>
      <c r="G209" t="s">
        <v>7</v>
      </c>
      <c r="H209" t="s">
        <v>39</v>
      </c>
      <c r="I209" t="s">
        <v>344</v>
      </c>
      <c r="J209" t="str">
        <f>_xlfn.XLOOKUP(E209, Product_Master!$A$2:$A$101, Product_Master!$C$2:$C$101)</f>
        <v>Accessories</v>
      </c>
      <c r="K209">
        <f>_xlfn.XLOOKUP(E209, Product_Master!$A$2:$A$101, Product_Master!$D$2:$D$101)</f>
        <v>2000</v>
      </c>
      <c r="L209">
        <f>_xlfn.XLOOKUP(E209, Product_Master!$A$2:$A$101, Product_Master!$E$2:$E$101)</f>
        <v>3000</v>
      </c>
      <c r="M209">
        <f t="shared" si="16"/>
        <v>15000</v>
      </c>
      <c r="N209">
        <f t="shared" si="17"/>
        <v>10000</v>
      </c>
      <c r="O209">
        <f t="shared" si="18"/>
        <v>5000</v>
      </c>
      <c r="P209" s="3">
        <f t="shared" si="19"/>
        <v>0.33333333333333331</v>
      </c>
      <c r="Q209" s="3" t="str">
        <v>High Profit</v>
      </c>
    </row>
    <row r="210" spans="1:17" x14ac:dyDescent="0.3">
      <c r="A210" t="s">
        <v>657</v>
      </c>
      <c r="B210" s="2">
        <v>45969</v>
      </c>
      <c r="C210" s="2" t="str">
        <f t="shared" si="15"/>
        <v>November</v>
      </c>
      <c r="D210" t="s">
        <v>148</v>
      </c>
      <c r="E210" t="s">
        <v>338</v>
      </c>
      <c r="F210">
        <v>4</v>
      </c>
      <c r="G210" t="s">
        <v>4</v>
      </c>
      <c r="H210" t="s">
        <v>5</v>
      </c>
      <c r="I210" t="s">
        <v>332</v>
      </c>
      <c r="J210" t="str">
        <f>_xlfn.XLOOKUP(E210, Product_Master!$A$2:$A$101, Product_Master!$C$2:$C$101)</f>
        <v>Accessories</v>
      </c>
      <c r="K210">
        <f>_xlfn.XLOOKUP(E210, Product_Master!$A$2:$A$101, Product_Master!$D$2:$D$101)</f>
        <v>500</v>
      </c>
      <c r="L210">
        <f>_xlfn.XLOOKUP(E210, Product_Master!$A$2:$A$101, Product_Master!$E$2:$E$101)</f>
        <v>800</v>
      </c>
      <c r="M210">
        <f t="shared" si="16"/>
        <v>3200</v>
      </c>
      <c r="N210">
        <f t="shared" si="17"/>
        <v>2000</v>
      </c>
      <c r="O210">
        <f t="shared" si="18"/>
        <v>1200</v>
      </c>
      <c r="P210" s="3">
        <f t="shared" si="19"/>
        <v>0.375</v>
      </c>
      <c r="Q210" s="3" t="str">
        <v>High Profit</v>
      </c>
    </row>
    <row r="211" spans="1:17" x14ac:dyDescent="0.3">
      <c r="A211" t="s">
        <v>658</v>
      </c>
      <c r="B211" s="2">
        <v>45727</v>
      </c>
      <c r="C211" s="2" t="str">
        <f t="shared" si="15"/>
        <v>March</v>
      </c>
      <c r="D211" t="s">
        <v>278</v>
      </c>
      <c r="E211" t="s">
        <v>391</v>
      </c>
      <c r="F211">
        <v>2</v>
      </c>
      <c r="G211" t="s">
        <v>37</v>
      </c>
      <c r="H211" t="s">
        <v>8</v>
      </c>
      <c r="I211" t="s">
        <v>332</v>
      </c>
      <c r="J211" t="str">
        <f>_xlfn.XLOOKUP(E211, Product_Master!$A$2:$A$101, Product_Master!$C$2:$C$101)</f>
        <v>Accessories</v>
      </c>
      <c r="K211">
        <f>_xlfn.XLOOKUP(E211, Product_Master!$A$2:$A$101, Product_Master!$D$2:$D$101)</f>
        <v>500</v>
      </c>
      <c r="L211">
        <f>_xlfn.XLOOKUP(E211, Product_Master!$A$2:$A$101, Product_Master!$E$2:$E$101)</f>
        <v>800</v>
      </c>
      <c r="M211">
        <f t="shared" si="16"/>
        <v>1600</v>
      </c>
      <c r="N211">
        <f t="shared" si="17"/>
        <v>1000</v>
      </c>
      <c r="O211">
        <f t="shared" si="18"/>
        <v>600</v>
      </c>
      <c r="P211" s="3">
        <f t="shared" si="19"/>
        <v>0.375</v>
      </c>
      <c r="Q211" s="3" t="str">
        <v>High Profit</v>
      </c>
    </row>
    <row r="212" spans="1:17" x14ac:dyDescent="0.3">
      <c r="A212" t="s">
        <v>659</v>
      </c>
      <c r="B212" s="2">
        <v>46020</v>
      </c>
      <c r="C212" s="2" t="str">
        <f t="shared" si="15"/>
        <v>December</v>
      </c>
      <c r="D212" t="s">
        <v>284</v>
      </c>
      <c r="E212" t="s">
        <v>424</v>
      </c>
      <c r="F212">
        <v>4</v>
      </c>
      <c r="G212" t="s">
        <v>7</v>
      </c>
      <c r="H212" t="s">
        <v>5</v>
      </c>
      <c r="I212" t="s">
        <v>337</v>
      </c>
      <c r="J212" t="str">
        <f>_xlfn.XLOOKUP(E212, Product_Master!$A$2:$A$101, Product_Master!$C$2:$C$101)</f>
        <v>Electronics</v>
      </c>
      <c r="K212">
        <f>_xlfn.XLOOKUP(E212, Product_Master!$A$2:$A$101, Product_Master!$D$2:$D$101)</f>
        <v>15000</v>
      </c>
      <c r="L212">
        <f>_xlfn.XLOOKUP(E212, Product_Master!$A$2:$A$101, Product_Master!$E$2:$E$101)</f>
        <v>18000</v>
      </c>
      <c r="M212">
        <f t="shared" si="16"/>
        <v>72000</v>
      </c>
      <c r="N212">
        <f t="shared" si="17"/>
        <v>60000</v>
      </c>
      <c r="O212">
        <f t="shared" si="18"/>
        <v>12000</v>
      </c>
      <c r="P212" s="3">
        <f t="shared" si="19"/>
        <v>0.16666666666666666</v>
      </c>
      <c r="Q212" s="3" t="str">
        <v>Low Profit</v>
      </c>
    </row>
    <row r="213" spans="1:17" x14ac:dyDescent="0.3">
      <c r="A213" t="s">
        <v>660</v>
      </c>
      <c r="B213" s="2">
        <v>45844</v>
      </c>
      <c r="C213" s="2" t="str">
        <f t="shared" si="15"/>
        <v>July</v>
      </c>
      <c r="D213" t="s">
        <v>11</v>
      </c>
      <c r="E213" t="s">
        <v>362</v>
      </c>
      <c r="F213">
        <v>4</v>
      </c>
      <c r="G213" t="s">
        <v>12</v>
      </c>
      <c r="H213" t="s">
        <v>8</v>
      </c>
      <c r="I213" t="s">
        <v>332</v>
      </c>
      <c r="J213" t="str">
        <f>_xlfn.XLOOKUP(E213, Product_Master!$A$2:$A$101, Product_Master!$C$2:$C$101)</f>
        <v>Accessories</v>
      </c>
      <c r="K213">
        <f>_xlfn.XLOOKUP(E213, Product_Master!$A$2:$A$101, Product_Master!$D$2:$D$101)</f>
        <v>500</v>
      </c>
      <c r="L213">
        <f>_xlfn.XLOOKUP(E213, Product_Master!$A$2:$A$101, Product_Master!$E$2:$E$101)</f>
        <v>800</v>
      </c>
      <c r="M213">
        <f t="shared" si="16"/>
        <v>3200</v>
      </c>
      <c r="N213">
        <f t="shared" si="17"/>
        <v>2000</v>
      </c>
      <c r="O213">
        <f t="shared" si="18"/>
        <v>1200</v>
      </c>
      <c r="P213" s="3">
        <f t="shared" si="19"/>
        <v>0.375</v>
      </c>
      <c r="Q213" s="3" t="str">
        <v>High Profit</v>
      </c>
    </row>
    <row r="214" spans="1:17" x14ac:dyDescent="0.3">
      <c r="A214" t="s">
        <v>661</v>
      </c>
      <c r="B214" s="2">
        <v>45661</v>
      </c>
      <c r="C214" s="2" t="str">
        <f t="shared" si="15"/>
        <v>January</v>
      </c>
      <c r="D214" t="s">
        <v>77</v>
      </c>
      <c r="E214" t="s">
        <v>373</v>
      </c>
      <c r="F214">
        <v>2</v>
      </c>
      <c r="G214" t="s">
        <v>37</v>
      </c>
      <c r="H214" t="s">
        <v>31</v>
      </c>
      <c r="I214" t="s">
        <v>335</v>
      </c>
      <c r="J214" t="str">
        <f>_xlfn.XLOOKUP(E214, Product_Master!$A$2:$A$101, Product_Master!$C$2:$C$101)</f>
        <v>Accessories</v>
      </c>
      <c r="K214">
        <f>_xlfn.XLOOKUP(E214, Product_Master!$A$2:$A$101, Product_Master!$D$2:$D$101)</f>
        <v>900</v>
      </c>
      <c r="L214">
        <f>_xlfn.XLOOKUP(E214, Product_Master!$A$2:$A$101, Product_Master!$E$2:$E$101)</f>
        <v>1500</v>
      </c>
      <c r="M214">
        <f t="shared" si="16"/>
        <v>3000</v>
      </c>
      <c r="N214">
        <f t="shared" si="17"/>
        <v>1800</v>
      </c>
      <c r="O214">
        <f t="shared" si="18"/>
        <v>1200</v>
      </c>
      <c r="P214" s="3">
        <f t="shared" si="19"/>
        <v>0.4</v>
      </c>
      <c r="Q214" s="3" t="str">
        <v>High Profit</v>
      </c>
    </row>
    <row r="215" spans="1:17" x14ac:dyDescent="0.3">
      <c r="A215" t="s">
        <v>662</v>
      </c>
      <c r="B215" s="2">
        <v>45731</v>
      </c>
      <c r="C215" s="2" t="str">
        <f t="shared" si="15"/>
        <v>March</v>
      </c>
      <c r="D215" t="s">
        <v>69</v>
      </c>
      <c r="E215" t="s">
        <v>363</v>
      </c>
      <c r="F215">
        <v>1</v>
      </c>
      <c r="G215" t="s">
        <v>45</v>
      </c>
      <c r="H215" t="s">
        <v>8</v>
      </c>
      <c r="I215" t="s">
        <v>346</v>
      </c>
      <c r="J215" t="str">
        <f>_xlfn.XLOOKUP(E215, Product_Master!$A$2:$A$101, Product_Master!$C$2:$C$101)</f>
        <v>Accessories</v>
      </c>
      <c r="K215">
        <f>_xlfn.XLOOKUP(E215, Product_Master!$A$2:$A$101, Product_Master!$D$2:$D$101)</f>
        <v>9000</v>
      </c>
      <c r="L215">
        <f>_xlfn.XLOOKUP(E215, Product_Master!$A$2:$A$101, Product_Master!$E$2:$E$101)</f>
        <v>12000</v>
      </c>
      <c r="M215">
        <f t="shared" si="16"/>
        <v>12000</v>
      </c>
      <c r="N215">
        <f t="shared" si="17"/>
        <v>9000</v>
      </c>
      <c r="O215">
        <f t="shared" si="18"/>
        <v>3000</v>
      </c>
      <c r="P215" s="3">
        <f t="shared" si="19"/>
        <v>0.25</v>
      </c>
      <c r="Q215" s="3" t="str">
        <v>High Profit</v>
      </c>
    </row>
    <row r="216" spans="1:17" x14ac:dyDescent="0.3">
      <c r="A216" t="s">
        <v>663</v>
      </c>
      <c r="B216" s="2">
        <v>45752</v>
      </c>
      <c r="C216" s="2" t="str">
        <f t="shared" si="15"/>
        <v>April</v>
      </c>
      <c r="D216" t="s">
        <v>101</v>
      </c>
      <c r="E216" t="s">
        <v>429</v>
      </c>
      <c r="F216">
        <v>1</v>
      </c>
      <c r="G216" t="s">
        <v>16</v>
      </c>
      <c r="H216" t="s">
        <v>8</v>
      </c>
      <c r="I216" t="s">
        <v>340</v>
      </c>
      <c r="J216" t="str">
        <f>_xlfn.XLOOKUP(E216, Product_Master!$A$2:$A$101, Product_Master!$C$2:$C$101)</f>
        <v>Electronics</v>
      </c>
      <c r="K216">
        <f>_xlfn.XLOOKUP(E216, Product_Master!$A$2:$A$101, Product_Master!$D$2:$D$101)</f>
        <v>42000</v>
      </c>
      <c r="L216">
        <f>_xlfn.XLOOKUP(E216, Product_Master!$A$2:$A$101, Product_Master!$E$2:$E$101)</f>
        <v>50000</v>
      </c>
      <c r="M216">
        <f t="shared" si="16"/>
        <v>50000</v>
      </c>
      <c r="N216">
        <f t="shared" si="17"/>
        <v>42000</v>
      </c>
      <c r="O216">
        <f t="shared" si="18"/>
        <v>8000</v>
      </c>
      <c r="P216" s="3">
        <f t="shared" si="19"/>
        <v>0.16</v>
      </c>
      <c r="Q216" s="3" t="str">
        <v>Low Profit</v>
      </c>
    </row>
    <row r="217" spans="1:17" x14ac:dyDescent="0.3">
      <c r="A217" t="s">
        <v>664</v>
      </c>
      <c r="B217" s="2">
        <v>45980</v>
      </c>
      <c r="C217" s="2" t="str">
        <f t="shared" si="15"/>
        <v>November</v>
      </c>
      <c r="D217" t="s">
        <v>72</v>
      </c>
      <c r="E217" t="s">
        <v>377</v>
      </c>
      <c r="F217">
        <v>1</v>
      </c>
      <c r="G217" t="s">
        <v>37</v>
      </c>
      <c r="H217" t="s">
        <v>39</v>
      </c>
      <c r="I217" t="s">
        <v>337</v>
      </c>
      <c r="J217" t="str">
        <f>_xlfn.XLOOKUP(E217, Product_Master!$A$2:$A$101, Product_Master!$C$2:$C$101)</f>
        <v>Electronics</v>
      </c>
      <c r="K217">
        <f>_xlfn.XLOOKUP(E217, Product_Master!$A$2:$A$101, Product_Master!$D$2:$D$101)</f>
        <v>15000</v>
      </c>
      <c r="L217">
        <f>_xlfn.XLOOKUP(E217, Product_Master!$A$2:$A$101, Product_Master!$E$2:$E$101)</f>
        <v>18000</v>
      </c>
      <c r="M217">
        <f t="shared" si="16"/>
        <v>18000</v>
      </c>
      <c r="N217">
        <f t="shared" si="17"/>
        <v>15000</v>
      </c>
      <c r="O217">
        <f t="shared" si="18"/>
        <v>3000</v>
      </c>
      <c r="P217" s="3">
        <f t="shared" si="19"/>
        <v>0.16666666666666666</v>
      </c>
      <c r="Q217" s="3" t="str">
        <v>Low Profit</v>
      </c>
    </row>
    <row r="218" spans="1:17" x14ac:dyDescent="0.3">
      <c r="A218" t="s">
        <v>665</v>
      </c>
      <c r="B218" s="2">
        <v>45669</v>
      </c>
      <c r="C218" s="2" t="str">
        <f t="shared" si="15"/>
        <v>January</v>
      </c>
      <c r="D218" t="s">
        <v>203</v>
      </c>
      <c r="E218" t="s">
        <v>369</v>
      </c>
      <c r="F218">
        <v>1</v>
      </c>
      <c r="G218" t="s">
        <v>10</v>
      </c>
      <c r="H218" t="s">
        <v>20</v>
      </c>
      <c r="I218" t="s">
        <v>329</v>
      </c>
      <c r="J218" t="str">
        <f>_xlfn.XLOOKUP(E218, Product_Master!$A$2:$A$101, Product_Master!$C$2:$C$101)</f>
        <v>Electronics</v>
      </c>
      <c r="K218">
        <f>_xlfn.XLOOKUP(E218, Product_Master!$A$2:$A$101, Product_Master!$D$2:$D$101)</f>
        <v>20000</v>
      </c>
      <c r="L218">
        <f>_xlfn.XLOOKUP(E218, Product_Master!$A$2:$A$101, Product_Master!$E$2:$E$101)</f>
        <v>25000</v>
      </c>
      <c r="M218">
        <f t="shared" si="16"/>
        <v>25000</v>
      </c>
      <c r="N218">
        <f t="shared" si="17"/>
        <v>20000</v>
      </c>
      <c r="O218">
        <f t="shared" si="18"/>
        <v>5000</v>
      </c>
      <c r="P218" s="3">
        <f t="shared" si="19"/>
        <v>0.2</v>
      </c>
      <c r="Q218" s="3" t="str">
        <v>Low Profit</v>
      </c>
    </row>
    <row r="219" spans="1:17" x14ac:dyDescent="0.3">
      <c r="A219" t="s">
        <v>666</v>
      </c>
      <c r="B219" s="2">
        <v>45936</v>
      </c>
      <c r="C219" s="2" t="str">
        <f t="shared" si="15"/>
        <v>October</v>
      </c>
      <c r="D219" t="s">
        <v>203</v>
      </c>
      <c r="E219" t="s">
        <v>422</v>
      </c>
      <c r="F219">
        <v>1</v>
      </c>
      <c r="G219" t="s">
        <v>10</v>
      </c>
      <c r="H219" t="s">
        <v>20</v>
      </c>
      <c r="I219" t="s">
        <v>332</v>
      </c>
      <c r="J219" t="str">
        <f>_xlfn.XLOOKUP(E219, Product_Master!$A$2:$A$101, Product_Master!$C$2:$C$101)</f>
        <v>Accessories</v>
      </c>
      <c r="K219">
        <f>_xlfn.XLOOKUP(E219, Product_Master!$A$2:$A$101, Product_Master!$D$2:$D$101)</f>
        <v>500</v>
      </c>
      <c r="L219">
        <f>_xlfn.XLOOKUP(E219, Product_Master!$A$2:$A$101, Product_Master!$E$2:$E$101)</f>
        <v>800</v>
      </c>
      <c r="M219">
        <f t="shared" si="16"/>
        <v>800</v>
      </c>
      <c r="N219">
        <f t="shared" si="17"/>
        <v>500</v>
      </c>
      <c r="O219">
        <f t="shared" si="18"/>
        <v>300</v>
      </c>
      <c r="P219" s="3">
        <f t="shared" si="19"/>
        <v>0.375</v>
      </c>
      <c r="Q219" s="3" t="str">
        <v>High Profit</v>
      </c>
    </row>
    <row r="220" spans="1:17" x14ac:dyDescent="0.3">
      <c r="A220" t="s">
        <v>667</v>
      </c>
      <c r="B220" s="2">
        <v>45753</v>
      </c>
      <c r="C220" s="2" t="str">
        <f t="shared" si="15"/>
        <v>April</v>
      </c>
      <c r="D220" t="s">
        <v>185</v>
      </c>
      <c r="E220" t="s">
        <v>348</v>
      </c>
      <c r="F220">
        <v>4</v>
      </c>
      <c r="G220" t="s">
        <v>37</v>
      </c>
      <c r="H220" t="s">
        <v>20</v>
      </c>
      <c r="I220" t="s">
        <v>335</v>
      </c>
      <c r="J220" t="str">
        <f>_xlfn.XLOOKUP(E220, Product_Master!$A$2:$A$101, Product_Master!$C$2:$C$101)</f>
        <v>Accessories</v>
      </c>
      <c r="K220">
        <f>_xlfn.XLOOKUP(E220, Product_Master!$A$2:$A$101, Product_Master!$D$2:$D$101)</f>
        <v>900</v>
      </c>
      <c r="L220">
        <f>_xlfn.XLOOKUP(E220, Product_Master!$A$2:$A$101, Product_Master!$E$2:$E$101)</f>
        <v>1500</v>
      </c>
      <c r="M220">
        <f t="shared" si="16"/>
        <v>6000</v>
      </c>
      <c r="N220">
        <f t="shared" si="17"/>
        <v>3600</v>
      </c>
      <c r="O220">
        <f t="shared" si="18"/>
        <v>2400</v>
      </c>
      <c r="P220" s="3">
        <f t="shared" si="19"/>
        <v>0.4</v>
      </c>
      <c r="Q220" s="3" t="str">
        <v>High Profit</v>
      </c>
    </row>
    <row r="221" spans="1:17" x14ac:dyDescent="0.3">
      <c r="A221" t="s">
        <v>668</v>
      </c>
      <c r="B221" s="2">
        <v>45954</v>
      </c>
      <c r="C221" s="2" t="str">
        <f t="shared" si="15"/>
        <v>October</v>
      </c>
      <c r="D221" t="s">
        <v>115</v>
      </c>
      <c r="E221" t="s">
        <v>424</v>
      </c>
      <c r="F221">
        <v>2</v>
      </c>
      <c r="G221" t="s">
        <v>4</v>
      </c>
      <c r="H221" t="s">
        <v>5</v>
      </c>
      <c r="I221" t="s">
        <v>337</v>
      </c>
      <c r="J221" t="str">
        <f>_xlfn.XLOOKUP(E221, Product_Master!$A$2:$A$101, Product_Master!$C$2:$C$101)</f>
        <v>Electronics</v>
      </c>
      <c r="K221">
        <f>_xlfn.XLOOKUP(E221, Product_Master!$A$2:$A$101, Product_Master!$D$2:$D$101)</f>
        <v>15000</v>
      </c>
      <c r="L221">
        <f>_xlfn.XLOOKUP(E221, Product_Master!$A$2:$A$101, Product_Master!$E$2:$E$101)</f>
        <v>18000</v>
      </c>
      <c r="M221">
        <f t="shared" si="16"/>
        <v>36000</v>
      </c>
      <c r="N221">
        <f t="shared" si="17"/>
        <v>30000</v>
      </c>
      <c r="O221">
        <f t="shared" si="18"/>
        <v>6000</v>
      </c>
      <c r="P221" s="3">
        <f t="shared" si="19"/>
        <v>0.16666666666666666</v>
      </c>
      <c r="Q221" s="3" t="str">
        <v>Low Profit</v>
      </c>
    </row>
    <row r="222" spans="1:17" x14ac:dyDescent="0.3">
      <c r="A222" t="s">
        <v>669</v>
      </c>
      <c r="B222" s="2">
        <v>45965</v>
      </c>
      <c r="C222" s="2" t="str">
        <f t="shared" si="15"/>
        <v>November</v>
      </c>
      <c r="D222" t="s">
        <v>312</v>
      </c>
      <c r="E222" t="s">
        <v>403</v>
      </c>
      <c r="F222">
        <v>5</v>
      </c>
      <c r="G222" t="s">
        <v>4</v>
      </c>
      <c r="H222" t="s">
        <v>5</v>
      </c>
      <c r="I222" t="s">
        <v>353</v>
      </c>
      <c r="J222" t="str">
        <f>_xlfn.XLOOKUP(E222, Product_Master!$A$2:$A$101, Product_Master!$C$2:$C$101)</f>
        <v>Electronics</v>
      </c>
      <c r="K222">
        <f>_xlfn.XLOOKUP(E222, Product_Master!$A$2:$A$101, Product_Master!$D$2:$D$101)</f>
        <v>12000</v>
      </c>
      <c r="L222">
        <f>_xlfn.XLOOKUP(E222, Product_Master!$A$2:$A$101, Product_Master!$E$2:$E$101)</f>
        <v>15000</v>
      </c>
      <c r="M222">
        <f t="shared" si="16"/>
        <v>75000</v>
      </c>
      <c r="N222">
        <f t="shared" si="17"/>
        <v>60000</v>
      </c>
      <c r="O222">
        <f t="shared" si="18"/>
        <v>15000</v>
      </c>
      <c r="P222" s="3">
        <f t="shared" si="19"/>
        <v>0.2</v>
      </c>
      <c r="Q222" s="3" t="str">
        <v>Low Profit</v>
      </c>
    </row>
    <row r="223" spans="1:17" x14ac:dyDescent="0.3">
      <c r="A223" t="s">
        <v>670</v>
      </c>
      <c r="B223" s="2">
        <v>45755</v>
      </c>
      <c r="C223" s="2" t="str">
        <f t="shared" si="15"/>
        <v>April</v>
      </c>
      <c r="D223" t="s">
        <v>197</v>
      </c>
      <c r="E223" t="s">
        <v>385</v>
      </c>
      <c r="F223">
        <v>5</v>
      </c>
      <c r="G223" t="s">
        <v>29</v>
      </c>
      <c r="H223" t="s">
        <v>27</v>
      </c>
      <c r="I223" t="s">
        <v>340</v>
      </c>
      <c r="J223" t="str">
        <f>_xlfn.XLOOKUP(E223, Product_Master!$A$2:$A$101, Product_Master!$C$2:$C$101)</f>
        <v>Electronics</v>
      </c>
      <c r="K223">
        <f>_xlfn.XLOOKUP(E223, Product_Master!$A$2:$A$101, Product_Master!$D$2:$D$101)</f>
        <v>42000</v>
      </c>
      <c r="L223">
        <f>_xlfn.XLOOKUP(E223, Product_Master!$A$2:$A$101, Product_Master!$E$2:$E$101)</f>
        <v>50000</v>
      </c>
      <c r="M223">
        <f t="shared" si="16"/>
        <v>250000</v>
      </c>
      <c r="N223">
        <f t="shared" si="17"/>
        <v>210000</v>
      </c>
      <c r="O223">
        <f t="shared" si="18"/>
        <v>40000</v>
      </c>
      <c r="P223" s="3">
        <f t="shared" si="19"/>
        <v>0.16</v>
      </c>
      <c r="Q223" s="3" t="str">
        <v>Low Profit</v>
      </c>
    </row>
    <row r="224" spans="1:17" x14ac:dyDescent="0.3">
      <c r="A224" t="s">
        <v>671</v>
      </c>
      <c r="B224" s="2">
        <v>45701</v>
      </c>
      <c r="C224" s="2" t="str">
        <f t="shared" si="15"/>
        <v>February</v>
      </c>
      <c r="D224" t="s">
        <v>119</v>
      </c>
      <c r="E224" t="s">
        <v>402</v>
      </c>
      <c r="F224">
        <v>3</v>
      </c>
      <c r="G224" t="s">
        <v>24</v>
      </c>
      <c r="H224" t="s">
        <v>14</v>
      </c>
      <c r="I224" t="s">
        <v>332</v>
      </c>
      <c r="J224" t="str">
        <f>_xlfn.XLOOKUP(E224, Product_Master!$A$2:$A$101, Product_Master!$C$2:$C$101)</f>
        <v>Accessories</v>
      </c>
      <c r="K224">
        <f>_xlfn.XLOOKUP(E224, Product_Master!$A$2:$A$101, Product_Master!$D$2:$D$101)</f>
        <v>500</v>
      </c>
      <c r="L224">
        <f>_xlfn.XLOOKUP(E224, Product_Master!$A$2:$A$101, Product_Master!$E$2:$E$101)</f>
        <v>800</v>
      </c>
      <c r="M224">
        <f t="shared" si="16"/>
        <v>2400</v>
      </c>
      <c r="N224">
        <f t="shared" si="17"/>
        <v>1500</v>
      </c>
      <c r="O224">
        <f t="shared" si="18"/>
        <v>900</v>
      </c>
      <c r="P224" s="3">
        <f t="shared" si="19"/>
        <v>0.375</v>
      </c>
      <c r="Q224" s="3" t="str">
        <v>High Profit</v>
      </c>
    </row>
    <row r="225" spans="1:17" x14ac:dyDescent="0.3">
      <c r="A225" t="s">
        <v>672</v>
      </c>
      <c r="B225" s="2">
        <v>45964</v>
      </c>
      <c r="C225" s="2" t="str">
        <f t="shared" si="15"/>
        <v>November</v>
      </c>
      <c r="D225" t="s">
        <v>53</v>
      </c>
      <c r="E225" t="s">
        <v>369</v>
      </c>
      <c r="F225">
        <v>4</v>
      </c>
      <c r="G225" t="s">
        <v>7</v>
      </c>
      <c r="H225" t="s">
        <v>31</v>
      </c>
      <c r="I225" t="s">
        <v>329</v>
      </c>
      <c r="J225" t="str">
        <f>_xlfn.XLOOKUP(E225, Product_Master!$A$2:$A$101, Product_Master!$C$2:$C$101)</f>
        <v>Electronics</v>
      </c>
      <c r="K225">
        <f>_xlfn.XLOOKUP(E225, Product_Master!$A$2:$A$101, Product_Master!$D$2:$D$101)</f>
        <v>20000</v>
      </c>
      <c r="L225">
        <f>_xlfn.XLOOKUP(E225, Product_Master!$A$2:$A$101, Product_Master!$E$2:$E$101)</f>
        <v>25000</v>
      </c>
      <c r="M225">
        <f t="shared" si="16"/>
        <v>100000</v>
      </c>
      <c r="N225">
        <f t="shared" si="17"/>
        <v>80000</v>
      </c>
      <c r="O225">
        <f t="shared" si="18"/>
        <v>20000</v>
      </c>
      <c r="P225" s="3">
        <f t="shared" si="19"/>
        <v>0.2</v>
      </c>
      <c r="Q225" s="3" t="str">
        <v>Low Profit</v>
      </c>
    </row>
    <row r="226" spans="1:17" x14ac:dyDescent="0.3">
      <c r="A226" t="s">
        <v>673</v>
      </c>
      <c r="B226" s="2">
        <v>45744</v>
      </c>
      <c r="C226" s="2" t="str">
        <f t="shared" si="15"/>
        <v>March</v>
      </c>
      <c r="D226" t="s">
        <v>459</v>
      </c>
      <c r="E226" t="s">
        <v>381</v>
      </c>
      <c r="F226">
        <v>1</v>
      </c>
      <c r="G226" t="s">
        <v>1454</v>
      </c>
      <c r="H226" t="s">
        <v>1455</v>
      </c>
      <c r="I226" t="s">
        <v>329</v>
      </c>
      <c r="J226" t="str">
        <f>_xlfn.XLOOKUP(E226, Product_Master!$A$2:$A$101, Product_Master!$C$2:$C$101)</f>
        <v>Electronics</v>
      </c>
      <c r="K226">
        <f>_xlfn.XLOOKUP(E226, Product_Master!$A$2:$A$101, Product_Master!$D$2:$D$101)</f>
        <v>20000</v>
      </c>
      <c r="L226">
        <f>_xlfn.XLOOKUP(E226, Product_Master!$A$2:$A$101, Product_Master!$E$2:$E$101)</f>
        <v>25000</v>
      </c>
      <c r="M226">
        <f t="shared" si="16"/>
        <v>25000</v>
      </c>
      <c r="N226">
        <f t="shared" si="17"/>
        <v>20000</v>
      </c>
      <c r="O226">
        <f t="shared" si="18"/>
        <v>5000</v>
      </c>
      <c r="P226" s="3">
        <f t="shared" si="19"/>
        <v>0.2</v>
      </c>
      <c r="Q226" s="3" t="str">
        <v>Low Profit</v>
      </c>
    </row>
    <row r="227" spans="1:17" x14ac:dyDescent="0.3">
      <c r="A227" t="s">
        <v>674</v>
      </c>
      <c r="B227" s="2">
        <v>45733</v>
      </c>
      <c r="C227" s="2" t="str">
        <f t="shared" si="15"/>
        <v>March</v>
      </c>
      <c r="D227" t="s">
        <v>113</v>
      </c>
      <c r="E227" t="s">
        <v>365</v>
      </c>
      <c r="F227">
        <v>2</v>
      </c>
      <c r="G227" t="s">
        <v>22</v>
      </c>
      <c r="H227" t="s">
        <v>20</v>
      </c>
      <c r="I227" t="s">
        <v>340</v>
      </c>
      <c r="J227" t="str">
        <f>_xlfn.XLOOKUP(E227, Product_Master!$A$2:$A$101, Product_Master!$C$2:$C$101)</f>
        <v>Electronics</v>
      </c>
      <c r="K227">
        <f>_xlfn.XLOOKUP(E227, Product_Master!$A$2:$A$101, Product_Master!$D$2:$D$101)</f>
        <v>42000</v>
      </c>
      <c r="L227">
        <f>_xlfn.XLOOKUP(E227, Product_Master!$A$2:$A$101, Product_Master!$E$2:$E$101)</f>
        <v>50000</v>
      </c>
      <c r="M227">
        <f t="shared" si="16"/>
        <v>100000</v>
      </c>
      <c r="N227">
        <f t="shared" si="17"/>
        <v>84000</v>
      </c>
      <c r="O227">
        <f t="shared" si="18"/>
        <v>16000</v>
      </c>
      <c r="P227" s="3">
        <f t="shared" si="19"/>
        <v>0.16</v>
      </c>
      <c r="Q227" s="3" t="str">
        <v>Low Profit</v>
      </c>
    </row>
    <row r="228" spans="1:17" x14ac:dyDescent="0.3">
      <c r="A228" t="s">
        <v>675</v>
      </c>
      <c r="B228" s="2">
        <v>45832</v>
      </c>
      <c r="C228" s="2" t="str">
        <f t="shared" si="15"/>
        <v>June</v>
      </c>
      <c r="D228" t="s">
        <v>81</v>
      </c>
      <c r="E228" t="s">
        <v>401</v>
      </c>
      <c r="F228">
        <v>1</v>
      </c>
      <c r="G228" t="s">
        <v>4</v>
      </c>
      <c r="H228" t="s">
        <v>27</v>
      </c>
      <c r="I228" t="s">
        <v>335</v>
      </c>
      <c r="J228" t="str">
        <f>_xlfn.XLOOKUP(E228, Product_Master!$A$2:$A$101, Product_Master!$C$2:$C$101)</f>
        <v>Accessories</v>
      </c>
      <c r="K228">
        <f>_xlfn.XLOOKUP(E228, Product_Master!$A$2:$A$101, Product_Master!$D$2:$D$101)</f>
        <v>900</v>
      </c>
      <c r="L228">
        <f>_xlfn.XLOOKUP(E228, Product_Master!$A$2:$A$101, Product_Master!$E$2:$E$101)</f>
        <v>1500</v>
      </c>
      <c r="M228">
        <f t="shared" si="16"/>
        <v>1500</v>
      </c>
      <c r="N228">
        <f t="shared" si="17"/>
        <v>900</v>
      </c>
      <c r="O228">
        <f t="shared" si="18"/>
        <v>600</v>
      </c>
      <c r="P228" s="3">
        <f t="shared" si="19"/>
        <v>0.4</v>
      </c>
      <c r="Q228" s="3" t="str">
        <v>High Profit</v>
      </c>
    </row>
    <row r="229" spans="1:17" x14ac:dyDescent="0.3">
      <c r="A229" t="s">
        <v>676</v>
      </c>
      <c r="B229" s="2">
        <v>45680</v>
      </c>
      <c r="C229" s="2" t="str">
        <f t="shared" si="15"/>
        <v>January</v>
      </c>
      <c r="D229" t="s">
        <v>216</v>
      </c>
      <c r="E229" t="s">
        <v>413</v>
      </c>
      <c r="F229">
        <v>5</v>
      </c>
      <c r="G229" t="s">
        <v>12</v>
      </c>
      <c r="H229" t="s">
        <v>1455</v>
      </c>
      <c r="I229" t="s">
        <v>340</v>
      </c>
      <c r="J229" t="str">
        <f>_xlfn.XLOOKUP(E229, Product_Master!$A$2:$A$101, Product_Master!$C$2:$C$101)</f>
        <v>Electronics</v>
      </c>
      <c r="K229">
        <f>_xlfn.XLOOKUP(E229, Product_Master!$A$2:$A$101, Product_Master!$D$2:$D$101)</f>
        <v>42000</v>
      </c>
      <c r="L229">
        <f>_xlfn.XLOOKUP(E229, Product_Master!$A$2:$A$101, Product_Master!$E$2:$E$101)</f>
        <v>50000</v>
      </c>
      <c r="M229">
        <f t="shared" si="16"/>
        <v>250000</v>
      </c>
      <c r="N229">
        <f t="shared" si="17"/>
        <v>210000</v>
      </c>
      <c r="O229">
        <f t="shared" si="18"/>
        <v>40000</v>
      </c>
      <c r="P229" s="3">
        <f t="shared" si="19"/>
        <v>0.16</v>
      </c>
      <c r="Q229" s="3" t="str">
        <v>Low Profit</v>
      </c>
    </row>
    <row r="230" spans="1:17" x14ac:dyDescent="0.3">
      <c r="A230" t="s">
        <v>677</v>
      </c>
      <c r="B230" s="2">
        <v>45999</v>
      </c>
      <c r="C230" s="2" t="str">
        <f t="shared" si="15"/>
        <v>December</v>
      </c>
      <c r="D230" t="s">
        <v>142</v>
      </c>
      <c r="E230" t="s">
        <v>415</v>
      </c>
      <c r="F230">
        <v>5</v>
      </c>
      <c r="G230" t="s">
        <v>37</v>
      </c>
      <c r="H230" t="s">
        <v>14</v>
      </c>
      <c r="I230" t="s">
        <v>329</v>
      </c>
      <c r="J230" t="str">
        <f>_xlfn.XLOOKUP(E230, Product_Master!$A$2:$A$101, Product_Master!$C$2:$C$101)</f>
        <v>Electronics</v>
      </c>
      <c r="K230">
        <f>_xlfn.XLOOKUP(E230, Product_Master!$A$2:$A$101, Product_Master!$D$2:$D$101)</f>
        <v>20000</v>
      </c>
      <c r="L230">
        <f>_xlfn.XLOOKUP(E230, Product_Master!$A$2:$A$101, Product_Master!$E$2:$E$101)</f>
        <v>25000</v>
      </c>
      <c r="M230">
        <f t="shared" si="16"/>
        <v>125000</v>
      </c>
      <c r="N230">
        <f t="shared" si="17"/>
        <v>100000</v>
      </c>
      <c r="O230">
        <f t="shared" si="18"/>
        <v>25000</v>
      </c>
      <c r="P230" s="3">
        <f t="shared" si="19"/>
        <v>0.2</v>
      </c>
      <c r="Q230" s="3" t="str">
        <v>Low Profit</v>
      </c>
    </row>
    <row r="231" spans="1:17" x14ac:dyDescent="0.3">
      <c r="A231" t="s">
        <v>678</v>
      </c>
      <c r="B231" s="2">
        <v>45700</v>
      </c>
      <c r="C231" s="2" t="str">
        <f t="shared" si="15"/>
        <v>February</v>
      </c>
      <c r="D231" t="s">
        <v>88</v>
      </c>
      <c r="E231" t="s">
        <v>379</v>
      </c>
      <c r="F231">
        <v>5</v>
      </c>
      <c r="G231" t="s">
        <v>45</v>
      </c>
      <c r="H231" t="s">
        <v>14</v>
      </c>
      <c r="I231" t="s">
        <v>346</v>
      </c>
      <c r="J231" t="str">
        <f>_xlfn.XLOOKUP(E231, Product_Master!$A$2:$A$101, Product_Master!$C$2:$C$101)</f>
        <v>Accessories</v>
      </c>
      <c r="K231">
        <f>_xlfn.XLOOKUP(E231, Product_Master!$A$2:$A$101, Product_Master!$D$2:$D$101)</f>
        <v>9000</v>
      </c>
      <c r="L231">
        <f>_xlfn.XLOOKUP(E231, Product_Master!$A$2:$A$101, Product_Master!$E$2:$E$101)</f>
        <v>12000</v>
      </c>
      <c r="M231">
        <f t="shared" si="16"/>
        <v>60000</v>
      </c>
      <c r="N231">
        <f t="shared" si="17"/>
        <v>45000</v>
      </c>
      <c r="O231">
        <f t="shared" si="18"/>
        <v>15000</v>
      </c>
      <c r="P231" s="3">
        <f t="shared" si="19"/>
        <v>0.25</v>
      </c>
      <c r="Q231" s="3" t="str">
        <v>High Profit</v>
      </c>
    </row>
    <row r="232" spans="1:17" x14ac:dyDescent="0.3">
      <c r="A232" t="s">
        <v>679</v>
      </c>
      <c r="B232" s="2">
        <v>45980</v>
      </c>
      <c r="C232" s="2" t="str">
        <f t="shared" si="15"/>
        <v>November</v>
      </c>
      <c r="D232" t="s">
        <v>40</v>
      </c>
      <c r="E232" t="s">
        <v>426</v>
      </c>
      <c r="F232">
        <v>4</v>
      </c>
      <c r="G232" t="s">
        <v>4</v>
      </c>
      <c r="H232" t="s">
        <v>20</v>
      </c>
      <c r="I232" t="s">
        <v>337</v>
      </c>
      <c r="J232" t="str">
        <f>_xlfn.XLOOKUP(E232, Product_Master!$A$2:$A$101, Product_Master!$C$2:$C$101)</f>
        <v>Electronics</v>
      </c>
      <c r="K232">
        <f>_xlfn.XLOOKUP(E232, Product_Master!$A$2:$A$101, Product_Master!$D$2:$D$101)</f>
        <v>15000</v>
      </c>
      <c r="L232">
        <f>_xlfn.XLOOKUP(E232, Product_Master!$A$2:$A$101, Product_Master!$E$2:$E$101)</f>
        <v>18000</v>
      </c>
      <c r="M232">
        <f t="shared" si="16"/>
        <v>72000</v>
      </c>
      <c r="N232">
        <f t="shared" si="17"/>
        <v>60000</v>
      </c>
      <c r="O232">
        <f t="shared" si="18"/>
        <v>12000</v>
      </c>
      <c r="P232" s="3">
        <f t="shared" si="19"/>
        <v>0.16666666666666666</v>
      </c>
      <c r="Q232" s="3" t="str">
        <v>Low Profit</v>
      </c>
    </row>
    <row r="233" spans="1:17" x14ac:dyDescent="0.3">
      <c r="A233" t="s">
        <v>680</v>
      </c>
      <c r="B233" s="2">
        <v>45770</v>
      </c>
      <c r="C233" s="2" t="str">
        <f t="shared" si="15"/>
        <v>April</v>
      </c>
      <c r="D233" t="s">
        <v>69</v>
      </c>
      <c r="E233" t="s">
        <v>417</v>
      </c>
      <c r="F233">
        <v>5</v>
      </c>
      <c r="G233" t="s">
        <v>45</v>
      </c>
      <c r="H233" t="s">
        <v>8</v>
      </c>
      <c r="I233" t="s">
        <v>335</v>
      </c>
      <c r="J233" t="str">
        <f>_xlfn.XLOOKUP(E233, Product_Master!$A$2:$A$101, Product_Master!$C$2:$C$101)</f>
        <v>Accessories</v>
      </c>
      <c r="K233">
        <f>_xlfn.XLOOKUP(E233, Product_Master!$A$2:$A$101, Product_Master!$D$2:$D$101)</f>
        <v>900</v>
      </c>
      <c r="L233">
        <f>_xlfn.XLOOKUP(E233, Product_Master!$A$2:$A$101, Product_Master!$E$2:$E$101)</f>
        <v>1500</v>
      </c>
      <c r="M233">
        <f t="shared" si="16"/>
        <v>7500</v>
      </c>
      <c r="N233">
        <f t="shared" si="17"/>
        <v>4500</v>
      </c>
      <c r="O233">
        <f t="shared" si="18"/>
        <v>3000</v>
      </c>
      <c r="P233" s="3">
        <f t="shared" si="19"/>
        <v>0.4</v>
      </c>
      <c r="Q233" s="3" t="str">
        <v>High Profit</v>
      </c>
    </row>
    <row r="234" spans="1:17" x14ac:dyDescent="0.3">
      <c r="A234" t="s">
        <v>681</v>
      </c>
      <c r="B234" s="2">
        <v>45762</v>
      </c>
      <c r="C234" s="2" t="str">
        <f t="shared" si="15"/>
        <v>April</v>
      </c>
      <c r="D234" t="s">
        <v>32</v>
      </c>
      <c r="E234" t="s">
        <v>345</v>
      </c>
      <c r="F234">
        <v>2</v>
      </c>
      <c r="G234" t="s">
        <v>4</v>
      </c>
      <c r="H234" t="s">
        <v>14</v>
      </c>
      <c r="I234" t="s">
        <v>346</v>
      </c>
      <c r="J234" t="str">
        <f>_xlfn.XLOOKUP(E234, Product_Master!$A$2:$A$101, Product_Master!$C$2:$C$101)</f>
        <v>Accessories</v>
      </c>
      <c r="K234">
        <f>_xlfn.XLOOKUP(E234, Product_Master!$A$2:$A$101, Product_Master!$D$2:$D$101)</f>
        <v>9000</v>
      </c>
      <c r="L234">
        <f>_xlfn.XLOOKUP(E234, Product_Master!$A$2:$A$101, Product_Master!$E$2:$E$101)</f>
        <v>12000</v>
      </c>
      <c r="M234">
        <f t="shared" si="16"/>
        <v>24000</v>
      </c>
      <c r="N234">
        <f t="shared" si="17"/>
        <v>18000</v>
      </c>
      <c r="O234">
        <f t="shared" si="18"/>
        <v>6000</v>
      </c>
      <c r="P234" s="3">
        <f t="shared" si="19"/>
        <v>0.25</v>
      </c>
      <c r="Q234" s="3" t="str">
        <v>High Profit</v>
      </c>
    </row>
    <row r="235" spans="1:17" x14ac:dyDescent="0.3">
      <c r="A235" t="s">
        <v>682</v>
      </c>
      <c r="B235" s="2">
        <v>45781</v>
      </c>
      <c r="C235" s="2" t="str">
        <f t="shared" si="15"/>
        <v>May</v>
      </c>
      <c r="D235" t="s">
        <v>191</v>
      </c>
      <c r="E235" t="s">
        <v>431</v>
      </c>
      <c r="F235">
        <v>1</v>
      </c>
      <c r="G235" t="s">
        <v>16</v>
      </c>
      <c r="H235" t="s">
        <v>31</v>
      </c>
      <c r="I235" t="s">
        <v>332</v>
      </c>
      <c r="J235" t="str">
        <f>_xlfn.XLOOKUP(E235, Product_Master!$A$2:$A$101, Product_Master!$C$2:$C$101)</f>
        <v>Accessories</v>
      </c>
      <c r="K235">
        <f>_xlfn.XLOOKUP(E235, Product_Master!$A$2:$A$101, Product_Master!$D$2:$D$101)</f>
        <v>500</v>
      </c>
      <c r="L235">
        <f>_xlfn.XLOOKUP(E235, Product_Master!$A$2:$A$101, Product_Master!$E$2:$E$101)</f>
        <v>800</v>
      </c>
      <c r="M235">
        <f t="shared" si="16"/>
        <v>800</v>
      </c>
      <c r="N235">
        <f t="shared" si="17"/>
        <v>500</v>
      </c>
      <c r="O235">
        <f t="shared" si="18"/>
        <v>300</v>
      </c>
      <c r="P235" s="3">
        <f t="shared" si="19"/>
        <v>0.375</v>
      </c>
      <c r="Q235" s="3" t="str">
        <v>High Profit</v>
      </c>
    </row>
    <row r="236" spans="1:17" x14ac:dyDescent="0.3">
      <c r="A236" t="s">
        <v>683</v>
      </c>
      <c r="B236" s="2">
        <v>45669</v>
      </c>
      <c r="C236" s="2" t="str">
        <f t="shared" si="15"/>
        <v>January</v>
      </c>
      <c r="D236" t="s">
        <v>188</v>
      </c>
      <c r="E236" t="s">
        <v>380</v>
      </c>
      <c r="F236">
        <v>4</v>
      </c>
      <c r="G236" t="s">
        <v>45</v>
      </c>
      <c r="H236" t="s">
        <v>27</v>
      </c>
      <c r="I236" t="s">
        <v>340</v>
      </c>
      <c r="J236" t="str">
        <f>_xlfn.XLOOKUP(E236, Product_Master!$A$2:$A$101, Product_Master!$C$2:$C$101)</f>
        <v>Electronics</v>
      </c>
      <c r="K236">
        <f>_xlfn.XLOOKUP(E236, Product_Master!$A$2:$A$101, Product_Master!$D$2:$D$101)</f>
        <v>42000</v>
      </c>
      <c r="L236">
        <f>_xlfn.XLOOKUP(E236, Product_Master!$A$2:$A$101, Product_Master!$E$2:$E$101)</f>
        <v>50000</v>
      </c>
      <c r="M236">
        <f t="shared" si="16"/>
        <v>200000</v>
      </c>
      <c r="N236">
        <f t="shared" si="17"/>
        <v>168000</v>
      </c>
      <c r="O236">
        <f t="shared" si="18"/>
        <v>32000</v>
      </c>
      <c r="P236" s="3">
        <f t="shared" si="19"/>
        <v>0.16</v>
      </c>
      <c r="Q236" s="3" t="str">
        <v>Low Profit</v>
      </c>
    </row>
    <row r="237" spans="1:17" x14ac:dyDescent="0.3">
      <c r="A237" t="s">
        <v>684</v>
      </c>
      <c r="B237" s="2">
        <v>45977</v>
      </c>
      <c r="C237" s="2" t="str">
        <f t="shared" si="15"/>
        <v>November</v>
      </c>
      <c r="D237" t="s">
        <v>231</v>
      </c>
      <c r="E237" t="s">
        <v>413</v>
      </c>
      <c r="F237">
        <v>2</v>
      </c>
      <c r="G237" t="s">
        <v>16</v>
      </c>
      <c r="H237" t="s">
        <v>31</v>
      </c>
      <c r="I237" t="s">
        <v>340</v>
      </c>
      <c r="J237" t="str">
        <f>_xlfn.XLOOKUP(E237, Product_Master!$A$2:$A$101, Product_Master!$C$2:$C$101)</f>
        <v>Electronics</v>
      </c>
      <c r="K237">
        <f>_xlfn.XLOOKUP(E237, Product_Master!$A$2:$A$101, Product_Master!$D$2:$D$101)</f>
        <v>42000</v>
      </c>
      <c r="L237">
        <f>_xlfn.XLOOKUP(E237, Product_Master!$A$2:$A$101, Product_Master!$E$2:$E$101)</f>
        <v>50000</v>
      </c>
      <c r="M237">
        <f t="shared" si="16"/>
        <v>100000</v>
      </c>
      <c r="N237">
        <f t="shared" si="17"/>
        <v>84000</v>
      </c>
      <c r="O237">
        <f t="shared" si="18"/>
        <v>16000</v>
      </c>
      <c r="P237" s="3">
        <f t="shared" si="19"/>
        <v>0.16</v>
      </c>
      <c r="Q237" s="3" t="str">
        <v>Low Profit</v>
      </c>
    </row>
    <row r="238" spans="1:17" x14ac:dyDescent="0.3">
      <c r="A238" t="s">
        <v>685</v>
      </c>
      <c r="B238" s="2">
        <v>45933</v>
      </c>
      <c r="C238" s="2" t="str">
        <f t="shared" si="15"/>
        <v>October</v>
      </c>
      <c r="D238" t="s">
        <v>171</v>
      </c>
      <c r="E238" t="s">
        <v>420</v>
      </c>
      <c r="F238">
        <v>4</v>
      </c>
      <c r="G238" t="s">
        <v>19</v>
      </c>
      <c r="H238" t="s">
        <v>14</v>
      </c>
      <c r="I238" t="s">
        <v>329</v>
      </c>
      <c r="J238" t="str">
        <f>_xlfn.XLOOKUP(E238, Product_Master!$A$2:$A$101, Product_Master!$C$2:$C$101)</f>
        <v>Electronics</v>
      </c>
      <c r="K238">
        <f>_xlfn.XLOOKUP(E238, Product_Master!$A$2:$A$101, Product_Master!$D$2:$D$101)</f>
        <v>20000</v>
      </c>
      <c r="L238">
        <f>_xlfn.XLOOKUP(E238, Product_Master!$A$2:$A$101, Product_Master!$E$2:$E$101)</f>
        <v>25000</v>
      </c>
      <c r="M238">
        <f t="shared" si="16"/>
        <v>100000</v>
      </c>
      <c r="N238">
        <f t="shared" si="17"/>
        <v>80000</v>
      </c>
      <c r="O238">
        <f t="shared" si="18"/>
        <v>20000</v>
      </c>
      <c r="P238" s="3">
        <f t="shared" si="19"/>
        <v>0.2</v>
      </c>
      <c r="Q238" s="3" t="str">
        <v>Low Profit</v>
      </c>
    </row>
    <row r="239" spans="1:17" x14ac:dyDescent="0.3">
      <c r="A239" t="s">
        <v>686</v>
      </c>
      <c r="B239" s="2">
        <v>46008</v>
      </c>
      <c r="C239" s="2" t="str">
        <f t="shared" si="15"/>
        <v>December</v>
      </c>
      <c r="D239" t="s">
        <v>255</v>
      </c>
      <c r="E239" t="s">
        <v>393</v>
      </c>
      <c r="F239">
        <v>3</v>
      </c>
      <c r="G239" t="s">
        <v>29</v>
      </c>
      <c r="H239" t="s">
        <v>20</v>
      </c>
      <c r="I239" t="s">
        <v>344</v>
      </c>
      <c r="J239" t="str">
        <f>_xlfn.XLOOKUP(E239, Product_Master!$A$2:$A$101, Product_Master!$C$2:$C$101)</f>
        <v>Accessories</v>
      </c>
      <c r="K239">
        <f>_xlfn.XLOOKUP(E239, Product_Master!$A$2:$A$101, Product_Master!$D$2:$D$101)</f>
        <v>2000</v>
      </c>
      <c r="L239">
        <f>_xlfn.XLOOKUP(E239, Product_Master!$A$2:$A$101, Product_Master!$E$2:$E$101)</f>
        <v>3000</v>
      </c>
      <c r="M239">
        <f t="shared" si="16"/>
        <v>9000</v>
      </c>
      <c r="N239">
        <f t="shared" si="17"/>
        <v>6000</v>
      </c>
      <c r="O239">
        <f t="shared" si="18"/>
        <v>3000</v>
      </c>
      <c r="P239" s="3">
        <f t="shared" si="19"/>
        <v>0.33333333333333331</v>
      </c>
      <c r="Q239" s="3" t="str">
        <v>High Profit</v>
      </c>
    </row>
    <row r="240" spans="1:17" x14ac:dyDescent="0.3">
      <c r="A240" t="s">
        <v>687</v>
      </c>
      <c r="B240" s="2">
        <v>45911</v>
      </c>
      <c r="C240" s="2" t="str">
        <f t="shared" si="15"/>
        <v>September</v>
      </c>
      <c r="D240" t="s">
        <v>13</v>
      </c>
      <c r="E240" t="s">
        <v>359</v>
      </c>
      <c r="F240">
        <v>4</v>
      </c>
      <c r="G240" t="s">
        <v>4</v>
      </c>
      <c r="H240" t="s">
        <v>14</v>
      </c>
      <c r="I240" t="s">
        <v>329</v>
      </c>
      <c r="J240" t="str">
        <f>_xlfn.XLOOKUP(E240, Product_Master!$A$2:$A$101, Product_Master!$C$2:$C$101)</f>
        <v>Electronics</v>
      </c>
      <c r="K240">
        <f>_xlfn.XLOOKUP(E240, Product_Master!$A$2:$A$101, Product_Master!$D$2:$D$101)</f>
        <v>20000</v>
      </c>
      <c r="L240">
        <f>_xlfn.XLOOKUP(E240, Product_Master!$A$2:$A$101, Product_Master!$E$2:$E$101)</f>
        <v>25000</v>
      </c>
      <c r="M240">
        <f t="shared" si="16"/>
        <v>100000</v>
      </c>
      <c r="N240">
        <f t="shared" si="17"/>
        <v>80000</v>
      </c>
      <c r="O240">
        <f t="shared" si="18"/>
        <v>20000</v>
      </c>
      <c r="P240" s="3">
        <f t="shared" si="19"/>
        <v>0.2</v>
      </c>
      <c r="Q240" s="3" t="str">
        <v>Low Profit</v>
      </c>
    </row>
    <row r="241" spans="1:17" x14ac:dyDescent="0.3">
      <c r="A241" t="s">
        <v>688</v>
      </c>
      <c r="B241" s="2">
        <v>45962</v>
      </c>
      <c r="C241" s="2" t="str">
        <f t="shared" si="15"/>
        <v>November</v>
      </c>
      <c r="D241" t="s">
        <v>92</v>
      </c>
      <c r="E241" t="s">
        <v>389</v>
      </c>
      <c r="F241">
        <v>4</v>
      </c>
      <c r="G241" t="s">
        <v>24</v>
      </c>
      <c r="H241" t="s">
        <v>17</v>
      </c>
      <c r="I241" t="s">
        <v>337</v>
      </c>
      <c r="J241" t="str">
        <f>_xlfn.XLOOKUP(E241, Product_Master!$A$2:$A$101, Product_Master!$C$2:$C$101)</f>
        <v>Electronics</v>
      </c>
      <c r="K241">
        <f>_xlfn.XLOOKUP(E241, Product_Master!$A$2:$A$101, Product_Master!$D$2:$D$101)</f>
        <v>15000</v>
      </c>
      <c r="L241">
        <f>_xlfn.XLOOKUP(E241, Product_Master!$A$2:$A$101, Product_Master!$E$2:$E$101)</f>
        <v>18000</v>
      </c>
      <c r="M241">
        <f t="shared" si="16"/>
        <v>72000</v>
      </c>
      <c r="N241">
        <f t="shared" si="17"/>
        <v>60000</v>
      </c>
      <c r="O241">
        <f t="shared" si="18"/>
        <v>12000</v>
      </c>
      <c r="P241" s="3">
        <f t="shared" si="19"/>
        <v>0.16666666666666666</v>
      </c>
      <c r="Q241" s="3" t="str">
        <v>Low Profit</v>
      </c>
    </row>
    <row r="242" spans="1:17" x14ac:dyDescent="0.3">
      <c r="A242" t="s">
        <v>689</v>
      </c>
      <c r="B242" s="2">
        <v>45795</v>
      </c>
      <c r="C242" s="2" t="str">
        <f t="shared" si="15"/>
        <v>May</v>
      </c>
      <c r="D242" t="s">
        <v>308</v>
      </c>
      <c r="E242" t="s">
        <v>434</v>
      </c>
      <c r="F242">
        <v>3</v>
      </c>
      <c r="G242" t="s">
        <v>10</v>
      </c>
      <c r="H242" t="s">
        <v>17</v>
      </c>
      <c r="I242" t="s">
        <v>346</v>
      </c>
      <c r="J242" t="str">
        <f>_xlfn.XLOOKUP(E242, Product_Master!$A$2:$A$101, Product_Master!$C$2:$C$101)</f>
        <v>Accessories</v>
      </c>
      <c r="K242">
        <f>_xlfn.XLOOKUP(E242, Product_Master!$A$2:$A$101, Product_Master!$D$2:$D$101)</f>
        <v>9000</v>
      </c>
      <c r="L242">
        <f>_xlfn.XLOOKUP(E242, Product_Master!$A$2:$A$101, Product_Master!$E$2:$E$101)</f>
        <v>12000</v>
      </c>
      <c r="M242">
        <f t="shared" si="16"/>
        <v>36000</v>
      </c>
      <c r="N242">
        <f t="shared" si="17"/>
        <v>27000</v>
      </c>
      <c r="O242">
        <f t="shared" si="18"/>
        <v>9000</v>
      </c>
      <c r="P242" s="3">
        <f t="shared" si="19"/>
        <v>0.25</v>
      </c>
      <c r="Q242" s="3" t="str">
        <v>High Profit</v>
      </c>
    </row>
    <row r="243" spans="1:17" x14ac:dyDescent="0.3">
      <c r="A243" t="s">
        <v>690</v>
      </c>
      <c r="B243" s="2">
        <v>45886</v>
      </c>
      <c r="C243" s="2" t="str">
        <f t="shared" si="15"/>
        <v>August</v>
      </c>
      <c r="D243" t="s">
        <v>9</v>
      </c>
      <c r="E243" t="s">
        <v>359</v>
      </c>
      <c r="F243">
        <v>3</v>
      </c>
      <c r="G243" t="s">
        <v>10</v>
      </c>
      <c r="H243" t="s">
        <v>8</v>
      </c>
      <c r="I243" t="s">
        <v>329</v>
      </c>
      <c r="J243" t="str">
        <f>_xlfn.XLOOKUP(E243, Product_Master!$A$2:$A$101, Product_Master!$C$2:$C$101)</f>
        <v>Electronics</v>
      </c>
      <c r="K243">
        <f>_xlfn.XLOOKUP(E243, Product_Master!$A$2:$A$101, Product_Master!$D$2:$D$101)</f>
        <v>20000</v>
      </c>
      <c r="L243">
        <f>_xlfn.XLOOKUP(E243, Product_Master!$A$2:$A$101, Product_Master!$E$2:$E$101)</f>
        <v>25000</v>
      </c>
      <c r="M243">
        <f t="shared" si="16"/>
        <v>75000</v>
      </c>
      <c r="N243">
        <f t="shared" si="17"/>
        <v>60000</v>
      </c>
      <c r="O243">
        <f t="shared" si="18"/>
        <v>15000</v>
      </c>
      <c r="P243" s="3">
        <f t="shared" si="19"/>
        <v>0.2</v>
      </c>
      <c r="Q243" s="3" t="str">
        <v>Low Profit</v>
      </c>
    </row>
    <row r="244" spans="1:17" x14ac:dyDescent="0.3">
      <c r="A244" t="s">
        <v>691</v>
      </c>
      <c r="B244" s="2">
        <v>46004</v>
      </c>
      <c r="C244" s="2" t="str">
        <f t="shared" si="15"/>
        <v>December</v>
      </c>
      <c r="D244" t="s">
        <v>259</v>
      </c>
      <c r="E244" t="s">
        <v>424</v>
      </c>
      <c r="F244">
        <v>3</v>
      </c>
      <c r="G244" t="s">
        <v>7</v>
      </c>
      <c r="H244" t="s">
        <v>14</v>
      </c>
      <c r="I244" t="s">
        <v>337</v>
      </c>
      <c r="J244" t="str">
        <f>_xlfn.XLOOKUP(E244, Product_Master!$A$2:$A$101, Product_Master!$C$2:$C$101)</f>
        <v>Electronics</v>
      </c>
      <c r="K244">
        <f>_xlfn.XLOOKUP(E244, Product_Master!$A$2:$A$101, Product_Master!$D$2:$D$101)</f>
        <v>15000</v>
      </c>
      <c r="L244">
        <f>_xlfn.XLOOKUP(E244, Product_Master!$A$2:$A$101, Product_Master!$E$2:$E$101)</f>
        <v>18000</v>
      </c>
      <c r="M244">
        <f t="shared" si="16"/>
        <v>54000</v>
      </c>
      <c r="N244">
        <f t="shared" si="17"/>
        <v>45000</v>
      </c>
      <c r="O244">
        <f t="shared" si="18"/>
        <v>9000</v>
      </c>
      <c r="P244" s="3">
        <f t="shared" si="19"/>
        <v>0.16666666666666666</v>
      </c>
      <c r="Q244" s="3" t="str">
        <v>Low Profit</v>
      </c>
    </row>
    <row r="245" spans="1:17" x14ac:dyDescent="0.3">
      <c r="A245" t="s">
        <v>692</v>
      </c>
      <c r="B245" s="2">
        <v>45940</v>
      </c>
      <c r="C245" s="2" t="str">
        <f t="shared" si="15"/>
        <v>October</v>
      </c>
      <c r="D245" t="s">
        <v>76</v>
      </c>
      <c r="E245" t="s">
        <v>411</v>
      </c>
      <c r="F245">
        <v>5</v>
      </c>
      <c r="G245" t="s">
        <v>7</v>
      </c>
      <c r="H245" t="s">
        <v>27</v>
      </c>
      <c r="I245" t="s">
        <v>346</v>
      </c>
      <c r="J245" t="str">
        <f>_xlfn.XLOOKUP(E245, Product_Master!$A$2:$A$101, Product_Master!$C$2:$C$101)</f>
        <v>Accessories</v>
      </c>
      <c r="K245">
        <f>_xlfn.XLOOKUP(E245, Product_Master!$A$2:$A$101, Product_Master!$D$2:$D$101)</f>
        <v>9000</v>
      </c>
      <c r="L245">
        <f>_xlfn.XLOOKUP(E245, Product_Master!$A$2:$A$101, Product_Master!$E$2:$E$101)</f>
        <v>12000</v>
      </c>
      <c r="M245">
        <f t="shared" si="16"/>
        <v>60000</v>
      </c>
      <c r="N245">
        <f t="shared" si="17"/>
        <v>45000</v>
      </c>
      <c r="O245">
        <f t="shared" si="18"/>
        <v>15000</v>
      </c>
      <c r="P245" s="3">
        <f t="shared" si="19"/>
        <v>0.25</v>
      </c>
      <c r="Q245" s="3" t="str">
        <v>High Profit</v>
      </c>
    </row>
    <row r="246" spans="1:17" x14ac:dyDescent="0.3">
      <c r="A246" t="s">
        <v>693</v>
      </c>
      <c r="B246" s="2">
        <v>45799</v>
      </c>
      <c r="C246" s="2" t="str">
        <f t="shared" si="15"/>
        <v>May</v>
      </c>
      <c r="D246" t="s">
        <v>136</v>
      </c>
      <c r="E246" t="s">
        <v>381</v>
      </c>
      <c r="F246">
        <v>4</v>
      </c>
      <c r="G246" t="s">
        <v>4</v>
      </c>
      <c r="H246" t="s">
        <v>14</v>
      </c>
      <c r="I246" t="s">
        <v>329</v>
      </c>
      <c r="J246" t="str">
        <f>_xlfn.XLOOKUP(E246, Product_Master!$A$2:$A$101, Product_Master!$C$2:$C$101)</f>
        <v>Electronics</v>
      </c>
      <c r="K246">
        <f>_xlfn.XLOOKUP(E246, Product_Master!$A$2:$A$101, Product_Master!$D$2:$D$101)</f>
        <v>20000</v>
      </c>
      <c r="L246">
        <f>_xlfn.XLOOKUP(E246, Product_Master!$A$2:$A$101, Product_Master!$E$2:$E$101)</f>
        <v>25000</v>
      </c>
      <c r="M246">
        <f t="shared" si="16"/>
        <v>100000</v>
      </c>
      <c r="N246">
        <f t="shared" si="17"/>
        <v>80000</v>
      </c>
      <c r="O246">
        <f t="shared" si="18"/>
        <v>20000</v>
      </c>
      <c r="P246" s="3">
        <f t="shared" si="19"/>
        <v>0.2</v>
      </c>
      <c r="Q246" s="3" t="str">
        <v>Low Profit</v>
      </c>
    </row>
    <row r="247" spans="1:17" x14ac:dyDescent="0.3">
      <c r="A247" t="s">
        <v>694</v>
      </c>
      <c r="B247" s="2">
        <v>45730</v>
      </c>
      <c r="C247" s="2" t="str">
        <f t="shared" si="15"/>
        <v>March</v>
      </c>
      <c r="D247" t="s">
        <v>307</v>
      </c>
      <c r="E247" t="s">
        <v>387</v>
      </c>
      <c r="F247">
        <v>3</v>
      </c>
      <c r="G247" t="s">
        <v>22</v>
      </c>
      <c r="H247" t="s">
        <v>5</v>
      </c>
      <c r="I247" t="s">
        <v>332</v>
      </c>
      <c r="J247" t="str">
        <f>_xlfn.XLOOKUP(E247, Product_Master!$A$2:$A$101, Product_Master!$C$2:$C$101)</f>
        <v>Accessories</v>
      </c>
      <c r="K247">
        <f>_xlfn.XLOOKUP(E247, Product_Master!$A$2:$A$101, Product_Master!$D$2:$D$101)</f>
        <v>500</v>
      </c>
      <c r="L247">
        <f>_xlfn.XLOOKUP(E247, Product_Master!$A$2:$A$101, Product_Master!$E$2:$E$101)</f>
        <v>800</v>
      </c>
      <c r="M247">
        <f t="shared" si="16"/>
        <v>2400</v>
      </c>
      <c r="N247">
        <f t="shared" si="17"/>
        <v>1500</v>
      </c>
      <c r="O247">
        <f t="shared" si="18"/>
        <v>900</v>
      </c>
      <c r="P247" s="3">
        <f t="shared" si="19"/>
        <v>0.375</v>
      </c>
      <c r="Q247" s="3" t="str">
        <v>High Profit</v>
      </c>
    </row>
    <row r="248" spans="1:17" x14ac:dyDescent="0.3">
      <c r="A248" t="s">
        <v>695</v>
      </c>
      <c r="B248" s="2">
        <v>45773</v>
      </c>
      <c r="C248" s="2" t="str">
        <f t="shared" si="15"/>
        <v>April</v>
      </c>
      <c r="D248" t="s">
        <v>215</v>
      </c>
      <c r="E248" t="s">
        <v>385</v>
      </c>
      <c r="F248">
        <v>3</v>
      </c>
      <c r="G248" t="s">
        <v>45</v>
      </c>
      <c r="H248" t="s">
        <v>8</v>
      </c>
      <c r="I248" t="s">
        <v>340</v>
      </c>
      <c r="J248" t="str">
        <f>_xlfn.XLOOKUP(E248, Product_Master!$A$2:$A$101, Product_Master!$C$2:$C$101)</f>
        <v>Electronics</v>
      </c>
      <c r="K248">
        <f>_xlfn.XLOOKUP(E248, Product_Master!$A$2:$A$101, Product_Master!$D$2:$D$101)</f>
        <v>42000</v>
      </c>
      <c r="L248">
        <f>_xlfn.XLOOKUP(E248, Product_Master!$A$2:$A$101, Product_Master!$E$2:$E$101)</f>
        <v>50000</v>
      </c>
      <c r="M248">
        <f t="shared" si="16"/>
        <v>150000</v>
      </c>
      <c r="N248">
        <f t="shared" si="17"/>
        <v>126000</v>
      </c>
      <c r="O248">
        <f t="shared" si="18"/>
        <v>24000</v>
      </c>
      <c r="P248" s="3">
        <f t="shared" si="19"/>
        <v>0.16</v>
      </c>
      <c r="Q248" s="3" t="str">
        <v>Low Profit</v>
      </c>
    </row>
    <row r="249" spans="1:17" x14ac:dyDescent="0.3">
      <c r="A249" t="s">
        <v>696</v>
      </c>
      <c r="B249" s="2">
        <v>45666</v>
      </c>
      <c r="C249" s="2" t="str">
        <f t="shared" si="15"/>
        <v>January</v>
      </c>
      <c r="D249" t="s">
        <v>319</v>
      </c>
      <c r="E249" t="s">
        <v>347</v>
      </c>
      <c r="F249">
        <v>2</v>
      </c>
      <c r="G249" t="s">
        <v>12</v>
      </c>
      <c r="H249" t="s">
        <v>20</v>
      </c>
      <c r="I249" t="s">
        <v>335</v>
      </c>
      <c r="J249" t="str">
        <f>_xlfn.XLOOKUP(E249, Product_Master!$A$2:$A$101, Product_Master!$C$2:$C$101)</f>
        <v>Accessories</v>
      </c>
      <c r="K249">
        <f>_xlfn.XLOOKUP(E249, Product_Master!$A$2:$A$101, Product_Master!$D$2:$D$101)</f>
        <v>900</v>
      </c>
      <c r="L249">
        <f>_xlfn.XLOOKUP(E249, Product_Master!$A$2:$A$101, Product_Master!$E$2:$E$101)</f>
        <v>1500</v>
      </c>
      <c r="M249">
        <f t="shared" si="16"/>
        <v>3000</v>
      </c>
      <c r="N249">
        <f t="shared" si="17"/>
        <v>1800</v>
      </c>
      <c r="O249">
        <f t="shared" si="18"/>
        <v>1200</v>
      </c>
      <c r="P249" s="3">
        <f t="shared" si="19"/>
        <v>0.4</v>
      </c>
      <c r="Q249" s="3" t="str">
        <v>High Profit</v>
      </c>
    </row>
    <row r="250" spans="1:17" x14ac:dyDescent="0.3">
      <c r="A250" t="s">
        <v>697</v>
      </c>
      <c r="B250" s="2">
        <v>45930</v>
      </c>
      <c r="C250" s="2" t="str">
        <f t="shared" si="15"/>
        <v>September</v>
      </c>
      <c r="D250" t="s">
        <v>63</v>
      </c>
      <c r="E250" t="s">
        <v>342</v>
      </c>
      <c r="F250">
        <v>1</v>
      </c>
      <c r="G250" t="s">
        <v>12</v>
      </c>
      <c r="H250" t="s">
        <v>20</v>
      </c>
      <c r="I250" t="s">
        <v>337</v>
      </c>
      <c r="J250" t="str">
        <f>_xlfn.XLOOKUP(E250, Product_Master!$A$2:$A$101, Product_Master!$C$2:$C$101)</f>
        <v>Electronics</v>
      </c>
      <c r="K250">
        <f>_xlfn.XLOOKUP(E250, Product_Master!$A$2:$A$101, Product_Master!$D$2:$D$101)</f>
        <v>15000</v>
      </c>
      <c r="L250">
        <f>_xlfn.XLOOKUP(E250, Product_Master!$A$2:$A$101, Product_Master!$E$2:$E$101)</f>
        <v>18000</v>
      </c>
      <c r="M250">
        <f t="shared" si="16"/>
        <v>18000</v>
      </c>
      <c r="N250">
        <f t="shared" si="17"/>
        <v>15000</v>
      </c>
      <c r="O250">
        <f t="shared" si="18"/>
        <v>3000</v>
      </c>
      <c r="P250" s="3">
        <f t="shared" si="19"/>
        <v>0.16666666666666666</v>
      </c>
      <c r="Q250" s="3" t="str">
        <v>Low Profit</v>
      </c>
    </row>
    <row r="251" spans="1:17" x14ac:dyDescent="0.3">
      <c r="A251" t="s">
        <v>698</v>
      </c>
      <c r="B251" s="2">
        <v>45930</v>
      </c>
      <c r="C251" s="2" t="str">
        <f t="shared" si="15"/>
        <v>September</v>
      </c>
      <c r="D251" t="s">
        <v>264</v>
      </c>
      <c r="E251" t="s">
        <v>347</v>
      </c>
      <c r="F251">
        <v>5</v>
      </c>
      <c r="G251" t="s">
        <v>12</v>
      </c>
      <c r="H251" t="s">
        <v>8</v>
      </c>
      <c r="I251" t="s">
        <v>335</v>
      </c>
      <c r="J251" t="str">
        <f>_xlfn.XLOOKUP(E251, Product_Master!$A$2:$A$101, Product_Master!$C$2:$C$101)</f>
        <v>Accessories</v>
      </c>
      <c r="K251">
        <f>_xlfn.XLOOKUP(E251, Product_Master!$A$2:$A$101, Product_Master!$D$2:$D$101)</f>
        <v>900</v>
      </c>
      <c r="L251">
        <f>_xlfn.XLOOKUP(E251, Product_Master!$A$2:$A$101, Product_Master!$E$2:$E$101)</f>
        <v>1500</v>
      </c>
      <c r="M251">
        <f t="shared" si="16"/>
        <v>7500</v>
      </c>
      <c r="N251">
        <f t="shared" si="17"/>
        <v>4500</v>
      </c>
      <c r="O251">
        <f t="shared" si="18"/>
        <v>3000</v>
      </c>
      <c r="P251" s="3">
        <f t="shared" si="19"/>
        <v>0.4</v>
      </c>
      <c r="Q251" s="3" t="str">
        <v>High Profit</v>
      </c>
    </row>
    <row r="252" spans="1:17" x14ac:dyDescent="0.3">
      <c r="A252" t="s">
        <v>699</v>
      </c>
      <c r="B252" s="2">
        <v>45914</v>
      </c>
      <c r="C252" s="2" t="str">
        <f t="shared" si="15"/>
        <v>September</v>
      </c>
      <c r="D252" t="s">
        <v>278</v>
      </c>
      <c r="E252" t="s">
        <v>413</v>
      </c>
      <c r="F252">
        <v>5</v>
      </c>
      <c r="G252" t="s">
        <v>37</v>
      </c>
      <c r="H252" t="s">
        <v>8</v>
      </c>
      <c r="I252" t="s">
        <v>340</v>
      </c>
      <c r="J252" t="str">
        <f>_xlfn.XLOOKUP(E252, Product_Master!$A$2:$A$101, Product_Master!$C$2:$C$101)</f>
        <v>Electronics</v>
      </c>
      <c r="K252">
        <f>_xlfn.XLOOKUP(E252, Product_Master!$A$2:$A$101, Product_Master!$D$2:$D$101)</f>
        <v>42000</v>
      </c>
      <c r="L252">
        <f>_xlfn.XLOOKUP(E252, Product_Master!$A$2:$A$101, Product_Master!$E$2:$E$101)</f>
        <v>50000</v>
      </c>
      <c r="M252">
        <f t="shared" si="16"/>
        <v>250000</v>
      </c>
      <c r="N252">
        <f t="shared" si="17"/>
        <v>210000</v>
      </c>
      <c r="O252">
        <f t="shared" si="18"/>
        <v>40000</v>
      </c>
      <c r="P252" s="3">
        <f t="shared" si="19"/>
        <v>0.16</v>
      </c>
      <c r="Q252" s="3" t="str">
        <v>Low Profit</v>
      </c>
    </row>
    <row r="253" spans="1:17" x14ac:dyDescent="0.3">
      <c r="A253" t="s">
        <v>700</v>
      </c>
      <c r="B253" s="2">
        <v>45817</v>
      </c>
      <c r="C253" s="2" t="str">
        <f t="shared" si="15"/>
        <v>June</v>
      </c>
      <c r="D253" t="s">
        <v>161</v>
      </c>
      <c r="E253" t="s">
        <v>422</v>
      </c>
      <c r="F253">
        <v>1</v>
      </c>
      <c r="G253" t="s">
        <v>45</v>
      </c>
      <c r="H253" t="s">
        <v>31</v>
      </c>
      <c r="I253" t="s">
        <v>332</v>
      </c>
      <c r="J253" t="str">
        <f>_xlfn.XLOOKUP(E253, Product_Master!$A$2:$A$101, Product_Master!$C$2:$C$101)</f>
        <v>Accessories</v>
      </c>
      <c r="K253">
        <f>_xlfn.XLOOKUP(E253, Product_Master!$A$2:$A$101, Product_Master!$D$2:$D$101)</f>
        <v>500</v>
      </c>
      <c r="L253">
        <f>_xlfn.XLOOKUP(E253, Product_Master!$A$2:$A$101, Product_Master!$E$2:$E$101)</f>
        <v>800</v>
      </c>
      <c r="M253">
        <f t="shared" si="16"/>
        <v>800</v>
      </c>
      <c r="N253">
        <f t="shared" si="17"/>
        <v>500</v>
      </c>
      <c r="O253">
        <f t="shared" si="18"/>
        <v>300</v>
      </c>
      <c r="P253" s="3">
        <f t="shared" si="19"/>
        <v>0.375</v>
      </c>
      <c r="Q253" s="3" t="str">
        <v>High Profit</v>
      </c>
    </row>
    <row r="254" spans="1:17" x14ac:dyDescent="0.3">
      <c r="A254" t="s">
        <v>701</v>
      </c>
      <c r="B254" s="2">
        <v>45834</v>
      </c>
      <c r="C254" s="2" t="str">
        <f t="shared" si="15"/>
        <v>June</v>
      </c>
      <c r="D254" t="s">
        <v>126</v>
      </c>
      <c r="E254" t="s">
        <v>401</v>
      </c>
      <c r="F254">
        <v>3</v>
      </c>
      <c r="G254" t="s">
        <v>19</v>
      </c>
      <c r="H254" t="s">
        <v>17</v>
      </c>
      <c r="I254" t="s">
        <v>335</v>
      </c>
      <c r="J254" t="str">
        <f>_xlfn.XLOOKUP(E254, Product_Master!$A$2:$A$101, Product_Master!$C$2:$C$101)</f>
        <v>Accessories</v>
      </c>
      <c r="K254">
        <f>_xlfn.XLOOKUP(E254, Product_Master!$A$2:$A$101, Product_Master!$D$2:$D$101)</f>
        <v>900</v>
      </c>
      <c r="L254">
        <f>_xlfn.XLOOKUP(E254, Product_Master!$A$2:$A$101, Product_Master!$E$2:$E$101)</f>
        <v>1500</v>
      </c>
      <c r="M254">
        <f t="shared" si="16"/>
        <v>4500</v>
      </c>
      <c r="N254">
        <f t="shared" si="17"/>
        <v>2700</v>
      </c>
      <c r="O254">
        <f t="shared" si="18"/>
        <v>1800</v>
      </c>
      <c r="P254" s="3">
        <f t="shared" si="19"/>
        <v>0.4</v>
      </c>
      <c r="Q254" s="3" t="str">
        <v>High Profit</v>
      </c>
    </row>
    <row r="255" spans="1:17" x14ac:dyDescent="0.3">
      <c r="A255" t="s">
        <v>702</v>
      </c>
      <c r="B255" s="2">
        <v>45969</v>
      </c>
      <c r="C255" s="2" t="str">
        <f t="shared" si="15"/>
        <v>November</v>
      </c>
      <c r="D255" t="s">
        <v>469</v>
      </c>
      <c r="E255" t="s">
        <v>424</v>
      </c>
      <c r="F255">
        <v>2</v>
      </c>
      <c r="G255" t="s">
        <v>1454</v>
      </c>
      <c r="H255" t="s">
        <v>1455</v>
      </c>
      <c r="I255" t="s">
        <v>337</v>
      </c>
      <c r="J255" t="str">
        <f>_xlfn.XLOOKUP(E255, Product_Master!$A$2:$A$101, Product_Master!$C$2:$C$101)</f>
        <v>Electronics</v>
      </c>
      <c r="K255">
        <f>_xlfn.XLOOKUP(E255, Product_Master!$A$2:$A$101, Product_Master!$D$2:$D$101)</f>
        <v>15000</v>
      </c>
      <c r="L255">
        <f>_xlfn.XLOOKUP(E255, Product_Master!$A$2:$A$101, Product_Master!$E$2:$E$101)</f>
        <v>18000</v>
      </c>
      <c r="M255">
        <f t="shared" si="16"/>
        <v>36000</v>
      </c>
      <c r="N255">
        <f t="shared" si="17"/>
        <v>30000</v>
      </c>
      <c r="O255">
        <f t="shared" si="18"/>
        <v>6000</v>
      </c>
      <c r="P255" s="3">
        <f t="shared" si="19"/>
        <v>0.16666666666666666</v>
      </c>
      <c r="Q255" s="3" t="str">
        <v>Low Profit</v>
      </c>
    </row>
    <row r="256" spans="1:17" x14ac:dyDescent="0.3">
      <c r="A256" t="s">
        <v>703</v>
      </c>
      <c r="B256" s="2">
        <v>45701</v>
      </c>
      <c r="C256" s="2" t="str">
        <f t="shared" si="15"/>
        <v>February</v>
      </c>
      <c r="D256" t="s">
        <v>43</v>
      </c>
      <c r="E256" t="s">
        <v>391</v>
      </c>
      <c r="F256">
        <v>5</v>
      </c>
      <c r="G256" t="s">
        <v>24</v>
      </c>
      <c r="H256" t="s">
        <v>31</v>
      </c>
      <c r="I256" t="s">
        <v>332</v>
      </c>
      <c r="J256" t="str">
        <f>_xlfn.XLOOKUP(E256, Product_Master!$A$2:$A$101, Product_Master!$C$2:$C$101)</f>
        <v>Accessories</v>
      </c>
      <c r="K256">
        <f>_xlfn.XLOOKUP(E256, Product_Master!$A$2:$A$101, Product_Master!$D$2:$D$101)</f>
        <v>500</v>
      </c>
      <c r="L256">
        <f>_xlfn.XLOOKUP(E256, Product_Master!$A$2:$A$101, Product_Master!$E$2:$E$101)</f>
        <v>800</v>
      </c>
      <c r="M256">
        <f t="shared" si="16"/>
        <v>4000</v>
      </c>
      <c r="N256">
        <f t="shared" si="17"/>
        <v>2500</v>
      </c>
      <c r="O256">
        <f t="shared" si="18"/>
        <v>1500</v>
      </c>
      <c r="P256" s="3">
        <f t="shared" si="19"/>
        <v>0.375</v>
      </c>
      <c r="Q256" s="3" t="str">
        <v>High Profit</v>
      </c>
    </row>
    <row r="257" spans="1:17" x14ac:dyDescent="0.3">
      <c r="A257" t="s">
        <v>704</v>
      </c>
      <c r="B257" s="2">
        <v>45689</v>
      </c>
      <c r="C257" s="2" t="str">
        <f t="shared" si="15"/>
        <v>February</v>
      </c>
      <c r="D257" t="s">
        <v>211</v>
      </c>
      <c r="E257" t="s">
        <v>386</v>
      </c>
      <c r="F257">
        <v>3</v>
      </c>
      <c r="G257" t="s">
        <v>29</v>
      </c>
      <c r="H257" t="s">
        <v>20</v>
      </c>
      <c r="I257" t="s">
        <v>335</v>
      </c>
      <c r="J257" t="str">
        <f>_xlfn.XLOOKUP(E257, Product_Master!$A$2:$A$101, Product_Master!$C$2:$C$101)</f>
        <v>Accessories</v>
      </c>
      <c r="K257">
        <f>_xlfn.XLOOKUP(E257, Product_Master!$A$2:$A$101, Product_Master!$D$2:$D$101)</f>
        <v>900</v>
      </c>
      <c r="L257">
        <f>_xlfn.XLOOKUP(E257, Product_Master!$A$2:$A$101, Product_Master!$E$2:$E$101)</f>
        <v>1500</v>
      </c>
      <c r="M257">
        <f t="shared" si="16"/>
        <v>4500</v>
      </c>
      <c r="N257">
        <f t="shared" si="17"/>
        <v>2700</v>
      </c>
      <c r="O257">
        <f t="shared" si="18"/>
        <v>1800</v>
      </c>
      <c r="P257" s="3">
        <f t="shared" si="19"/>
        <v>0.4</v>
      </c>
      <c r="Q257" s="3" t="str">
        <v>High Profit</v>
      </c>
    </row>
    <row r="258" spans="1:17" x14ac:dyDescent="0.3">
      <c r="A258" t="s">
        <v>705</v>
      </c>
      <c r="B258" s="2">
        <v>45830</v>
      </c>
      <c r="C258" s="2" t="str">
        <f t="shared" si="15"/>
        <v>June</v>
      </c>
      <c r="D258" t="s">
        <v>163</v>
      </c>
      <c r="E258" t="s">
        <v>415</v>
      </c>
      <c r="F258">
        <v>3</v>
      </c>
      <c r="G258" t="s">
        <v>24</v>
      </c>
      <c r="H258" t="s">
        <v>31</v>
      </c>
      <c r="I258" t="s">
        <v>329</v>
      </c>
      <c r="J258" t="str">
        <f>_xlfn.XLOOKUP(E258, Product_Master!$A$2:$A$101, Product_Master!$C$2:$C$101)</f>
        <v>Electronics</v>
      </c>
      <c r="K258">
        <f>_xlfn.XLOOKUP(E258, Product_Master!$A$2:$A$101, Product_Master!$D$2:$D$101)</f>
        <v>20000</v>
      </c>
      <c r="L258">
        <f>_xlfn.XLOOKUP(E258, Product_Master!$A$2:$A$101, Product_Master!$E$2:$E$101)</f>
        <v>25000</v>
      </c>
      <c r="M258">
        <f t="shared" si="16"/>
        <v>75000</v>
      </c>
      <c r="N258">
        <f t="shared" si="17"/>
        <v>60000</v>
      </c>
      <c r="O258">
        <f t="shared" si="18"/>
        <v>15000</v>
      </c>
      <c r="P258" s="3">
        <f t="shared" si="19"/>
        <v>0.2</v>
      </c>
      <c r="Q258" s="3" t="str">
        <v>Low Profit</v>
      </c>
    </row>
    <row r="259" spans="1:17" x14ac:dyDescent="0.3">
      <c r="A259" t="s">
        <v>706</v>
      </c>
      <c r="B259" s="2">
        <v>45774</v>
      </c>
      <c r="C259" s="2" t="str">
        <f t="shared" ref="C259:C322" si="20">TEXT(B259,"MMMM")</f>
        <v>April</v>
      </c>
      <c r="D259" t="s">
        <v>135</v>
      </c>
      <c r="E259" t="s">
        <v>396</v>
      </c>
      <c r="F259">
        <v>4</v>
      </c>
      <c r="G259" t="s">
        <v>10</v>
      </c>
      <c r="H259" t="s">
        <v>17</v>
      </c>
      <c r="I259" t="s">
        <v>335</v>
      </c>
      <c r="J259" t="str">
        <f>_xlfn.XLOOKUP(E259, Product_Master!$A$2:$A$101, Product_Master!$C$2:$C$101)</f>
        <v>Accessories</v>
      </c>
      <c r="K259">
        <f>_xlfn.XLOOKUP(E259, Product_Master!$A$2:$A$101, Product_Master!$D$2:$D$101)</f>
        <v>900</v>
      </c>
      <c r="L259">
        <f>_xlfn.XLOOKUP(E259, Product_Master!$A$2:$A$101, Product_Master!$E$2:$E$101)</f>
        <v>1500</v>
      </c>
      <c r="M259">
        <f t="shared" ref="M259:M322" si="21">F259*L259</f>
        <v>6000</v>
      </c>
      <c r="N259">
        <f t="shared" ref="N259:N322" si="22">F259*K259</f>
        <v>3600</v>
      </c>
      <c r="O259">
        <f t="shared" ref="O259:O322" si="23">M259-N259</f>
        <v>2400</v>
      </c>
      <c r="P259" s="3">
        <f t="shared" ref="P259:P322" si="24">O259/M259</f>
        <v>0.4</v>
      </c>
      <c r="Q259" s="3" t="str">
        <v>High Profit</v>
      </c>
    </row>
    <row r="260" spans="1:17" x14ac:dyDescent="0.3">
      <c r="A260" t="s">
        <v>707</v>
      </c>
      <c r="B260" s="2">
        <v>45705</v>
      </c>
      <c r="C260" s="2" t="str">
        <f t="shared" si="20"/>
        <v>February</v>
      </c>
      <c r="D260" t="s">
        <v>247</v>
      </c>
      <c r="E260" t="s">
        <v>352</v>
      </c>
      <c r="F260">
        <v>5</v>
      </c>
      <c r="G260" t="s">
        <v>7</v>
      </c>
      <c r="H260" t="s">
        <v>1455</v>
      </c>
      <c r="I260" t="s">
        <v>353</v>
      </c>
      <c r="J260" t="str">
        <f>_xlfn.XLOOKUP(E260, Product_Master!$A$2:$A$101, Product_Master!$C$2:$C$101)</f>
        <v>Electronics</v>
      </c>
      <c r="K260">
        <f>_xlfn.XLOOKUP(E260, Product_Master!$A$2:$A$101, Product_Master!$D$2:$D$101)</f>
        <v>12000</v>
      </c>
      <c r="L260">
        <f>_xlfn.XLOOKUP(E260, Product_Master!$A$2:$A$101, Product_Master!$E$2:$E$101)</f>
        <v>15000</v>
      </c>
      <c r="M260">
        <f t="shared" si="21"/>
        <v>75000</v>
      </c>
      <c r="N260">
        <f t="shared" si="22"/>
        <v>60000</v>
      </c>
      <c r="O260">
        <f t="shared" si="23"/>
        <v>15000</v>
      </c>
      <c r="P260" s="3">
        <f t="shared" si="24"/>
        <v>0.2</v>
      </c>
      <c r="Q260" s="3" t="str">
        <v>Low Profit</v>
      </c>
    </row>
    <row r="261" spans="1:17" x14ac:dyDescent="0.3">
      <c r="A261" t="s">
        <v>708</v>
      </c>
      <c r="B261" s="2">
        <v>45732</v>
      </c>
      <c r="C261" s="2" t="str">
        <f t="shared" si="20"/>
        <v>March</v>
      </c>
      <c r="D261" t="s">
        <v>186</v>
      </c>
      <c r="E261" t="s">
        <v>334</v>
      </c>
      <c r="F261">
        <v>1</v>
      </c>
      <c r="G261" t="s">
        <v>7</v>
      </c>
      <c r="H261" t="s">
        <v>17</v>
      </c>
      <c r="I261" t="s">
        <v>335</v>
      </c>
      <c r="J261" t="str">
        <f>_xlfn.XLOOKUP(E261, Product_Master!$A$2:$A$101, Product_Master!$C$2:$C$101)</f>
        <v>Accessories</v>
      </c>
      <c r="K261">
        <f>_xlfn.XLOOKUP(E261, Product_Master!$A$2:$A$101, Product_Master!$D$2:$D$101)</f>
        <v>900</v>
      </c>
      <c r="L261">
        <f>_xlfn.XLOOKUP(E261, Product_Master!$A$2:$A$101, Product_Master!$E$2:$E$101)</f>
        <v>1500</v>
      </c>
      <c r="M261">
        <f t="shared" si="21"/>
        <v>1500</v>
      </c>
      <c r="N261">
        <f t="shared" si="22"/>
        <v>900</v>
      </c>
      <c r="O261">
        <f t="shared" si="23"/>
        <v>600</v>
      </c>
      <c r="P261" s="3">
        <f t="shared" si="24"/>
        <v>0.4</v>
      </c>
      <c r="Q261" s="3" t="str">
        <v>High Profit</v>
      </c>
    </row>
    <row r="262" spans="1:17" x14ac:dyDescent="0.3">
      <c r="A262" t="s">
        <v>709</v>
      </c>
      <c r="B262" s="2">
        <v>46022</v>
      </c>
      <c r="C262" s="2" t="str">
        <f t="shared" si="20"/>
        <v>December</v>
      </c>
      <c r="D262" t="s">
        <v>148</v>
      </c>
      <c r="E262" t="s">
        <v>441</v>
      </c>
      <c r="F262">
        <v>3</v>
      </c>
      <c r="G262" t="s">
        <v>4</v>
      </c>
      <c r="H262" t="s">
        <v>5</v>
      </c>
      <c r="I262" t="s">
        <v>346</v>
      </c>
      <c r="J262" t="str">
        <f>_xlfn.XLOOKUP(E262, Product_Master!$A$2:$A$101, Product_Master!$C$2:$C$101)</f>
        <v>Accessories</v>
      </c>
      <c r="K262">
        <f>_xlfn.XLOOKUP(E262, Product_Master!$A$2:$A$101, Product_Master!$D$2:$D$101)</f>
        <v>9000</v>
      </c>
      <c r="L262">
        <f>_xlfn.XLOOKUP(E262, Product_Master!$A$2:$A$101, Product_Master!$E$2:$E$101)</f>
        <v>12000</v>
      </c>
      <c r="M262">
        <f t="shared" si="21"/>
        <v>36000</v>
      </c>
      <c r="N262">
        <f t="shared" si="22"/>
        <v>27000</v>
      </c>
      <c r="O262">
        <f t="shared" si="23"/>
        <v>9000</v>
      </c>
      <c r="P262" s="3">
        <f t="shared" si="24"/>
        <v>0.25</v>
      </c>
      <c r="Q262" s="3" t="str">
        <v>High Profit</v>
      </c>
    </row>
    <row r="263" spans="1:17" x14ac:dyDescent="0.3">
      <c r="A263" t="s">
        <v>710</v>
      </c>
      <c r="B263" s="2">
        <v>45831</v>
      </c>
      <c r="C263" s="2" t="str">
        <f t="shared" si="20"/>
        <v>June</v>
      </c>
      <c r="D263" t="s">
        <v>301</v>
      </c>
      <c r="E263" t="s">
        <v>417</v>
      </c>
      <c r="F263">
        <v>5</v>
      </c>
      <c r="G263" t="s">
        <v>22</v>
      </c>
      <c r="H263" t="s">
        <v>5</v>
      </c>
      <c r="I263" t="s">
        <v>335</v>
      </c>
      <c r="J263" t="str">
        <f>_xlfn.XLOOKUP(E263, Product_Master!$A$2:$A$101, Product_Master!$C$2:$C$101)</f>
        <v>Accessories</v>
      </c>
      <c r="K263">
        <f>_xlfn.XLOOKUP(E263, Product_Master!$A$2:$A$101, Product_Master!$D$2:$D$101)</f>
        <v>900</v>
      </c>
      <c r="L263">
        <f>_xlfn.XLOOKUP(E263, Product_Master!$A$2:$A$101, Product_Master!$E$2:$E$101)</f>
        <v>1500</v>
      </c>
      <c r="M263">
        <f t="shared" si="21"/>
        <v>7500</v>
      </c>
      <c r="N263">
        <f t="shared" si="22"/>
        <v>4500</v>
      </c>
      <c r="O263">
        <f t="shared" si="23"/>
        <v>3000</v>
      </c>
      <c r="P263" s="3">
        <f t="shared" si="24"/>
        <v>0.4</v>
      </c>
      <c r="Q263" s="3" t="str">
        <v>High Profit</v>
      </c>
    </row>
    <row r="264" spans="1:17" x14ac:dyDescent="0.3">
      <c r="A264" t="s">
        <v>711</v>
      </c>
      <c r="B264" s="2">
        <v>45760</v>
      </c>
      <c r="C264" s="2" t="str">
        <f t="shared" si="20"/>
        <v>April</v>
      </c>
      <c r="D264" t="s">
        <v>117</v>
      </c>
      <c r="E264" t="s">
        <v>379</v>
      </c>
      <c r="F264">
        <v>2</v>
      </c>
      <c r="G264" t="s">
        <v>47</v>
      </c>
      <c r="H264" t="s">
        <v>8</v>
      </c>
      <c r="I264" t="s">
        <v>346</v>
      </c>
      <c r="J264" t="str">
        <f>_xlfn.XLOOKUP(E264, Product_Master!$A$2:$A$101, Product_Master!$C$2:$C$101)</f>
        <v>Accessories</v>
      </c>
      <c r="K264">
        <f>_xlfn.XLOOKUP(E264, Product_Master!$A$2:$A$101, Product_Master!$D$2:$D$101)</f>
        <v>9000</v>
      </c>
      <c r="L264">
        <f>_xlfn.XLOOKUP(E264, Product_Master!$A$2:$A$101, Product_Master!$E$2:$E$101)</f>
        <v>12000</v>
      </c>
      <c r="M264">
        <f t="shared" si="21"/>
        <v>24000</v>
      </c>
      <c r="N264">
        <f t="shared" si="22"/>
        <v>18000</v>
      </c>
      <c r="O264">
        <f t="shared" si="23"/>
        <v>6000</v>
      </c>
      <c r="P264" s="3">
        <f t="shared" si="24"/>
        <v>0.25</v>
      </c>
      <c r="Q264" s="3" t="str">
        <v>High Profit</v>
      </c>
    </row>
    <row r="265" spans="1:17" x14ac:dyDescent="0.3">
      <c r="A265" t="s">
        <v>712</v>
      </c>
      <c r="B265" s="2">
        <v>45745</v>
      </c>
      <c r="C265" s="2" t="str">
        <f t="shared" si="20"/>
        <v>March</v>
      </c>
      <c r="D265" t="s">
        <v>100</v>
      </c>
      <c r="E265" t="s">
        <v>367</v>
      </c>
      <c r="F265">
        <v>4</v>
      </c>
      <c r="G265" t="s">
        <v>47</v>
      </c>
      <c r="H265" t="s">
        <v>14</v>
      </c>
      <c r="I265" t="s">
        <v>344</v>
      </c>
      <c r="J265" t="str">
        <f>_xlfn.XLOOKUP(E265, Product_Master!$A$2:$A$101, Product_Master!$C$2:$C$101)</f>
        <v>Accessories</v>
      </c>
      <c r="K265">
        <f>_xlfn.XLOOKUP(E265, Product_Master!$A$2:$A$101, Product_Master!$D$2:$D$101)</f>
        <v>2000</v>
      </c>
      <c r="L265">
        <f>_xlfn.XLOOKUP(E265, Product_Master!$A$2:$A$101, Product_Master!$E$2:$E$101)</f>
        <v>3000</v>
      </c>
      <c r="M265">
        <f t="shared" si="21"/>
        <v>12000</v>
      </c>
      <c r="N265">
        <f t="shared" si="22"/>
        <v>8000</v>
      </c>
      <c r="O265">
        <f t="shared" si="23"/>
        <v>4000</v>
      </c>
      <c r="P265" s="3">
        <f t="shared" si="24"/>
        <v>0.33333333333333331</v>
      </c>
      <c r="Q265" s="3" t="str">
        <v>High Profit</v>
      </c>
    </row>
    <row r="266" spans="1:17" x14ac:dyDescent="0.3">
      <c r="A266" t="s">
        <v>713</v>
      </c>
      <c r="B266" s="2">
        <v>45852</v>
      </c>
      <c r="C266" s="2" t="str">
        <f t="shared" si="20"/>
        <v>July</v>
      </c>
      <c r="D266" t="s">
        <v>103</v>
      </c>
      <c r="E266" t="s">
        <v>441</v>
      </c>
      <c r="F266">
        <v>4</v>
      </c>
      <c r="G266" t="s">
        <v>12</v>
      </c>
      <c r="H266" t="s">
        <v>39</v>
      </c>
      <c r="I266" t="s">
        <v>346</v>
      </c>
      <c r="J266" t="str">
        <f>_xlfn.XLOOKUP(E266, Product_Master!$A$2:$A$101, Product_Master!$C$2:$C$101)</f>
        <v>Accessories</v>
      </c>
      <c r="K266">
        <f>_xlfn.XLOOKUP(E266, Product_Master!$A$2:$A$101, Product_Master!$D$2:$D$101)</f>
        <v>9000</v>
      </c>
      <c r="L266">
        <f>_xlfn.XLOOKUP(E266, Product_Master!$A$2:$A$101, Product_Master!$E$2:$E$101)</f>
        <v>12000</v>
      </c>
      <c r="M266">
        <f t="shared" si="21"/>
        <v>48000</v>
      </c>
      <c r="N266">
        <f t="shared" si="22"/>
        <v>36000</v>
      </c>
      <c r="O266">
        <f t="shared" si="23"/>
        <v>12000</v>
      </c>
      <c r="P266" s="3">
        <f t="shared" si="24"/>
        <v>0.25</v>
      </c>
      <c r="Q266" s="3" t="str">
        <v>High Profit</v>
      </c>
    </row>
    <row r="267" spans="1:17" x14ac:dyDescent="0.3">
      <c r="A267" t="s">
        <v>714</v>
      </c>
      <c r="B267" s="2">
        <v>45825</v>
      </c>
      <c r="C267" s="2" t="str">
        <f t="shared" si="20"/>
        <v>June</v>
      </c>
      <c r="D267" t="s">
        <v>41</v>
      </c>
      <c r="E267" t="s">
        <v>386</v>
      </c>
      <c r="F267">
        <v>5</v>
      </c>
      <c r="G267" t="s">
        <v>37</v>
      </c>
      <c r="H267" t="s">
        <v>31</v>
      </c>
      <c r="I267" t="s">
        <v>335</v>
      </c>
      <c r="J267" t="str">
        <f>_xlfn.XLOOKUP(E267, Product_Master!$A$2:$A$101, Product_Master!$C$2:$C$101)</f>
        <v>Accessories</v>
      </c>
      <c r="K267">
        <f>_xlfn.XLOOKUP(E267, Product_Master!$A$2:$A$101, Product_Master!$D$2:$D$101)</f>
        <v>900</v>
      </c>
      <c r="L267">
        <f>_xlfn.XLOOKUP(E267, Product_Master!$A$2:$A$101, Product_Master!$E$2:$E$101)</f>
        <v>1500</v>
      </c>
      <c r="M267">
        <f t="shared" si="21"/>
        <v>7500</v>
      </c>
      <c r="N267">
        <f t="shared" si="22"/>
        <v>4500</v>
      </c>
      <c r="O267">
        <f t="shared" si="23"/>
        <v>3000</v>
      </c>
      <c r="P267" s="3">
        <f t="shared" si="24"/>
        <v>0.4</v>
      </c>
      <c r="Q267" s="3" t="str">
        <v>High Profit</v>
      </c>
    </row>
    <row r="268" spans="1:17" x14ac:dyDescent="0.3">
      <c r="A268" t="s">
        <v>715</v>
      </c>
      <c r="B268" s="2">
        <v>45858</v>
      </c>
      <c r="C268" s="2" t="str">
        <f t="shared" si="20"/>
        <v>July</v>
      </c>
      <c r="D268" t="s">
        <v>59</v>
      </c>
      <c r="E268" t="s">
        <v>427</v>
      </c>
      <c r="F268">
        <v>3</v>
      </c>
      <c r="G268" t="s">
        <v>4</v>
      </c>
      <c r="H268" t="s">
        <v>39</v>
      </c>
      <c r="I268" t="s">
        <v>329</v>
      </c>
      <c r="J268" t="str">
        <f>_xlfn.XLOOKUP(E268, Product_Master!$A$2:$A$101, Product_Master!$C$2:$C$101)</f>
        <v>Electronics</v>
      </c>
      <c r="K268">
        <f>_xlfn.XLOOKUP(E268, Product_Master!$A$2:$A$101, Product_Master!$D$2:$D$101)</f>
        <v>20000</v>
      </c>
      <c r="L268">
        <f>_xlfn.XLOOKUP(E268, Product_Master!$A$2:$A$101, Product_Master!$E$2:$E$101)</f>
        <v>25000</v>
      </c>
      <c r="M268">
        <f t="shared" si="21"/>
        <v>75000</v>
      </c>
      <c r="N268">
        <f t="shared" si="22"/>
        <v>60000</v>
      </c>
      <c r="O268">
        <f t="shared" si="23"/>
        <v>15000</v>
      </c>
      <c r="P268" s="3">
        <f t="shared" si="24"/>
        <v>0.2</v>
      </c>
      <c r="Q268" s="3" t="str">
        <v>Low Profit</v>
      </c>
    </row>
    <row r="269" spans="1:17" x14ac:dyDescent="0.3">
      <c r="A269" t="s">
        <v>716</v>
      </c>
      <c r="B269" s="2">
        <v>45717</v>
      </c>
      <c r="C269" s="2" t="str">
        <f t="shared" si="20"/>
        <v>March</v>
      </c>
      <c r="D269" t="s">
        <v>300</v>
      </c>
      <c r="E269" t="s">
        <v>369</v>
      </c>
      <c r="F269">
        <v>3</v>
      </c>
      <c r="G269" t="s">
        <v>16</v>
      </c>
      <c r="H269" t="s">
        <v>20</v>
      </c>
      <c r="I269" t="s">
        <v>329</v>
      </c>
      <c r="J269" t="str">
        <f>_xlfn.XLOOKUP(E269, Product_Master!$A$2:$A$101, Product_Master!$C$2:$C$101)</f>
        <v>Electronics</v>
      </c>
      <c r="K269">
        <f>_xlfn.XLOOKUP(E269, Product_Master!$A$2:$A$101, Product_Master!$D$2:$D$101)</f>
        <v>20000</v>
      </c>
      <c r="L269">
        <f>_xlfn.XLOOKUP(E269, Product_Master!$A$2:$A$101, Product_Master!$E$2:$E$101)</f>
        <v>25000</v>
      </c>
      <c r="M269">
        <f t="shared" si="21"/>
        <v>75000</v>
      </c>
      <c r="N269">
        <f t="shared" si="22"/>
        <v>60000</v>
      </c>
      <c r="O269">
        <f t="shared" si="23"/>
        <v>15000</v>
      </c>
      <c r="P269" s="3">
        <f t="shared" si="24"/>
        <v>0.2</v>
      </c>
      <c r="Q269" s="3" t="str">
        <v>Low Profit</v>
      </c>
    </row>
    <row r="270" spans="1:17" x14ac:dyDescent="0.3">
      <c r="A270" t="s">
        <v>717</v>
      </c>
      <c r="B270" s="2">
        <v>46011</v>
      </c>
      <c r="C270" s="2" t="str">
        <f t="shared" si="20"/>
        <v>December</v>
      </c>
      <c r="D270" t="s">
        <v>225</v>
      </c>
      <c r="E270" t="s">
        <v>349</v>
      </c>
      <c r="F270">
        <v>1</v>
      </c>
      <c r="G270" t="s">
        <v>10</v>
      </c>
      <c r="H270" t="s">
        <v>20</v>
      </c>
      <c r="I270" t="s">
        <v>346</v>
      </c>
      <c r="J270" t="str">
        <f>_xlfn.XLOOKUP(E270, Product_Master!$A$2:$A$101, Product_Master!$C$2:$C$101)</f>
        <v>Accessories</v>
      </c>
      <c r="K270">
        <f>_xlfn.XLOOKUP(E270, Product_Master!$A$2:$A$101, Product_Master!$D$2:$D$101)</f>
        <v>9000</v>
      </c>
      <c r="L270">
        <f>_xlfn.XLOOKUP(E270, Product_Master!$A$2:$A$101, Product_Master!$E$2:$E$101)</f>
        <v>12000</v>
      </c>
      <c r="M270">
        <f t="shared" si="21"/>
        <v>12000</v>
      </c>
      <c r="N270">
        <f t="shared" si="22"/>
        <v>9000</v>
      </c>
      <c r="O270">
        <f t="shared" si="23"/>
        <v>3000</v>
      </c>
      <c r="P270" s="3">
        <f t="shared" si="24"/>
        <v>0.25</v>
      </c>
      <c r="Q270" s="3" t="str">
        <v>High Profit</v>
      </c>
    </row>
    <row r="271" spans="1:17" x14ac:dyDescent="0.3">
      <c r="A271" t="s">
        <v>718</v>
      </c>
      <c r="B271" s="2">
        <v>46022</v>
      </c>
      <c r="C271" s="2" t="str">
        <f t="shared" si="20"/>
        <v>December</v>
      </c>
      <c r="D271" t="s">
        <v>89</v>
      </c>
      <c r="E271" t="s">
        <v>369</v>
      </c>
      <c r="F271">
        <v>3</v>
      </c>
      <c r="G271" t="s">
        <v>19</v>
      </c>
      <c r="H271" t="s">
        <v>1455</v>
      </c>
      <c r="I271" t="s">
        <v>329</v>
      </c>
      <c r="J271" t="str">
        <f>_xlfn.XLOOKUP(E271, Product_Master!$A$2:$A$101, Product_Master!$C$2:$C$101)</f>
        <v>Electronics</v>
      </c>
      <c r="K271">
        <f>_xlfn.XLOOKUP(E271, Product_Master!$A$2:$A$101, Product_Master!$D$2:$D$101)</f>
        <v>20000</v>
      </c>
      <c r="L271">
        <f>_xlfn.XLOOKUP(E271, Product_Master!$A$2:$A$101, Product_Master!$E$2:$E$101)</f>
        <v>25000</v>
      </c>
      <c r="M271">
        <f t="shared" si="21"/>
        <v>75000</v>
      </c>
      <c r="N271">
        <f t="shared" si="22"/>
        <v>60000</v>
      </c>
      <c r="O271">
        <f t="shared" si="23"/>
        <v>15000</v>
      </c>
      <c r="P271" s="3">
        <f t="shared" si="24"/>
        <v>0.2</v>
      </c>
      <c r="Q271" s="3" t="str">
        <v>Low Profit</v>
      </c>
    </row>
    <row r="272" spans="1:17" x14ac:dyDescent="0.3">
      <c r="A272" t="s">
        <v>719</v>
      </c>
      <c r="B272" s="2">
        <v>45779</v>
      </c>
      <c r="C272" s="2" t="str">
        <f t="shared" si="20"/>
        <v>May</v>
      </c>
      <c r="D272" t="s">
        <v>92</v>
      </c>
      <c r="E272" t="s">
        <v>356</v>
      </c>
      <c r="F272">
        <v>4</v>
      </c>
      <c r="G272" t="s">
        <v>24</v>
      </c>
      <c r="H272" t="s">
        <v>17</v>
      </c>
      <c r="I272" t="s">
        <v>340</v>
      </c>
      <c r="J272" t="str">
        <f>_xlfn.XLOOKUP(E272, Product_Master!$A$2:$A$101, Product_Master!$C$2:$C$101)</f>
        <v>Electronics</v>
      </c>
      <c r="K272">
        <f>_xlfn.XLOOKUP(E272, Product_Master!$A$2:$A$101, Product_Master!$D$2:$D$101)</f>
        <v>42000</v>
      </c>
      <c r="L272">
        <f>_xlfn.XLOOKUP(E272, Product_Master!$A$2:$A$101, Product_Master!$E$2:$E$101)</f>
        <v>50000</v>
      </c>
      <c r="M272">
        <f t="shared" si="21"/>
        <v>200000</v>
      </c>
      <c r="N272">
        <f t="shared" si="22"/>
        <v>168000</v>
      </c>
      <c r="O272">
        <f t="shared" si="23"/>
        <v>32000</v>
      </c>
      <c r="P272" s="3">
        <f t="shared" si="24"/>
        <v>0.16</v>
      </c>
      <c r="Q272" s="3" t="str">
        <v>Low Profit</v>
      </c>
    </row>
    <row r="273" spans="1:17" x14ac:dyDescent="0.3">
      <c r="A273" t="s">
        <v>720</v>
      </c>
      <c r="B273" s="2">
        <v>45939</v>
      </c>
      <c r="C273" s="2" t="str">
        <f t="shared" si="20"/>
        <v>October</v>
      </c>
      <c r="D273" t="s">
        <v>199</v>
      </c>
      <c r="E273" t="s">
        <v>395</v>
      </c>
      <c r="F273">
        <v>5</v>
      </c>
      <c r="G273" t="s">
        <v>7</v>
      </c>
      <c r="H273" t="s">
        <v>14</v>
      </c>
      <c r="I273" t="s">
        <v>340</v>
      </c>
      <c r="J273" t="str">
        <f>_xlfn.XLOOKUP(E273, Product_Master!$A$2:$A$101, Product_Master!$C$2:$C$101)</f>
        <v>Electronics</v>
      </c>
      <c r="K273">
        <f>_xlfn.XLOOKUP(E273, Product_Master!$A$2:$A$101, Product_Master!$D$2:$D$101)</f>
        <v>42000</v>
      </c>
      <c r="L273">
        <f>_xlfn.XLOOKUP(E273, Product_Master!$A$2:$A$101, Product_Master!$E$2:$E$101)</f>
        <v>50000</v>
      </c>
      <c r="M273">
        <f t="shared" si="21"/>
        <v>250000</v>
      </c>
      <c r="N273">
        <f t="shared" si="22"/>
        <v>210000</v>
      </c>
      <c r="O273">
        <f t="shared" si="23"/>
        <v>40000</v>
      </c>
      <c r="P273" s="3">
        <f t="shared" si="24"/>
        <v>0.16</v>
      </c>
      <c r="Q273" s="3" t="str">
        <v>Low Profit</v>
      </c>
    </row>
    <row r="274" spans="1:17" x14ac:dyDescent="0.3">
      <c r="A274" t="s">
        <v>721</v>
      </c>
      <c r="B274" s="2">
        <v>45685</v>
      </c>
      <c r="C274" s="2" t="str">
        <f t="shared" si="20"/>
        <v>January</v>
      </c>
      <c r="D274" t="s">
        <v>223</v>
      </c>
      <c r="E274" t="s">
        <v>371</v>
      </c>
      <c r="F274">
        <v>2</v>
      </c>
      <c r="G274" t="s">
        <v>37</v>
      </c>
      <c r="H274" t="s">
        <v>8</v>
      </c>
      <c r="I274" t="s">
        <v>329</v>
      </c>
      <c r="J274" t="str">
        <f>_xlfn.XLOOKUP(E274, Product_Master!$A$2:$A$101, Product_Master!$C$2:$C$101)</f>
        <v>Electronics</v>
      </c>
      <c r="K274">
        <f>_xlfn.XLOOKUP(E274, Product_Master!$A$2:$A$101, Product_Master!$D$2:$D$101)</f>
        <v>20000</v>
      </c>
      <c r="L274">
        <f>_xlfn.XLOOKUP(E274, Product_Master!$A$2:$A$101, Product_Master!$E$2:$E$101)</f>
        <v>25000</v>
      </c>
      <c r="M274">
        <f t="shared" si="21"/>
        <v>50000</v>
      </c>
      <c r="N274">
        <f t="shared" si="22"/>
        <v>40000</v>
      </c>
      <c r="O274">
        <f t="shared" si="23"/>
        <v>10000</v>
      </c>
      <c r="P274" s="3">
        <f t="shared" si="24"/>
        <v>0.2</v>
      </c>
      <c r="Q274" s="3" t="str">
        <v>Low Profit</v>
      </c>
    </row>
    <row r="275" spans="1:17" x14ac:dyDescent="0.3">
      <c r="A275" t="s">
        <v>722</v>
      </c>
      <c r="B275" s="2">
        <v>45745</v>
      </c>
      <c r="C275" s="2" t="str">
        <f t="shared" si="20"/>
        <v>March</v>
      </c>
      <c r="D275" t="s">
        <v>49</v>
      </c>
      <c r="E275" t="s">
        <v>372</v>
      </c>
      <c r="F275">
        <v>3</v>
      </c>
      <c r="G275" t="s">
        <v>19</v>
      </c>
      <c r="H275" t="s">
        <v>31</v>
      </c>
      <c r="I275" t="s">
        <v>340</v>
      </c>
      <c r="J275" t="str">
        <f>_xlfn.XLOOKUP(E275, Product_Master!$A$2:$A$101, Product_Master!$C$2:$C$101)</f>
        <v>Electronics</v>
      </c>
      <c r="K275">
        <f>_xlfn.XLOOKUP(E275, Product_Master!$A$2:$A$101, Product_Master!$D$2:$D$101)</f>
        <v>42000</v>
      </c>
      <c r="L275">
        <f>_xlfn.XLOOKUP(E275, Product_Master!$A$2:$A$101, Product_Master!$E$2:$E$101)</f>
        <v>50000</v>
      </c>
      <c r="M275">
        <f t="shared" si="21"/>
        <v>150000</v>
      </c>
      <c r="N275">
        <f t="shared" si="22"/>
        <v>126000</v>
      </c>
      <c r="O275">
        <f t="shared" si="23"/>
        <v>24000</v>
      </c>
      <c r="P275" s="3">
        <f t="shared" si="24"/>
        <v>0.16</v>
      </c>
      <c r="Q275" s="3" t="str">
        <v>Low Profit</v>
      </c>
    </row>
    <row r="276" spans="1:17" x14ac:dyDescent="0.3">
      <c r="A276" t="s">
        <v>723</v>
      </c>
      <c r="B276" s="2">
        <v>45887</v>
      </c>
      <c r="C276" s="2" t="str">
        <f t="shared" si="20"/>
        <v>August</v>
      </c>
      <c r="D276" t="s">
        <v>229</v>
      </c>
      <c r="E276" t="s">
        <v>430</v>
      </c>
      <c r="F276">
        <v>4</v>
      </c>
      <c r="G276" t="s">
        <v>37</v>
      </c>
      <c r="H276" t="s">
        <v>14</v>
      </c>
      <c r="I276" t="s">
        <v>346</v>
      </c>
      <c r="J276" t="str">
        <f>_xlfn.XLOOKUP(E276, Product_Master!$A$2:$A$101, Product_Master!$C$2:$C$101)</f>
        <v>Accessories</v>
      </c>
      <c r="K276">
        <f>_xlfn.XLOOKUP(E276, Product_Master!$A$2:$A$101, Product_Master!$D$2:$D$101)</f>
        <v>9000</v>
      </c>
      <c r="L276">
        <f>_xlfn.XLOOKUP(E276, Product_Master!$A$2:$A$101, Product_Master!$E$2:$E$101)</f>
        <v>12000</v>
      </c>
      <c r="M276">
        <f t="shared" si="21"/>
        <v>48000</v>
      </c>
      <c r="N276">
        <f t="shared" si="22"/>
        <v>36000</v>
      </c>
      <c r="O276">
        <f t="shared" si="23"/>
        <v>12000</v>
      </c>
      <c r="P276" s="3">
        <f t="shared" si="24"/>
        <v>0.25</v>
      </c>
      <c r="Q276" s="3" t="str">
        <v>High Profit</v>
      </c>
    </row>
    <row r="277" spans="1:17" x14ac:dyDescent="0.3">
      <c r="A277" t="s">
        <v>724</v>
      </c>
      <c r="B277" s="2">
        <v>45764</v>
      </c>
      <c r="C277" s="2" t="str">
        <f t="shared" si="20"/>
        <v>April</v>
      </c>
      <c r="D277" t="s">
        <v>79</v>
      </c>
      <c r="E277" t="s">
        <v>348</v>
      </c>
      <c r="F277">
        <v>1</v>
      </c>
      <c r="G277" t="s">
        <v>47</v>
      </c>
      <c r="H277" t="s">
        <v>20</v>
      </c>
      <c r="I277" t="s">
        <v>335</v>
      </c>
      <c r="J277" t="str">
        <f>_xlfn.XLOOKUP(E277, Product_Master!$A$2:$A$101, Product_Master!$C$2:$C$101)</f>
        <v>Accessories</v>
      </c>
      <c r="K277">
        <f>_xlfn.XLOOKUP(E277, Product_Master!$A$2:$A$101, Product_Master!$D$2:$D$101)</f>
        <v>900</v>
      </c>
      <c r="L277">
        <f>_xlfn.XLOOKUP(E277, Product_Master!$A$2:$A$101, Product_Master!$E$2:$E$101)</f>
        <v>1500</v>
      </c>
      <c r="M277">
        <f t="shared" si="21"/>
        <v>1500</v>
      </c>
      <c r="N277">
        <f t="shared" si="22"/>
        <v>900</v>
      </c>
      <c r="O277">
        <f t="shared" si="23"/>
        <v>600</v>
      </c>
      <c r="P277" s="3">
        <f t="shared" si="24"/>
        <v>0.4</v>
      </c>
      <c r="Q277" s="3" t="str">
        <v>High Profit</v>
      </c>
    </row>
    <row r="278" spans="1:17" x14ac:dyDescent="0.3">
      <c r="A278" t="s">
        <v>725</v>
      </c>
      <c r="B278" s="2">
        <v>45727</v>
      </c>
      <c r="C278" s="2" t="str">
        <f t="shared" si="20"/>
        <v>March</v>
      </c>
      <c r="D278" t="s">
        <v>157</v>
      </c>
      <c r="E278" t="s">
        <v>364</v>
      </c>
      <c r="F278">
        <v>2</v>
      </c>
      <c r="G278" t="s">
        <v>19</v>
      </c>
      <c r="H278" t="s">
        <v>14</v>
      </c>
      <c r="I278" t="s">
        <v>346</v>
      </c>
      <c r="J278" t="str">
        <f>_xlfn.XLOOKUP(E278, Product_Master!$A$2:$A$101, Product_Master!$C$2:$C$101)</f>
        <v>Accessories</v>
      </c>
      <c r="K278">
        <f>_xlfn.XLOOKUP(E278, Product_Master!$A$2:$A$101, Product_Master!$D$2:$D$101)</f>
        <v>9000</v>
      </c>
      <c r="L278">
        <f>_xlfn.XLOOKUP(E278, Product_Master!$A$2:$A$101, Product_Master!$E$2:$E$101)</f>
        <v>12000</v>
      </c>
      <c r="M278">
        <f t="shared" si="21"/>
        <v>24000</v>
      </c>
      <c r="N278">
        <f t="shared" si="22"/>
        <v>18000</v>
      </c>
      <c r="O278">
        <f t="shared" si="23"/>
        <v>6000</v>
      </c>
      <c r="P278" s="3">
        <f t="shared" si="24"/>
        <v>0.25</v>
      </c>
      <c r="Q278" s="3" t="str">
        <v>High Profit</v>
      </c>
    </row>
    <row r="279" spans="1:17" x14ac:dyDescent="0.3">
      <c r="A279" t="s">
        <v>726</v>
      </c>
      <c r="B279" s="2">
        <v>45717</v>
      </c>
      <c r="C279" s="2" t="str">
        <f t="shared" si="20"/>
        <v>March</v>
      </c>
      <c r="D279" t="s">
        <v>36</v>
      </c>
      <c r="E279" t="s">
        <v>405</v>
      </c>
      <c r="F279">
        <v>3</v>
      </c>
      <c r="G279" t="s">
        <v>37</v>
      </c>
      <c r="H279" t="s">
        <v>8</v>
      </c>
      <c r="I279" t="s">
        <v>332</v>
      </c>
      <c r="J279" t="str">
        <f>_xlfn.XLOOKUP(E279, Product_Master!$A$2:$A$101, Product_Master!$C$2:$C$101)</f>
        <v>Accessories</v>
      </c>
      <c r="K279">
        <f>_xlfn.XLOOKUP(E279, Product_Master!$A$2:$A$101, Product_Master!$D$2:$D$101)</f>
        <v>500</v>
      </c>
      <c r="L279">
        <f>_xlfn.XLOOKUP(E279, Product_Master!$A$2:$A$101, Product_Master!$E$2:$E$101)</f>
        <v>800</v>
      </c>
      <c r="M279">
        <f t="shared" si="21"/>
        <v>2400</v>
      </c>
      <c r="N279">
        <f t="shared" si="22"/>
        <v>1500</v>
      </c>
      <c r="O279">
        <f t="shared" si="23"/>
        <v>900</v>
      </c>
      <c r="P279" s="3">
        <f t="shared" si="24"/>
        <v>0.375</v>
      </c>
      <c r="Q279" s="3" t="str">
        <v>High Profit</v>
      </c>
    </row>
    <row r="280" spans="1:17" x14ac:dyDescent="0.3">
      <c r="A280" t="s">
        <v>727</v>
      </c>
      <c r="B280" s="2">
        <v>45825</v>
      </c>
      <c r="C280" s="2" t="str">
        <f t="shared" si="20"/>
        <v>June</v>
      </c>
      <c r="D280" t="s">
        <v>112</v>
      </c>
      <c r="E280" t="s">
        <v>441</v>
      </c>
      <c r="F280">
        <v>5</v>
      </c>
      <c r="G280" t="s">
        <v>29</v>
      </c>
      <c r="H280" t="s">
        <v>14</v>
      </c>
      <c r="I280" t="s">
        <v>346</v>
      </c>
      <c r="J280" t="str">
        <f>_xlfn.XLOOKUP(E280, Product_Master!$A$2:$A$101, Product_Master!$C$2:$C$101)</f>
        <v>Accessories</v>
      </c>
      <c r="K280">
        <f>_xlfn.XLOOKUP(E280, Product_Master!$A$2:$A$101, Product_Master!$D$2:$D$101)</f>
        <v>9000</v>
      </c>
      <c r="L280">
        <f>_xlfn.XLOOKUP(E280, Product_Master!$A$2:$A$101, Product_Master!$E$2:$E$101)</f>
        <v>12000</v>
      </c>
      <c r="M280">
        <f t="shared" si="21"/>
        <v>60000</v>
      </c>
      <c r="N280">
        <f t="shared" si="22"/>
        <v>45000</v>
      </c>
      <c r="O280">
        <f t="shared" si="23"/>
        <v>15000</v>
      </c>
      <c r="P280" s="3">
        <f t="shared" si="24"/>
        <v>0.25</v>
      </c>
      <c r="Q280" s="3" t="str">
        <v>High Profit</v>
      </c>
    </row>
    <row r="281" spans="1:17" x14ac:dyDescent="0.3">
      <c r="A281" t="s">
        <v>728</v>
      </c>
      <c r="B281" s="2">
        <v>45838</v>
      </c>
      <c r="C281" s="2" t="str">
        <f t="shared" si="20"/>
        <v>June</v>
      </c>
      <c r="D281" t="s">
        <v>81</v>
      </c>
      <c r="E281" t="s">
        <v>403</v>
      </c>
      <c r="F281">
        <v>4</v>
      </c>
      <c r="G281" t="s">
        <v>4</v>
      </c>
      <c r="H281" t="s">
        <v>27</v>
      </c>
      <c r="I281" t="s">
        <v>353</v>
      </c>
      <c r="J281" t="str">
        <f>_xlfn.XLOOKUP(E281, Product_Master!$A$2:$A$101, Product_Master!$C$2:$C$101)</f>
        <v>Electronics</v>
      </c>
      <c r="K281">
        <f>_xlfn.XLOOKUP(E281, Product_Master!$A$2:$A$101, Product_Master!$D$2:$D$101)</f>
        <v>12000</v>
      </c>
      <c r="L281">
        <f>_xlfn.XLOOKUP(E281, Product_Master!$A$2:$A$101, Product_Master!$E$2:$E$101)</f>
        <v>15000</v>
      </c>
      <c r="M281">
        <f t="shared" si="21"/>
        <v>60000</v>
      </c>
      <c r="N281">
        <f t="shared" si="22"/>
        <v>48000</v>
      </c>
      <c r="O281">
        <f t="shared" si="23"/>
        <v>12000</v>
      </c>
      <c r="P281" s="3">
        <f t="shared" si="24"/>
        <v>0.2</v>
      </c>
      <c r="Q281" s="3" t="str">
        <v>Low Profit</v>
      </c>
    </row>
    <row r="282" spans="1:17" x14ac:dyDescent="0.3">
      <c r="A282" t="s">
        <v>729</v>
      </c>
      <c r="B282" s="2">
        <v>45951</v>
      </c>
      <c r="C282" s="2" t="str">
        <f t="shared" si="20"/>
        <v>October</v>
      </c>
      <c r="D282" t="s">
        <v>263</v>
      </c>
      <c r="E282" t="s">
        <v>336</v>
      </c>
      <c r="F282">
        <v>1</v>
      </c>
      <c r="G282" t="s">
        <v>4</v>
      </c>
      <c r="H282" t="s">
        <v>20</v>
      </c>
      <c r="I282" t="s">
        <v>337</v>
      </c>
      <c r="J282" t="str">
        <f>_xlfn.XLOOKUP(E282, Product_Master!$A$2:$A$101, Product_Master!$C$2:$C$101)</f>
        <v>Electronics</v>
      </c>
      <c r="K282">
        <f>_xlfn.XLOOKUP(E282, Product_Master!$A$2:$A$101, Product_Master!$D$2:$D$101)</f>
        <v>15000</v>
      </c>
      <c r="L282">
        <f>_xlfn.XLOOKUP(E282, Product_Master!$A$2:$A$101, Product_Master!$E$2:$E$101)</f>
        <v>18000</v>
      </c>
      <c r="M282">
        <f t="shared" si="21"/>
        <v>18000</v>
      </c>
      <c r="N282">
        <f t="shared" si="22"/>
        <v>15000</v>
      </c>
      <c r="O282">
        <f t="shared" si="23"/>
        <v>3000</v>
      </c>
      <c r="P282" s="3">
        <f t="shared" si="24"/>
        <v>0.16666666666666666</v>
      </c>
      <c r="Q282" s="3" t="str">
        <v>Low Profit</v>
      </c>
    </row>
    <row r="283" spans="1:17" x14ac:dyDescent="0.3">
      <c r="A283" t="s">
        <v>730</v>
      </c>
      <c r="B283" s="2">
        <v>45998</v>
      </c>
      <c r="C283" s="2" t="str">
        <f t="shared" si="20"/>
        <v>December</v>
      </c>
      <c r="D283" t="s">
        <v>185</v>
      </c>
      <c r="E283" t="s">
        <v>352</v>
      </c>
      <c r="F283">
        <v>3</v>
      </c>
      <c r="G283" t="s">
        <v>37</v>
      </c>
      <c r="H283" t="s">
        <v>20</v>
      </c>
      <c r="I283" t="s">
        <v>353</v>
      </c>
      <c r="J283" t="str">
        <f>_xlfn.XLOOKUP(E283, Product_Master!$A$2:$A$101, Product_Master!$C$2:$C$101)</f>
        <v>Electronics</v>
      </c>
      <c r="K283">
        <f>_xlfn.XLOOKUP(E283, Product_Master!$A$2:$A$101, Product_Master!$D$2:$D$101)</f>
        <v>12000</v>
      </c>
      <c r="L283">
        <f>_xlfn.XLOOKUP(E283, Product_Master!$A$2:$A$101, Product_Master!$E$2:$E$101)</f>
        <v>15000</v>
      </c>
      <c r="M283">
        <f t="shared" si="21"/>
        <v>45000</v>
      </c>
      <c r="N283">
        <f t="shared" si="22"/>
        <v>36000</v>
      </c>
      <c r="O283">
        <f t="shared" si="23"/>
        <v>9000</v>
      </c>
      <c r="P283" s="3">
        <f t="shared" si="24"/>
        <v>0.2</v>
      </c>
      <c r="Q283" s="3" t="str">
        <v>Low Profit</v>
      </c>
    </row>
    <row r="284" spans="1:17" x14ac:dyDescent="0.3">
      <c r="A284" t="s">
        <v>731</v>
      </c>
      <c r="B284" s="2">
        <v>45723</v>
      </c>
      <c r="C284" s="2" t="str">
        <f t="shared" si="20"/>
        <v>March</v>
      </c>
      <c r="D284" t="s">
        <v>469</v>
      </c>
      <c r="E284" t="s">
        <v>356</v>
      </c>
      <c r="F284">
        <v>2</v>
      </c>
      <c r="G284" t="s">
        <v>1454</v>
      </c>
      <c r="H284" t="s">
        <v>1455</v>
      </c>
      <c r="I284" t="s">
        <v>340</v>
      </c>
      <c r="J284" t="str">
        <f>_xlfn.XLOOKUP(E284, Product_Master!$A$2:$A$101, Product_Master!$C$2:$C$101)</f>
        <v>Electronics</v>
      </c>
      <c r="K284">
        <f>_xlfn.XLOOKUP(E284, Product_Master!$A$2:$A$101, Product_Master!$D$2:$D$101)</f>
        <v>42000</v>
      </c>
      <c r="L284">
        <f>_xlfn.XLOOKUP(E284, Product_Master!$A$2:$A$101, Product_Master!$E$2:$E$101)</f>
        <v>50000</v>
      </c>
      <c r="M284">
        <f t="shared" si="21"/>
        <v>100000</v>
      </c>
      <c r="N284">
        <f t="shared" si="22"/>
        <v>84000</v>
      </c>
      <c r="O284">
        <f t="shared" si="23"/>
        <v>16000</v>
      </c>
      <c r="P284" s="3">
        <f t="shared" si="24"/>
        <v>0.16</v>
      </c>
      <c r="Q284" s="3" t="str">
        <v>Low Profit</v>
      </c>
    </row>
    <row r="285" spans="1:17" x14ac:dyDescent="0.3">
      <c r="A285" t="s">
        <v>732</v>
      </c>
      <c r="B285" s="2">
        <v>45675</v>
      </c>
      <c r="C285" s="2" t="str">
        <f t="shared" si="20"/>
        <v>January</v>
      </c>
      <c r="D285" t="s">
        <v>170</v>
      </c>
      <c r="E285" t="s">
        <v>438</v>
      </c>
      <c r="F285">
        <v>4</v>
      </c>
      <c r="G285" t="s">
        <v>16</v>
      </c>
      <c r="H285" t="s">
        <v>14</v>
      </c>
      <c r="I285" t="s">
        <v>329</v>
      </c>
      <c r="J285" t="str">
        <f>_xlfn.XLOOKUP(E285, Product_Master!$A$2:$A$101, Product_Master!$C$2:$C$101)</f>
        <v>Electronics</v>
      </c>
      <c r="K285">
        <f>_xlfn.XLOOKUP(E285, Product_Master!$A$2:$A$101, Product_Master!$D$2:$D$101)</f>
        <v>20000</v>
      </c>
      <c r="L285">
        <f>_xlfn.XLOOKUP(E285, Product_Master!$A$2:$A$101, Product_Master!$E$2:$E$101)</f>
        <v>25000</v>
      </c>
      <c r="M285">
        <f t="shared" si="21"/>
        <v>100000</v>
      </c>
      <c r="N285">
        <f t="shared" si="22"/>
        <v>80000</v>
      </c>
      <c r="O285">
        <f t="shared" si="23"/>
        <v>20000</v>
      </c>
      <c r="P285" s="3">
        <f t="shared" si="24"/>
        <v>0.2</v>
      </c>
      <c r="Q285" s="3" t="str">
        <v>Low Profit</v>
      </c>
    </row>
    <row r="286" spans="1:17" x14ac:dyDescent="0.3">
      <c r="A286" t="s">
        <v>733</v>
      </c>
      <c r="B286" s="2">
        <v>45911</v>
      </c>
      <c r="C286" s="2" t="str">
        <f t="shared" si="20"/>
        <v>September</v>
      </c>
      <c r="D286" t="s">
        <v>6</v>
      </c>
      <c r="E286" t="s">
        <v>424</v>
      </c>
      <c r="F286">
        <v>2</v>
      </c>
      <c r="G286" t="s">
        <v>7</v>
      </c>
      <c r="H286" t="s">
        <v>8</v>
      </c>
      <c r="I286" t="s">
        <v>337</v>
      </c>
      <c r="J286" t="str">
        <f>_xlfn.XLOOKUP(E286, Product_Master!$A$2:$A$101, Product_Master!$C$2:$C$101)</f>
        <v>Electronics</v>
      </c>
      <c r="K286">
        <f>_xlfn.XLOOKUP(E286, Product_Master!$A$2:$A$101, Product_Master!$D$2:$D$101)</f>
        <v>15000</v>
      </c>
      <c r="L286">
        <f>_xlfn.XLOOKUP(E286, Product_Master!$A$2:$A$101, Product_Master!$E$2:$E$101)</f>
        <v>18000</v>
      </c>
      <c r="M286">
        <f t="shared" si="21"/>
        <v>36000</v>
      </c>
      <c r="N286">
        <f t="shared" si="22"/>
        <v>30000</v>
      </c>
      <c r="O286">
        <f t="shared" si="23"/>
        <v>6000</v>
      </c>
      <c r="P286" s="3">
        <f t="shared" si="24"/>
        <v>0.16666666666666666</v>
      </c>
      <c r="Q286" s="3" t="str">
        <v>Low Profit</v>
      </c>
    </row>
    <row r="287" spans="1:17" x14ac:dyDescent="0.3">
      <c r="A287" t="s">
        <v>734</v>
      </c>
      <c r="B287" s="2">
        <v>45703</v>
      </c>
      <c r="C287" s="2" t="str">
        <f t="shared" si="20"/>
        <v>February</v>
      </c>
      <c r="D287" t="s">
        <v>237</v>
      </c>
      <c r="E287" t="s">
        <v>399</v>
      </c>
      <c r="F287">
        <v>4</v>
      </c>
      <c r="G287" t="s">
        <v>47</v>
      </c>
      <c r="H287" t="s">
        <v>8</v>
      </c>
      <c r="I287" t="s">
        <v>340</v>
      </c>
      <c r="J287" t="str">
        <f>_xlfn.XLOOKUP(E287, Product_Master!$A$2:$A$101, Product_Master!$C$2:$C$101)</f>
        <v>Electronics</v>
      </c>
      <c r="K287">
        <f>_xlfn.XLOOKUP(E287, Product_Master!$A$2:$A$101, Product_Master!$D$2:$D$101)</f>
        <v>42000</v>
      </c>
      <c r="L287">
        <f>_xlfn.XLOOKUP(E287, Product_Master!$A$2:$A$101, Product_Master!$E$2:$E$101)</f>
        <v>50000</v>
      </c>
      <c r="M287">
        <f t="shared" si="21"/>
        <v>200000</v>
      </c>
      <c r="N287">
        <f t="shared" si="22"/>
        <v>168000</v>
      </c>
      <c r="O287">
        <f t="shared" si="23"/>
        <v>32000</v>
      </c>
      <c r="P287" s="3">
        <f t="shared" si="24"/>
        <v>0.16</v>
      </c>
      <c r="Q287" s="3" t="str">
        <v>Low Profit</v>
      </c>
    </row>
    <row r="288" spans="1:17" x14ac:dyDescent="0.3">
      <c r="A288" t="s">
        <v>735</v>
      </c>
      <c r="B288" s="2">
        <v>45710</v>
      </c>
      <c r="C288" s="2" t="str">
        <f t="shared" si="20"/>
        <v>February</v>
      </c>
      <c r="D288" t="s">
        <v>142</v>
      </c>
      <c r="E288" t="s">
        <v>376</v>
      </c>
      <c r="F288">
        <v>5</v>
      </c>
      <c r="G288" t="s">
        <v>37</v>
      </c>
      <c r="H288" t="s">
        <v>14</v>
      </c>
      <c r="I288" t="s">
        <v>353</v>
      </c>
      <c r="J288" t="str">
        <f>_xlfn.XLOOKUP(E288, Product_Master!$A$2:$A$101, Product_Master!$C$2:$C$101)</f>
        <v>Electronics</v>
      </c>
      <c r="K288">
        <f>_xlfn.XLOOKUP(E288, Product_Master!$A$2:$A$101, Product_Master!$D$2:$D$101)</f>
        <v>12000</v>
      </c>
      <c r="L288">
        <f>_xlfn.XLOOKUP(E288, Product_Master!$A$2:$A$101, Product_Master!$E$2:$E$101)</f>
        <v>15000</v>
      </c>
      <c r="M288">
        <f t="shared" si="21"/>
        <v>75000</v>
      </c>
      <c r="N288">
        <f t="shared" si="22"/>
        <v>60000</v>
      </c>
      <c r="O288">
        <f t="shared" si="23"/>
        <v>15000</v>
      </c>
      <c r="P288" s="3">
        <f t="shared" si="24"/>
        <v>0.2</v>
      </c>
      <c r="Q288" s="3" t="str">
        <v>Low Profit</v>
      </c>
    </row>
    <row r="289" spans="1:17" x14ac:dyDescent="0.3">
      <c r="A289" t="s">
        <v>736</v>
      </c>
      <c r="B289" s="2">
        <v>45906</v>
      </c>
      <c r="C289" s="2" t="str">
        <f t="shared" si="20"/>
        <v>September</v>
      </c>
      <c r="D289" t="s">
        <v>102</v>
      </c>
      <c r="E289" t="s">
        <v>367</v>
      </c>
      <c r="F289">
        <v>4</v>
      </c>
      <c r="G289" t="s">
        <v>19</v>
      </c>
      <c r="H289" t="s">
        <v>20</v>
      </c>
      <c r="I289" t="s">
        <v>344</v>
      </c>
      <c r="J289" t="str">
        <f>_xlfn.XLOOKUP(E289, Product_Master!$A$2:$A$101, Product_Master!$C$2:$C$101)</f>
        <v>Accessories</v>
      </c>
      <c r="K289">
        <f>_xlfn.XLOOKUP(E289, Product_Master!$A$2:$A$101, Product_Master!$D$2:$D$101)</f>
        <v>2000</v>
      </c>
      <c r="L289">
        <f>_xlfn.XLOOKUP(E289, Product_Master!$A$2:$A$101, Product_Master!$E$2:$E$101)</f>
        <v>3000</v>
      </c>
      <c r="M289">
        <f t="shared" si="21"/>
        <v>12000</v>
      </c>
      <c r="N289">
        <f t="shared" si="22"/>
        <v>8000</v>
      </c>
      <c r="O289">
        <f t="shared" si="23"/>
        <v>4000</v>
      </c>
      <c r="P289" s="3">
        <f t="shared" si="24"/>
        <v>0.33333333333333331</v>
      </c>
      <c r="Q289" s="3" t="str">
        <v>High Profit</v>
      </c>
    </row>
    <row r="290" spans="1:17" x14ac:dyDescent="0.3">
      <c r="A290" t="s">
        <v>737</v>
      </c>
      <c r="B290" s="2">
        <v>45742</v>
      </c>
      <c r="C290" s="2" t="str">
        <f t="shared" si="20"/>
        <v>March</v>
      </c>
      <c r="D290" t="s">
        <v>183</v>
      </c>
      <c r="E290" t="s">
        <v>398</v>
      </c>
      <c r="F290">
        <v>1</v>
      </c>
      <c r="G290" t="s">
        <v>37</v>
      </c>
      <c r="H290" t="s">
        <v>14</v>
      </c>
      <c r="I290" t="s">
        <v>344</v>
      </c>
      <c r="J290" t="str">
        <f>_xlfn.XLOOKUP(E290, Product_Master!$A$2:$A$101, Product_Master!$C$2:$C$101)</f>
        <v>Accessories</v>
      </c>
      <c r="K290">
        <f>_xlfn.XLOOKUP(E290, Product_Master!$A$2:$A$101, Product_Master!$D$2:$D$101)</f>
        <v>2000</v>
      </c>
      <c r="L290">
        <f>_xlfn.XLOOKUP(E290, Product_Master!$A$2:$A$101, Product_Master!$E$2:$E$101)</f>
        <v>3000</v>
      </c>
      <c r="M290">
        <f t="shared" si="21"/>
        <v>3000</v>
      </c>
      <c r="N290">
        <f t="shared" si="22"/>
        <v>2000</v>
      </c>
      <c r="O290">
        <f t="shared" si="23"/>
        <v>1000</v>
      </c>
      <c r="P290" s="3">
        <f t="shared" si="24"/>
        <v>0.33333333333333331</v>
      </c>
      <c r="Q290" s="3" t="str">
        <v>High Profit</v>
      </c>
    </row>
    <row r="291" spans="1:17" x14ac:dyDescent="0.3">
      <c r="A291" t="s">
        <v>738</v>
      </c>
      <c r="B291" s="2">
        <v>45944</v>
      </c>
      <c r="C291" s="2" t="str">
        <f t="shared" si="20"/>
        <v>October</v>
      </c>
      <c r="D291" t="s">
        <v>151</v>
      </c>
      <c r="E291" t="s">
        <v>347</v>
      </c>
      <c r="F291">
        <v>5</v>
      </c>
      <c r="G291" t="s">
        <v>22</v>
      </c>
      <c r="H291" t="s">
        <v>39</v>
      </c>
      <c r="I291" t="s">
        <v>335</v>
      </c>
      <c r="J291" t="str">
        <f>_xlfn.XLOOKUP(E291, Product_Master!$A$2:$A$101, Product_Master!$C$2:$C$101)</f>
        <v>Accessories</v>
      </c>
      <c r="K291">
        <f>_xlfn.XLOOKUP(E291, Product_Master!$A$2:$A$101, Product_Master!$D$2:$D$101)</f>
        <v>900</v>
      </c>
      <c r="L291">
        <f>_xlfn.XLOOKUP(E291, Product_Master!$A$2:$A$101, Product_Master!$E$2:$E$101)</f>
        <v>1500</v>
      </c>
      <c r="M291">
        <f t="shared" si="21"/>
        <v>7500</v>
      </c>
      <c r="N291">
        <f t="shared" si="22"/>
        <v>4500</v>
      </c>
      <c r="O291">
        <f t="shared" si="23"/>
        <v>3000</v>
      </c>
      <c r="P291" s="3">
        <f t="shared" si="24"/>
        <v>0.4</v>
      </c>
      <c r="Q291" s="3" t="str">
        <v>High Profit</v>
      </c>
    </row>
    <row r="292" spans="1:17" x14ac:dyDescent="0.3">
      <c r="A292" t="s">
        <v>739</v>
      </c>
      <c r="B292" s="2">
        <v>45962</v>
      </c>
      <c r="C292" s="2" t="str">
        <f t="shared" si="20"/>
        <v>November</v>
      </c>
      <c r="D292" t="s">
        <v>155</v>
      </c>
      <c r="E292" t="s">
        <v>374</v>
      </c>
      <c r="F292">
        <v>4</v>
      </c>
      <c r="G292" t="s">
        <v>4</v>
      </c>
      <c r="H292" t="s">
        <v>20</v>
      </c>
      <c r="I292" t="s">
        <v>346</v>
      </c>
      <c r="J292" t="str">
        <f>_xlfn.XLOOKUP(E292, Product_Master!$A$2:$A$101, Product_Master!$C$2:$C$101)</f>
        <v>Accessories</v>
      </c>
      <c r="K292">
        <f>_xlfn.XLOOKUP(E292, Product_Master!$A$2:$A$101, Product_Master!$D$2:$D$101)</f>
        <v>9000</v>
      </c>
      <c r="L292">
        <f>_xlfn.XLOOKUP(E292, Product_Master!$A$2:$A$101, Product_Master!$E$2:$E$101)</f>
        <v>12000</v>
      </c>
      <c r="M292">
        <f t="shared" si="21"/>
        <v>48000</v>
      </c>
      <c r="N292">
        <f t="shared" si="22"/>
        <v>36000</v>
      </c>
      <c r="O292">
        <f t="shared" si="23"/>
        <v>12000</v>
      </c>
      <c r="P292" s="3">
        <f t="shared" si="24"/>
        <v>0.25</v>
      </c>
      <c r="Q292" s="3" t="str">
        <v>High Profit</v>
      </c>
    </row>
    <row r="293" spans="1:17" x14ac:dyDescent="0.3">
      <c r="A293" t="s">
        <v>740</v>
      </c>
      <c r="B293" s="2">
        <v>45937</v>
      </c>
      <c r="C293" s="2" t="str">
        <f t="shared" si="20"/>
        <v>October</v>
      </c>
      <c r="D293" t="s">
        <v>248</v>
      </c>
      <c r="E293" t="s">
        <v>375</v>
      </c>
      <c r="F293">
        <v>1</v>
      </c>
      <c r="G293" t="s">
        <v>19</v>
      </c>
      <c r="H293" t="s">
        <v>27</v>
      </c>
      <c r="I293" t="s">
        <v>329</v>
      </c>
      <c r="J293" t="str">
        <f>_xlfn.XLOOKUP(E293, Product_Master!$A$2:$A$101, Product_Master!$C$2:$C$101)</f>
        <v>Electronics</v>
      </c>
      <c r="K293">
        <f>_xlfn.XLOOKUP(E293, Product_Master!$A$2:$A$101, Product_Master!$D$2:$D$101)</f>
        <v>20000</v>
      </c>
      <c r="L293">
        <f>_xlfn.XLOOKUP(E293, Product_Master!$A$2:$A$101, Product_Master!$E$2:$E$101)</f>
        <v>25000</v>
      </c>
      <c r="M293">
        <f t="shared" si="21"/>
        <v>25000</v>
      </c>
      <c r="N293">
        <f t="shared" si="22"/>
        <v>20000</v>
      </c>
      <c r="O293">
        <f t="shared" si="23"/>
        <v>5000</v>
      </c>
      <c r="P293" s="3">
        <f t="shared" si="24"/>
        <v>0.2</v>
      </c>
      <c r="Q293" s="3" t="str">
        <v>Low Profit</v>
      </c>
    </row>
    <row r="294" spans="1:17" x14ac:dyDescent="0.3">
      <c r="A294" t="s">
        <v>741</v>
      </c>
      <c r="B294" s="2">
        <v>46022</v>
      </c>
      <c r="C294" s="2" t="str">
        <f t="shared" si="20"/>
        <v>December</v>
      </c>
      <c r="D294" t="s">
        <v>263</v>
      </c>
      <c r="E294" t="s">
        <v>442</v>
      </c>
      <c r="F294">
        <v>3</v>
      </c>
      <c r="G294" t="s">
        <v>4</v>
      </c>
      <c r="H294" t="s">
        <v>20</v>
      </c>
      <c r="I294" t="s">
        <v>335</v>
      </c>
      <c r="J294" t="str">
        <f>_xlfn.XLOOKUP(E294, Product_Master!$A$2:$A$101, Product_Master!$C$2:$C$101)</f>
        <v>Accessories</v>
      </c>
      <c r="K294">
        <f>_xlfn.XLOOKUP(E294, Product_Master!$A$2:$A$101, Product_Master!$D$2:$D$101)</f>
        <v>900</v>
      </c>
      <c r="L294">
        <f>_xlfn.XLOOKUP(E294, Product_Master!$A$2:$A$101, Product_Master!$E$2:$E$101)</f>
        <v>1500</v>
      </c>
      <c r="M294">
        <f t="shared" si="21"/>
        <v>4500</v>
      </c>
      <c r="N294">
        <f t="shared" si="22"/>
        <v>2700</v>
      </c>
      <c r="O294">
        <f t="shared" si="23"/>
        <v>1800</v>
      </c>
      <c r="P294" s="3">
        <f t="shared" si="24"/>
        <v>0.4</v>
      </c>
      <c r="Q294" s="3" t="str">
        <v>High Profit</v>
      </c>
    </row>
    <row r="295" spans="1:17" x14ac:dyDescent="0.3">
      <c r="A295" t="s">
        <v>742</v>
      </c>
      <c r="B295" s="2">
        <v>45749</v>
      </c>
      <c r="C295" s="2" t="str">
        <f t="shared" si="20"/>
        <v>April</v>
      </c>
      <c r="D295" t="s">
        <v>117</v>
      </c>
      <c r="E295" t="s">
        <v>386</v>
      </c>
      <c r="F295">
        <v>5</v>
      </c>
      <c r="G295" t="s">
        <v>47</v>
      </c>
      <c r="H295" t="s">
        <v>8</v>
      </c>
      <c r="I295" t="s">
        <v>335</v>
      </c>
      <c r="J295" t="str">
        <f>_xlfn.XLOOKUP(E295, Product_Master!$A$2:$A$101, Product_Master!$C$2:$C$101)</f>
        <v>Accessories</v>
      </c>
      <c r="K295">
        <f>_xlfn.XLOOKUP(E295, Product_Master!$A$2:$A$101, Product_Master!$D$2:$D$101)</f>
        <v>900</v>
      </c>
      <c r="L295">
        <f>_xlfn.XLOOKUP(E295, Product_Master!$A$2:$A$101, Product_Master!$E$2:$E$101)</f>
        <v>1500</v>
      </c>
      <c r="M295">
        <f t="shared" si="21"/>
        <v>7500</v>
      </c>
      <c r="N295">
        <f t="shared" si="22"/>
        <v>4500</v>
      </c>
      <c r="O295">
        <f t="shared" si="23"/>
        <v>3000</v>
      </c>
      <c r="P295" s="3">
        <f t="shared" si="24"/>
        <v>0.4</v>
      </c>
      <c r="Q295" s="3" t="str">
        <v>High Profit</v>
      </c>
    </row>
    <row r="296" spans="1:17" x14ac:dyDescent="0.3">
      <c r="A296" t="s">
        <v>743</v>
      </c>
      <c r="B296" s="2">
        <v>45734</v>
      </c>
      <c r="C296" s="2" t="str">
        <f t="shared" si="20"/>
        <v>March</v>
      </c>
      <c r="D296" t="s">
        <v>126</v>
      </c>
      <c r="E296" t="s">
        <v>355</v>
      </c>
      <c r="F296">
        <v>4</v>
      </c>
      <c r="G296" t="s">
        <v>19</v>
      </c>
      <c r="H296" t="s">
        <v>17</v>
      </c>
      <c r="I296" t="s">
        <v>335</v>
      </c>
      <c r="J296" t="str">
        <f>_xlfn.XLOOKUP(E296, Product_Master!$A$2:$A$101, Product_Master!$C$2:$C$101)</f>
        <v>Accessories</v>
      </c>
      <c r="K296">
        <f>_xlfn.XLOOKUP(E296, Product_Master!$A$2:$A$101, Product_Master!$D$2:$D$101)</f>
        <v>900</v>
      </c>
      <c r="L296">
        <f>_xlfn.XLOOKUP(E296, Product_Master!$A$2:$A$101, Product_Master!$E$2:$E$101)</f>
        <v>1500</v>
      </c>
      <c r="M296">
        <f t="shared" si="21"/>
        <v>6000</v>
      </c>
      <c r="N296">
        <f t="shared" si="22"/>
        <v>3600</v>
      </c>
      <c r="O296">
        <f t="shared" si="23"/>
        <v>2400</v>
      </c>
      <c r="P296" s="3">
        <f t="shared" si="24"/>
        <v>0.4</v>
      </c>
      <c r="Q296" s="3" t="str">
        <v>High Profit</v>
      </c>
    </row>
    <row r="297" spans="1:17" x14ac:dyDescent="0.3">
      <c r="A297" t="s">
        <v>744</v>
      </c>
      <c r="B297" s="2">
        <v>45928</v>
      </c>
      <c r="C297" s="2" t="str">
        <f t="shared" si="20"/>
        <v>September</v>
      </c>
      <c r="D297" t="s">
        <v>110</v>
      </c>
      <c r="E297" t="s">
        <v>362</v>
      </c>
      <c r="F297">
        <v>3</v>
      </c>
      <c r="G297" t="s">
        <v>10</v>
      </c>
      <c r="H297" t="s">
        <v>27</v>
      </c>
      <c r="I297" t="s">
        <v>332</v>
      </c>
      <c r="J297" t="str">
        <f>_xlfn.XLOOKUP(E297, Product_Master!$A$2:$A$101, Product_Master!$C$2:$C$101)</f>
        <v>Accessories</v>
      </c>
      <c r="K297">
        <f>_xlfn.XLOOKUP(E297, Product_Master!$A$2:$A$101, Product_Master!$D$2:$D$101)</f>
        <v>500</v>
      </c>
      <c r="L297">
        <f>_xlfn.XLOOKUP(E297, Product_Master!$A$2:$A$101, Product_Master!$E$2:$E$101)</f>
        <v>800</v>
      </c>
      <c r="M297">
        <f t="shared" si="21"/>
        <v>2400</v>
      </c>
      <c r="N297">
        <f t="shared" si="22"/>
        <v>1500</v>
      </c>
      <c r="O297">
        <f t="shared" si="23"/>
        <v>900</v>
      </c>
      <c r="P297" s="3">
        <f t="shared" si="24"/>
        <v>0.375</v>
      </c>
      <c r="Q297" s="3" t="str">
        <v>High Profit</v>
      </c>
    </row>
    <row r="298" spans="1:17" x14ac:dyDescent="0.3">
      <c r="A298" t="s">
        <v>745</v>
      </c>
      <c r="B298" s="2">
        <v>45738</v>
      </c>
      <c r="C298" s="2" t="str">
        <f t="shared" si="20"/>
        <v>March</v>
      </c>
      <c r="D298" t="s">
        <v>81</v>
      </c>
      <c r="E298" t="s">
        <v>434</v>
      </c>
      <c r="F298">
        <v>3</v>
      </c>
      <c r="G298" t="s">
        <v>4</v>
      </c>
      <c r="H298" t="s">
        <v>27</v>
      </c>
      <c r="I298" t="s">
        <v>346</v>
      </c>
      <c r="J298" t="str">
        <f>_xlfn.XLOOKUP(E298, Product_Master!$A$2:$A$101, Product_Master!$C$2:$C$101)</f>
        <v>Accessories</v>
      </c>
      <c r="K298">
        <f>_xlfn.XLOOKUP(E298, Product_Master!$A$2:$A$101, Product_Master!$D$2:$D$101)</f>
        <v>9000</v>
      </c>
      <c r="L298">
        <f>_xlfn.XLOOKUP(E298, Product_Master!$A$2:$A$101, Product_Master!$E$2:$E$101)</f>
        <v>12000</v>
      </c>
      <c r="M298">
        <f t="shared" si="21"/>
        <v>36000</v>
      </c>
      <c r="N298">
        <f t="shared" si="22"/>
        <v>27000</v>
      </c>
      <c r="O298">
        <f t="shared" si="23"/>
        <v>9000</v>
      </c>
      <c r="P298" s="3">
        <f t="shared" si="24"/>
        <v>0.25</v>
      </c>
      <c r="Q298" s="3" t="str">
        <v>High Profit</v>
      </c>
    </row>
    <row r="299" spans="1:17" x14ac:dyDescent="0.3">
      <c r="A299" t="s">
        <v>746</v>
      </c>
      <c r="B299" s="2">
        <v>46000</v>
      </c>
      <c r="C299" s="2" t="str">
        <f t="shared" si="20"/>
        <v>December</v>
      </c>
      <c r="D299" t="s">
        <v>255</v>
      </c>
      <c r="E299" t="s">
        <v>398</v>
      </c>
      <c r="F299">
        <v>3</v>
      </c>
      <c r="G299" t="s">
        <v>29</v>
      </c>
      <c r="H299" t="s">
        <v>20</v>
      </c>
      <c r="I299" t="s">
        <v>344</v>
      </c>
      <c r="J299" t="str">
        <f>_xlfn.XLOOKUP(E299, Product_Master!$A$2:$A$101, Product_Master!$C$2:$C$101)</f>
        <v>Accessories</v>
      </c>
      <c r="K299">
        <f>_xlfn.XLOOKUP(E299, Product_Master!$A$2:$A$101, Product_Master!$D$2:$D$101)</f>
        <v>2000</v>
      </c>
      <c r="L299">
        <f>_xlfn.XLOOKUP(E299, Product_Master!$A$2:$A$101, Product_Master!$E$2:$E$101)</f>
        <v>3000</v>
      </c>
      <c r="M299">
        <f t="shared" si="21"/>
        <v>9000</v>
      </c>
      <c r="N299">
        <f t="shared" si="22"/>
        <v>6000</v>
      </c>
      <c r="O299">
        <f t="shared" si="23"/>
        <v>3000</v>
      </c>
      <c r="P299" s="3">
        <f t="shared" si="24"/>
        <v>0.33333333333333331</v>
      </c>
      <c r="Q299" s="3" t="str">
        <v>High Profit</v>
      </c>
    </row>
    <row r="300" spans="1:17" x14ac:dyDescent="0.3">
      <c r="A300" t="s">
        <v>747</v>
      </c>
      <c r="B300" s="2">
        <v>45971</v>
      </c>
      <c r="C300" s="2" t="str">
        <f t="shared" si="20"/>
        <v>November</v>
      </c>
      <c r="D300" t="s">
        <v>184</v>
      </c>
      <c r="E300" t="s">
        <v>439</v>
      </c>
      <c r="F300">
        <v>2</v>
      </c>
      <c r="G300" t="s">
        <v>4</v>
      </c>
      <c r="H300" t="s">
        <v>39</v>
      </c>
      <c r="I300" t="s">
        <v>353</v>
      </c>
      <c r="J300" t="str">
        <f>_xlfn.XLOOKUP(E300, Product_Master!$A$2:$A$101, Product_Master!$C$2:$C$101)</f>
        <v>Electronics</v>
      </c>
      <c r="K300">
        <f>_xlfn.XLOOKUP(E300, Product_Master!$A$2:$A$101, Product_Master!$D$2:$D$101)</f>
        <v>12000</v>
      </c>
      <c r="L300">
        <f>_xlfn.XLOOKUP(E300, Product_Master!$A$2:$A$101, Product_Master!$E$2:$E$101)</f>
        <v>15000</v>
      </c>
      <c r="M300">
        <f t="shared" si="21"/>
        <v>30000</v>
      </c>
      <c r="N300">
        <f t="shared" si="22"/>
        <v>24000</v>
      </c>
      <c r="O300">
        <f t="shared" si="23"/>
        <v>6000</v>
      </c>
      <c r="P300" s="3">
        <f t="shared" si="24"/>
        <v>0.2</v>
      </c>
      <c r="Q300" s="3" t="str">
        <v>Low Profit</v>
      </c>
    </row>
    <row r="301" spans="1:17" x14ac:dyDescent="0.3">
      <c r="A301" t="s">
        <v>748</v>
      </c>
      <c r="B301" s="2">
        <v>45846</v>
      </c>
      <c r="C301" s="2" t="str">
        <f t="shared" si="20"/>
        <v>July</v>
      </c>
      <c r="D301" t="s">
        <v>26</v>
      </c>
      <c r="E301" t="s">
        <v>405</v>
      </c>
      <c r="F301">
        <v>1</v>
      </c>
      <c r="G301" t="s">
        <v>16</v>
      </c>
      <c r="H301" t="s">
        <v>27</v>
      </c>
      <c r="I301" t="s">
        <v>332</v>
      </c>
      <c r="J301" t="str">
        <f>_xlfn.XLOOKUP(E301, Product_Master!$A$2:$A$101, Product_Master!$C$2:$C$101)</f>
        <v>Accessories</v>
      </c>
      <c r="K301">
        <f>_xlfn.XLOOKUP(E301, Product_Master!$A$2:$A$101, Product_Master!$D$2:$D$101)</f>
        <v>500</v>
      </c>
      <c r="L301">
        <f>_xlfn.XLOOKUP(E301, Product_Master!$A$2:$A$101, Product_Master!$E$2:$E$101)</f>
        <v>800</v>
      </c>
      <c r="M301">
        <f t="shared" si="21"/>
        <v>800</v>
      </c>
      <c r="N301">
        <f t="shared" si="22"/>
        <v>500</v>
      </c>
      <c r="O301">
        <f t="shared" si="23"/>
        <v>300</v>
      </c>
      <c r="P301" s="3">
        <f t="shared" si="24"/>
        <v>0.375</v>
      </c>
      <c r="Q301" s="3" t="str">
        <v>High Profit</v>
      </c>
    </row>
    <row r="302" spans="1:17" x14ac:dyDescent="0.3">
      <c r="A302" t="s">
        <v>749</v>
      </c>
      <c r="B302" s="2">
        <v>45723</v>
      </c>
      <c r="C302" s="2" t="str">
        <f t="shared" si="20"/>
        <v>March</v>
      </c>
      <c r="D302" t="s">
        <v>283</v>
      </c>
      <c r="E302" t="s">
        <v>424</v>
      </c>
      <c r="F302">
        <v>5</v>
      </c>
      <c r="G302" t="s">
        <v>29</v>
      </c>
      <c r="H302" t="s">
        <v>8</v>
      </c>
      <c r="I302" t="s">
        <v>337</v>
      </c>
      <c r="J302" t="str">
        <f>_xlfn.XLOOKUP(E302, Product_Master!$A$2:$A$101, Product_Master!$C$2:$C$101)</f>
        <v>Electronics</v>
      </c>
      <c r="K302">
        <f>_xlfn.XLOOKUP(E302, Product_Master!$A$2:$A$101, Product_Master!$D$2:$D$101)</f>
        <v>15000</v>
      </c>
      <c r="L302">
        <f>_xlfn.XLOOKUP(E302, Product_Master!$A$2:$A$101, Product_Master!$E$2:$E$101)</f>
        <v>18000</v>
      </c>
      <c r="M302">
        <f t="shared" si="21"/>
        <v>90000</v>
      </c>
      <c r="N302">
        <f t="shared" si="22"/>
        <v>75000</v>
      </c>
      <c r="O302">
        <f t="shared" si="23"/>
        <v>15000</v>
      </c>
      <c r="P302" s="3">
        <f t="shared" si="24"/>
        <v>0.16666666666666666</v>
      </c>
      <c r="Q302" s="3" t="str">
        <v>Low Profit</v>
      </c>
    </row>
    <row r="303" spans="1:17" x14ac:dyDescent="0.3">
      <c r="A303" t="s">
        <v>750</v>
      </c>
      <c r="B303" s="2">
        <v>46005</v>
      </c>
      <c r="C303" s="2" t="str">
        <f t="shared" si="20"/>
        <v>December</v>
      </c>
      <c r="D303" t="s">
        <v>135</v>
      </c>
      <c r="E303" t="s">
        <v>359</v>
      </c>
      <c r="F303">
        <v>2</v>
      </c>
      <c r="G303" t="s">
        <v>10</v>
      </c>
      <c r="H303" t="s">
        <v>17</v>
      </c>
      <c r="I303" t="s">
        <v>329</v>
      </c>
      <c r="J303" t="str">
        <f>_xlfn.XLOOKUP(E303, Product_Master!$A$2:$A$101, Product_Master!$C$2:$C$101)</f>
        <v>Electronics</v>
      </c>
      <c r="K303">
        <f>_xlfn.XLOOKUP(E303, Product_Master!$A$2:$A$101, Product_Master!$D$2:$D$101)</f>
        <v>20000</v>
      </c>
      <c r="L303">
        <f>_xlfn.XLOOKUP(E303, Product_Master!$A$2:$A$101, Product_Master!$E$2:$E$101)</f>
        <v>25000</v>
      </c>
      <c r="M303">
        <f t="shared" si="21"/>
        <v>50000</v>
      </c>
      <c r="N303">
        <f t="shared" si="22"/>
        <v>40000</v>
      </c>
      <c r="O303">
        <f t="shared" si="23"/>
        <v>10000</v>
      </c>
      <c r="P303" s="3">
        <f t="shared" si="24"/>
        <v>0.2</v>
      </c>
      <c r="Q303" s="3" t="str">
        <v>Low Profit</v>
      </c>
    </row>
    <row r="304" spans="1:17" x14ac:dyDescent="0.3">
      <c r="A304" t="s">
        <v>751</v>
      </c>
      <c r="B304" s="2">
        <v>45943</v>
      </c>
      <c r="C304" s="2" t="str">
        <f t="shared" si="20"/>
        <v>October</v>
      </c>
      <c r="D304" t="s">
        <v>48</v>
      </c>
      <c r="E304" t="s">
        <v>349</v>
      </c>
      <c r="F304">
        <v>5</v>
      </c>
      <c r="G304" t="s">
        <v>10</v>
      </c>
      <c r="H304" t="s">
        <v>8</v>
      </c>
      <c r="I304" t="s">
        <v>346</v>
      </c>
      <c r="J304" t="str">
        <f>_xlfn.XLOOKUP(E304, Product_Master!$A$2:$A$101, Product_Master!$C$2:$C$101)</f>
        <v>Accessories</v>
      </c>
      <c r="K304">
        <f>_xlfn.XLOOKUP(E304, Product_Master!$A$2:$A$101, Product_Master!$D$2:$D$101)</f>
        <v>9000</v>
      </c>
      <c r="L304">
        <f>_xlfn.XLOOKUP(E304, Product_Master!$A$2:$A$101, Product_Master!$E$2:$E$101)</f>
        <v>12000</v>
      </c>
      <c r="M304">
        <f t="shared" si="21"/>
        <v>60000</v>
      </c>
      <c r="N304">
        <f t="shared" si="22"/>
        <v>45000</v>
      </c>
      <c r="O304">
        <f t="shared" si="23"/>
        <v>15000</v>
      </c>
      <c r="P304" s="3">
        <f t="shared" si="24"/>
        <v>0.25</v>
      </c>
      <c r="Q304" s="3" t="str">
        <v>High Profit</v>
      </c>
    </row>
    <row r="305" spans="1:17" x14ac:dyDescent="0.3">
      <c r="A305" t="s">
        <v>752</v>
      </c>
      <c r="B305" s="2">
        <v>45814</v>
      </c>
      <c r="C305" s="2" t="str">
        <f t="shared" si="20"/>
        <v>June</v>
      </c>
      <c r="D305" t="s">
        <v>106</v>
      </c>
      <c r="E305" t="s">
        <v>345</v>
      </c>
      <c r="F305">
        <v>5</v>
      </c>
      <c r="G305" t="s">
        <v>45</v>
      </c>
      <c r="H305" t="s">
        <v>31</v>
      </c>
      <c r="I305" t="s">
        <v>346</v>
      </c>
      <c r="J305" t="str">
        <f>_xlfn.XLOOKUP(E305, Product_Master!$A$2:$A$101, Product_Master!$C$2:$C$101)</f>
        <v>Accessories</v>
      </c>
      <c r="K305">
        <f>_xlfn.XLOOKUP(E305, Product_Master!$A$2:$A$101, Product_Master!$D$2:$D$101)</f>
        <v>9000</v>
      </c>
      <c r="L305">
        <f>_xlfn.XLOOKUP(E305, Product_Master!$A$2:$A$101, Product_Master!$E$2:$E$101)</f>
        <v>12000</v>
      </c>
      <c r="M305">
        <f t="shared" si="21"/>
        <v>60000</v>
      </c>
      <c r="N305">
        <f t="shared" si="22"/>
        <v>45000</v>
      </c>
      <c r="O305">
        <f t="shared" si="23"/>
        <v>15000</v>
      </c>
      <c r="P305" s="3">
        <f t="shared" si="24"/>
        <v>0.25</v>
      </c>
      <c r="Q305" s="3" t="str">
        <v>High Profit</v>
      </c>
    </row>
    <row r="306" spans="1:17" x14ac:dyDescent="0.3">
      <c r="A306" t="s">
        <v>753</v>
      </c>
      <c r="B306" s="2">
        <v>45953</v>
      </c>
      <c r="C306" s="2" t="str">
        <f t="shared" si="20"/>
        <v>October</v>
      </c>
      <c r="D306" t="s">
        <v>302</v>
      </c>
      <c r="E306" t="s">
        <v>357</v>
      </c>
      <c r="F306">
        <v>2</v>
      </c>
      <c r="G306" t="s">
        <v>16</v>
      </c>
      <c r="H306" t="s">
        <v>17</v>
      </c>
      <c r="I306" t="s">
        <v>340</v>
      </c>
      <c r="J306" t="str">
        <f>_xlfn.XLOOKUP(E306, Product_Master!$A$2:$A$101, Product_Master!$C$2:$C$101)</f>
        <v>Electronics</v>
      </c>
      <c r="K306">
        <f>_xlfn.XLOOKUP(E306, Product_Master!$A$2:$A$101, Product_Master!$D$2:$D$101)</f>
        <v>42000</v>
      </c>
      <c r="L306">
        <f>_xlfn.XLOOKUP(E306, Product_Master!$A$2:$A$101, Product_Master!$E$2:$E$101)</f>
        <v>50000</v>
      </c>
      <c r="M306">
        <f t="shared" si="21"/>
        <v>100000</v>
      </c>
      <c r="N306">
        <f t="shared" si="22"/>
        <v>84000</v>
      </c>
      <c r="O306">
        <f t="shared" si="23"/>
        <v>16000</v>
      </c>
      <c r="P306" s="3">
        <f t="shared" si="24"/>
        <v>0.16</v>
      </c>
      <c r="Q306" s="3" t="str">
        <v>Low Profit</v>
      </c>
    </row>
    <row r="307" spans="1:17" x14ac:dyDescent="0.3">
      <c r="A307" t="s">
        <v>754</v>
      </c>
      <c r="B307" s="2">
        <v>45869</v>
      </c>
      <c r="C307" s="2" t="str">
        <f t="shared" si="20"/>
        <v>July</v>
      </c>
      <c r="D307" t="s">
        <v>314</v>
      </c>
      <c r="E307" t="s">
        <v>347</v>
      </c>
      <c r="F307">
        <v>5</v>
      </c>
      <c r="G307" t="s">
        <v>22</v>
      </c>
      <c r="H307" t="s">
        <v>8</v>
      </c>
      <c r="I307" t="s">
        <v>335</v>
      </c>
      <c r="J307" t="str">
        <f>_xlfn.XLOOKUP(E307, Product_Master!$A$2:$A$101, Product_Master!$C$2:$C$101)</f>
        <v>Accessories</v>
      </c>
      <c r="K307">
        <f>_xlfn.XLOOKUP(E307, Product_Master!$A$2:$A$101, Product_Master!$D$2:$D$101)</f>
        <v>900</v>
      </c>
      <c r="L307">
        <f>_xlfn.XLOOKUP(E307, Product_Master!$A$2:$A$101, Product_Master!$E$2:$E$101)</f>
        <v>1500</v>
      </c>
      <c r="M307">
        <f t="shared" si="21"/>
        <v>7500</v>
      </c>
      <c r="N307">
        <f t="shared" si="22"/>
        <v>4500</v>
      </c>
      <c r="O307">
        <f t="shared" si="23"/>
        <v>3000</v>
      </c>
      <c r="P307" s="3">
        <f t="shared" si="24"/>
        <v>0.4</v>
      </c>
      <c r="Q307" s="3" t="str">
        <v>High Profit</v>
      </c>
    </row>
    <row r="308" spans="1:17" x14ac:dyDescent="0.3">
      <c r="A308" t="s">
        <v>755</v>
      </c>
      <c r="B308" s="2">
        <v>45766</v>
      </c>
      <c r="C308" s="2" t="str">
        <f t="shared" si="20"/>
        <v>April</v>
      </c>
      <c r="D308" t="s">
        <v>469</v>
      </c>
      <c r="E308" t="s">
        <v>442</v>
      </c>
      <c r="F308">
        <v>3</v>
      </c>
      <c r="G308" t="s">
        <v>1454</v>
      </c>
      <c r="H308" t="s">
        <v>1455</v>
      </c>
      <c r="I308" t="s">
        <v>335</v>
      </c>
      <c r="J308" t="str">
        <f>_xlfn.XLOOKUP(E308, Product_Master!$A$2:$A$101, Product_Master!$C$2:$C$101)</f>
        <v>Accessories</v>
      </c>
      <c r="K308">
        <f>_xlfn.XLOOKUP(E308, Product_Master!$A$2:$A$101, Product_Master!$D$2:$D$101)</f>
        <v>900</v>
      </c>
      <c r="L308">
        <f>_xlfn.XLOOKUP(E308, Product_Master!$A$2:$A$101, Product_Master!$E$2:$E$101)</f>
        <v>1500</v>
      </c>
      <c r="M308">
        <f t="shared" si="21"/>
        <v>4500</v>
      </c>
      <c r="N308">
        <f t="shared" si="22"/>
        <v>2700</v>
      </c>
      <c r="O308">
        <f t="shared" si="23"/>
        <v>1800</v>
      </c>
      <c r="P308" s="3">
        <f t="shared" si="24"/>
        <v>0.4</v>
      </c>
      <c r="Q308" s="3" t="str">
        <v>High Profit</v>
      </c>
    </row>
    <row r="309" spans="1:17" x14ac:dyDescent="0.3">
      <c r="A309" t="s">
        <v>756</v>
      </c>
      <c r="B309" s="2">
        <v>45703</v>
      </c>
      <c r="C309" s="2" t="str">
        <f t="shared" si="20"/>
        <v>February</v>
      </c>
      <c r="D309" t="s">
        <v>184</v>
      </c>
      <c r="E309" t="s">
        <v>407</v>
      </c>
      <c r="F309">
        <v>3</v>
      </c>
      <c r="G309" t="s">
        <v>4</v>
      </c>
      <c r="H309" t="s">
        <v>39</v>
      </c>
      <c r="I309" t="s">
        <v>329</v>
      </c>
      <c r="J309" t="str">
        <f>_xlfn.XLOOKUP(E309, Product_Master!$A$2:$A$101, Product_Master!$C$2:$C$101)</f>
        <v>Electronics</v>
      </c>
      <c r="K309">
        <f>_xlfn.XLOOKUP(E309, Product_Master!$A$2:$A$101, Product_Master!$D$2:$D$101)</f>
        <v>20000</v>
      </c>
      <c r="L309">
        <f>_xlfn.XLOOKUP(E309, Product_Master!$A$2:$A$101, Product_Master!$E$2:$E$101)</f>
        <v>25000</v>
      </c>
      <c r="M309">
        <f t="shared" si="21"/>
        <v>75000</v>
      </c>
      <c r="N309">
        <f t="shared" si="22"/>
        <v>60000</v>
      </c>
      <c r="O309">
        <f t="shared" si="23"/>
        <v>15000</v>
      </c>
      <c r="P309" s="3">
        <f t="shared" si="24"/>
        <v>0.2</v>
      </c>
      <c r="Q309" s="3" t="str">
        <v>Low Profit</v>
      </c>
    </row>
    <row r="310" spans="1:17" x14ac:dyDescent="0.3">
      <c r="A310" t="s">
        <v>757</v>
      </c>
      <c r="B310" s="2">
        <v>45846</v>
      </c>
      <c r="C310" s="2" t="str">
        <f t="shared" si="20"/>
        <v>July</v>
      </c>
      <c r="D310" t="s">
        <v>322</v>
      </c>
      <c r="E310" t="s">
        <v>359</v>
      </c>
      <c r="F310">
        <v>2</v>
      </c>
      <c r="G310" t="s">
        <v>29</v>
      </c>
      <c r="H310" t="s">
        <v>17</v>
      </c>
      <c r="I310" t="s">
        <v>329</v>
      </c>
      <c r="J310" t="str">
        <f>_xlfn.XLOOKUP(E310, Product_Master!$A$2:$A$101, Product_Master!$C$2:$C$101)</f>
        <v>Electronics</v>
      </c>
      <c r="K310">
        <f>_xlfn.XLOOKUP(E310, Product_Master!$A$2:$A$101, Product_Master!$D$2:$D$101)</f>
        <v>20000</v>
      </c>
      <c r="L310">
        <f>_xlfn.XLOOKUP(E310, Product_Master!$A$2:$A$101, Product_Master!$E$2:$E$101)</f>
        <v>25000</v>
      </c>
      <c r="M310">
        <f t="shared" si="21"/>
        <v>50000</v>
      </c>
      <c r="N310">
        <f t="shared" si="22"/>
        <v>40000</v>
      </c>
      <c r="O310">
        <f t="shared" si="23"/>
        <v>10000</v>
      </c>
      <c r="P310" s="3">
        <f t="shared" si="24"/>
        <v>0.2</v>
      </c>
      <c r="Q310" s="3" t="str">
        <v>Low Profit</v>
      </c>
    </row>
    <row r="311" spans="1:17" x14ac:dyDescent="0.3">
      <c r="A311" t="s">
        <v>758</v>
      </c>
      <c r="B311" s="2">
        <v>45668</v>
      </c>
      <c r="C311" s="2" t="str">
        <f t="shared" si="20"/>
        <v>January</v>
      </c>
      <c r="D311" t="s">
        <v>52</v>
      </c>
      <c r="E311" t="s">
        <v>373</v>
      </c>
      <c r="F311">
        <v>2</v>
      </c>
      <c r="G311" t="s">
        <v>47</v>
      </c>
      <c r="H311" t="s">
        <v>39</v>
      </c>
      <c r="I311" t="s">
        <v>335</v>
      </c>
      <c r="J311" t="str">
        <f>_xlfn.XLOOKUP(E311, Product_Master!$A$2:$A$101, Product_Master!$C$2:$C$101)</f>
        <v>Accessories</v>
      </c>
      <c r="K311">
        <f>_xlfn.XLOOKUP(E311, Product_Master!$A$2:$A$101, Product_Master!$D$2:$D$101)</f>
        <v>900</v>
      </c>
      <c r="L311">
        <f>_xlfn.XLOOKUP(E311, Product_Master!$A$2:$A$101, Product_Master!$E$2:$E$101)</f>
        <v>1500</v>
      </c>
      <c r="M311">
        <f t="shared" si="21"/>
        <v>3000</v>
      </c>
      <c r="N311">
        <f t="shared" si="22"/>
        <v>1800</v>
      </c>
      <c r="O311">
        <f t="shared" si="23"/>
        <v>1200</v>
      </c>
      <c r="P311" s="3">
        <f t="shared" si="24"/>
        <v>0.4</v>
      </c>
      <c r="Q311" s="3" t="str">
        <v>High Profit</v>
      </c>
    </row>
    <row r="312" spans="1:17" x14ac:dyDescent="0.3">
      <c r="A312" t="s">
        <v>759</v>
      </c>
      <c r="B312" s="2">
        <v>45773</v>
      </c>
      <c r="C312" s="2" t="str">
        <f t="shared" si="20"/>
        <v>April</v>
      </c>
      <c r="D312" t="s">
        <v>243</v>
      </c>
      <c r="E312" t="s">
        <v>403</v>
      </c>
      <c r="F312">
        <v>5</v>
      </c>
      <c r="G312" t="s">
        <v>19</v>
      </c>
      <c r="H312" t="s">
        <v>39</v>
      </c>
      <c r="I312" t="s">
        <v>353</v>
      </c>
      <c r="J312" t="str">
        <f>_xlfn.XLOOKUP(E312, Product_Master!$A$2:$A$101, Product_Master!$C$2:$C$101)</f>
        <v>Electronics</v>
      </c>
      <c r="K312">
        <f>_xlfn.XLOOKUP(E312, Product_Master!$A$2:$A$101, Product_Master!$D$2:$D$101)</f>
        <v>12000</v>
      </c>
      <c r="L312">
        <f>_xlfn.XLOOKUP(E312, Product_Master!$A$2:$A$101, Product_Master!$E$2:$E$101)</f>
        <v>15000</v>
      </c>
      <c r="M312">
        <f t="shared" si="21"/>
        <v>75000</v>
      </c>
      <c r="N312">
        <f t="shared" si="22"/>
        <v>60000</v>
      </c>
      <c r="O312">
        <f t="shared" si="23"/>
        <v>15000</v>
      </c>
      <c r="P312" s="3">
        <f t="shared" si="24"/>
        <v>0.2</v>
      </c>
      <c r="Q312" s="3" t="str">
        <v>Low Profit</v>
      </c>
    </row>
    <row r="313" spans="1:17" x14ac:dyDescent="0.3">
      <c r="A313" t="s">
        <v>760</v>
      </c>
      <c r="B313" s="2">
        <v>45846</v>
      </c>
      <c r="C313" s="2" t="str">
        <f t="shared" si="20"/>
        <v>July</v>
      </c>
      <c r="D313" t="s">
        <v>294</v>
      </c>
      <c r="E313" t="s">
        <v>343</v>
      </c>
      <c r="F313">
        <v>4</v>
      </c>
      <c r="G313" t="s">
        <v>4</v>
      </c>
      <c r="H313" t="s">
        <v>27</v>
      </c>
      <c r="I313" t="s">
        <v>344</v>
      </c>
      <c r="J313" t="str">
        <f>_xlfn.XLOOKUP(E313, Product_Master!$A$2:$A$101, Product_Master!$C$2:$C$101)</f>
        <v>Accessories</v>
      </c>
      <c r="K313">
        <f>_xlfn.XLOOKUP(E313, Product_Master!$A$2:$A$101, Product_Master!$D$2:$D$101)</f>
        <v>2000</v>
      </c>
      <c r="L313">
        <f>_xlfn.XLOOKUP(E313, Product_Master!$A$2:$A$101, Product_Master!$E$2:$E$101)</f>
        <v>3000</v>
      </c>
      <c r="M313">
        <f t="shared" si="21"/>
        <v>12000</v>
      </c>
      <c r="N313">
        <f t="shared" si="22"/>
        <v>8000</v>
      </c>
      <c r="O313">
        <f t="shared" si="23"/>
        <v>4000</v>
      </c>
      <c r="P313" s="3">
        <f t="shared" si="24"/>
        <v>0.33333333333333331</v>
      </c>
      <c r="Q313" s="3" t="str">
        <v>High Profit</v>
      </c>
    </row>
    <row r="314" spans="1:17" x14ac:dyDescent="0.3">
      <c r="A314" t="s">
        <v>761</v>
      </c>
      <c r="B314" s="2">
        <v>45826</v>
      </c>
      <c r="C314" s="2" t="str">
        <f t="shared" si="20"/>
        <v>June</v>
      </c>
      <c r="D314" t="s">
        <v>469</v>
      </c>
      <c r="E314" t="s">
        <v>390</v>
      </c>
      <c r="F314">
        <v>2</v>
      </c>
      <c r="G314" t="s">
        <v>1454</v>
      </c>
      <c r="H314" t="s">
        <v>1455</v>
      </c>
      <c r="I314" t="s">
        <v>344</v>
      </c>
      <c r="J314" t="str">
        <f>_xlfn.XLOOKUP(E314, Product_Master!$A$2:$A$101, Product_Master!$C$2:$C$101)</f>
        <v>Accessories</v>
      </c>
      <c r="K314">
        <f>_xlfn.XLOOKUP(E314, Product_Master!$A$2:$A$101, Product_Master!$D$2:$D$101)</f>
        <v>2000</v>
      </c>
      <c r="L314">
        <f>_xlfn.XLOOKUP(E314, Product_Master!$A$2:$A$101, Product_Master!$E$2:$E$101)</f>
        <v>3000</v>
      </c>
      <c r="M314">
        <f t="shared" si="21"/>
        <v>6000</v>
      </c>
      <c r="N314">
        <f t="shared" si="22"/>
        <v>4000</v>
      </c>
      <c r="O314">
        <f t="shared" si="23"/>
        <v>2000</v>
      </c>
      <c r="P314" s="3">
        <f t="shared" si="24"/>
        <v>0.33333333333333331</v>
      </c>
      <c r="Q314" s="3" t="str">
        <v>High Profit</v>
      </c>
    </row>
    <row r="315" spans="1:17" x14ac:dyDescent="0.3">
      <c r="A315" t="s">
        <v>762</v>
      </c>
      <c r="B315" s="2">
        <v>45689</v>
      </c>
      <c r="C315" s="2" t="str">
        <f t="shared" si="20"/>
        <v>February</v>
      </c>
      <c r="D315" t="s">
        <v>304</v>
      </c>
      <c r="E315" t="s">
        <v>435</v>
      </c>
      <c r="F315">
        <v>3</v>
      </c>
      <c r="G315" t="s">
        <v>45</v>
      </c>
      <c r="H315" t="s">
        <v>8</v>
      </c>
      <c r="I315" t="s">
        <v>346</v>
      </c>
      <c r="J315" t="str">
        <f>_xlfn.XLOOKUP(E315, Product_Master!$A$2:$A$101, Product_Master!$C$2:$C$101)</f>
        <v>Accessories</v>
      </c>
      <c r="K315">
        <f>_xlfn.XLOOKUP(E315, Product_Master!$A$2:$A$101, Product_Master!$D$2:$D$101)</f>
        <v>9000</v>
      </c>
      <c r="L315">
        <f>_xlfn.XLOOKUP(E315, Product_Master!$A$2:$A$101, Product_Master!$E$2:$E$101)</f>
        <v>12000</v>
      </c>
      <c r="M315">
        <f t="shared" si="21"/>
        <v>36000</v>
      </c>
      <c r="N315">
        <f t="shared" si="22"/>
        <v>27000</v>
      </c>
      <c r="O315">
        <f t="shared" si="23"/>
        <v>9000</v>
      </c>
      <c r="P315" s="3">
        <f t="shared" si="24"/>
        <v>0.25</v>
      </c>
      <c r="Q315" s="3" t="str">
        <v>High Profit</v>
      </c>
    </row>
    <row r="316" spans="1:17" x14ac:dyDescent="0.3">
      <c r="A316" t="s">
        <v>763</v>
      </c>
      <c r="B316" s="2">
        <v>45783</v>
      </c>
      <c r="C316" s="2" t="str">
        <f t="shared" si="20"/>
        <v>May</v>
      </c>
      <c r="D316" t="s">
        <v>42</v>
      </c>
      <c r="E316" t="s">
        <v>408</v>
      </c>
      <c r="F316">
        <v>2</v>
      </c>
      <c r="G316" t="s">
        <v>10</v>
      </c>
      <c r="H316" t="s">
        <v>27</v>
      </c>
      <c r="I316" t="s">
        <v>332</v>
      </c>
      <c r="J316" t="str">
        <f>_xlfn.XLOOKUP(E316, Product_Master!$A$2:$A$101, Product_Master!$C$2:$C$101)</f>
        <v>Accessories</v>
      </c>
      <c r="K316">
        <f>_xlfn.XLOOKUP(E316, Product_Master!$A$2:$A$101, Product_Master!$D$2:$D$101)</f>
        <v>500</v>
      </c>
      <c r="L316">
        <f>_xlfn.XLOOKUP(E316, Product_Master!$A$2:$A$101, Product_Master!$E$2:$E$101)</f>
        <v>800</v>
      </c>
      <c r="M316">
        <f t="shared" si="21"/>
        <v>1600</v>
      </c>
      <c r="N316">
        <f t="shared" si="22"/>
        <v>1000</v>
      </c>
      <c r="O316">
        <f t="shared" si="23"/>
        <v>600</v>
      </c>
      <c r="P316" s="3">
        <f t="shared" si="24"/>
        <v>0.375</v>
      </c>
      <c r="Q316" s="3" t="str">
        <v>High Profit</v>
      </c>
    </row>
    <row r="317" spans="1:17" x14ac:dyDescent="0.3">
      <c r="A317" t="s">
        <v>764</v>
      </c>
      <c r="B317" s="2">
        <v>45688</v>
      </c>
      <c r="C317" s="2" t="str">
        <f t="shared" si="20"/>
        <v>January</v>
      </c>
      <c r="D317" t="s">
        <v>165</v>
      </c>
      <c r="E317" t="s">
        <v>336</v>
      </c>
      <c r="F317">
        <v>5</v>
      </c>
      <c r="G317" t="s">
        <v>22</v>
      </c>
      <c r="H317" t="s">
        <v>17</v>
      </c>
      <c r="I317" t="s">
        <v>337</v>
      </c>
      <c r="J317" t="str">
        <f>_xlfn.XLOOKUP(E317, Product_Master!$A$2:$A$101, Product_Master!$C$2:$C$101)</f>
        <v>Electronics</v>
      </c>
      <c r="K317">
        <f>_xlfn.XLOOKUP(E317, Product_Master!$A$2:$A$101, Product_Master!$D$2:$D$101)</f>
        <v>15000</v>
      </c>
      <c r="L317">
        <f>_xlfn.XLOOKUP(E317, Product_Master!$A$2:$A$101, Product_Master!$E$2:$E$101)</f>
        <v>18000</v>
      </c>
      <c r="M317">
        <f t="shared" si="21"/>
        <v>90000</v>
      </c>
      <c r="N317">
        <f t="shared" si="22"/>
        <v>75000</v>
      </c>
      <c r="O317">
        <f t="shared" si="23"/>
        <v>15000</v>
      </c>
      <c r="P317" s="3">
        <f t="shared" si="24"/>
        <v>0.16666666666666666</v>
      </c>
      <c r="Q317" s="3" t="str">
        <v>Low Profit</v>
      </c>
    </row>
    <row r="318" spans="1:17" x14ac:dyDescent="0.3">
      <c r="A318" t="s">
        <v>765</v>
      </c>
      <c r="B318" s="2">
        <v>45752</v>
      </c>
      <c r="C318" s="2" t="str">
        <f t="shared" si="20"/>
        <v>April</v>
      </c>
      <c r="D318" t="s">
        <v>252</v>
      </c>
      <c r="E318" t="s">
        <v>355</v>
      </c>
      <c r="F318">
        <v>3</v>
      </c>
      <c r="G318" t="s">
        <v>19</v>
      </c>
      <c r="H318" t="s">
        <v>27</v>
      </c>
      <c r="I318" t="s">
        <v>335</v>
      </c>
      <c r="J318" t="str">
        <f>_xlfn.XLOOKUP(E318, Product_Master!$A$2:$A$101, Product_Master!$C$2:$C$101)</f>
        <v>Accessories</v>
      </c>
      <c r="K318">
        <f>_xlfn.XLOOKUP(E318, Product_Master!$A$2:$A$101, Product_Master!$D$2:$D$101)</f>
        <v>900</v>
      </c>
      <c r="L318">
        <f>_xlfn.XLOOKUP(E318, Product_Master!$A$2:$A$101, Product_Master!$E$2:$E$101)</f>
        <v>1500</v>
      </c>
      <c r="M318">
        <f t="shared" si="21"/>
        <v>4500</v>
      </c>
      <c r="N318">
        <f t="shared" si="22"/>
        <v>2700</v>
      </c>
      <c r="O318">
        <f t="shared" si="23"/>
        <v>1800</v>
      </c>
      <c r="P318" s="3">
        <f t="shared" si="24"/>
        <v>0.4</v>
      </c>
      <c r="Q318" s="3" t="str">
        <v>High Profit</v>
      </c>
    </row>
    <row r="319" spans="1:17" x14ac:dyDescent="0.3">
      <c r="A319" t="s">
        <v>766</v>
      </c>
      <c r="B319" s="2">
        <v>45936</v>
      </c>
      <c r="C319" s="2" t="str">
        <f t="shared" si="20"/>
        <v>October</v>
      </c>
      <c r="D319" t="s">
        <v>313</v>
      </c>
      <c r="E319" t="s">
        <v>442</v>
      </c>
      <c r="F319">
        <v>4</v>
      </c>
      <c r="G319" t="s">
        <v>4</v>
      </c>
      <c r="H319" t="s">
        <v>8</v>
      </c>
      <c r="I319" t="s">
        <v>335</v>
      </c>
      <c r="J319" t="str">
        <f>_xlfn.XLOOKUP(E319, Product_Master!$A$2:$A$101, Product_Master!$C$2:$C$101)</f>
        <v>Accessories</v>
      </c>
      <c r="K319">
        <f>_xlfn.XLOOKUP(E319, Product_Master!$A$2:$A$101, Product_Master!$D$2:$D$101)</f>
        <v>900</v>
      </c>
      <c r="L319">
        <f>_xlfn.XLOOKUP(E319, Product_Master!$A$2:$A$101, Product_Master!$E$2:$E$101)</f>
        <v>1500</v>
      </c>
      <c r="M319">
        <f t="shared" si="21"/>
        <v>6000</v>
      </c>
      <c r="N319">
        <f t="shared" si="22"/>
        <v>3600</v>
      </c>
      <c r="O319">
        <f t="shared" si="23"/>
        <v>2400</v>
      </c>
      <c r="P319" s="3">
        <f t="shared" si="24"/>
        <v>0.4</v>
      </c>
      <c r="Q319" s="3" t="str">
        <v>High Profit</v>
      </c>
    </row>
    <row r="320" spans="1:17" x14ac:dyDescent="0.3">
      <c r="A320" t="s">
        <v>767</v>
      </c>
      <c r="B320" s="2">
        <v>45946</v>
      </c>
      <c r="C320" s="2" t="str">
        <f t="shared" si="20"/>
        <v>October</v>
      </c>
      <c r="D320" t="s">
        <v>79</v>
      </c>
      <c r="E320" t="s">
        <v>405</v>
      </c>
      <c r="F320">
        <v>2</v>
      </c>
      <c r="G320" t="s">
        <v>47</v>
      </c>
      <c r="H320" t="s">
        <v>20</v>
      </c>
      <c r="I320" t="s">
        <v>332</v>
      </c>
      <c r="J320" t="str">
        <f>_xlfn.XLOOKUP(E320, Product_Master!$A$2:$A$101, Product_Master!$C$2:$C$101)</f>
        <v>Accessories</v>
      </c>
      <c r="K320">
        <f>_xlfn.XLOOKUP(E320, Product_Master!$A$2:$A$101, Product_Master!$D$2:$D$101)</f>
        <v>500</v>
      </c>
      <c r="L320">
        <f>_xlfn.XLOOKUP(E320, Product_Master!$A$2:$A$101, Product_Master!$E$2:$E$101)</f>
        <v>800</v>
      </c>
      <c r="M320">
        <f t="shared" si="21"/>
        <v>1600</v>
      </c>
      <c r="N320">
        <f t="shared" si="22"/>
        <v>1000</v>
      </c>
      <c r="O320">
        <f t="shared" si="23"/>
        <v>600</v>
      </c>
      <c r="P320" s="3">
        <f t="shared" si="24"/>
        <v>0.375</v>
      </c>
      <c r="Q320" s="3" t="str">
        <v>High Profit</v>
      </c>
    </row>
    <row r="321" spans="1:17" x14ac:dyDescent="0.3">
      <c r="A321" t="s">
        <v>768</v>
      </c>
      <c r="B321" s="2">
        <v>45969</v>
      </c>
      <c r="C321" s="2" t="str">
        <f t="shared" si="20"/>
        <v>November</v>
      </c>
      <c r="D321" t="s">
        <v>44</v>
      </c>
      <c r="E321" t="s">
        <v>342</v>
      </c>
      <c r="F321">
        <v>3</v>
      </c>
      <c r="G321" t="s">
        <v>45</v>
      </c>
      <c r="H321" t="s">
        <v>27</v>
      </c>
      <c r="I321" t="s">
        <v>337</v>
      </c>
      <c r="J321" t="str">
        <f>_xlfn.XLOOKUP(E321, Product_Master!$A$2:$A$101, Product_Master!$C$2:$C$101)</f>
        <v>Electronics</v>
      </c>
      <c r="K321">
        <f>_xlfn.XLOOKUP(E321, Product_Master!$A$2:$A$101, Product_Master!$D$2:$D$101)</f>
        <v>15000</v>
      </c>
      <c r="L321">
        <f>_xlfn.XLOOKUP(E321, Product_Master!$A$2:$A$101, Product_Master!$E$2:$E$101)</f>
        <v>18000</v>
      </c>
      <c r="M321">
        <f t="shared" si="21"/>
        <v>54000</v>
      </c>
      <c r="N321">
        <f t="shared" si="22"/>
        <v>45000</v>
      </c>
      <c r="O321">
        <f t="shared" si="23"/>
        <v>9000</v>
      </c>
      <c r="P321" s="3">
        <f t="shared" si="24"/>
        <v>0.16666666666666666</v>
      </c>
      <c r="Q321" s="3" t="str">
        <v>Low Profit</v>
      </c>
    </row>
    <row r="322" spans="1:17" x14ac:dyDescent="0.3">
      <c r="A322" t="s">
        <v>769</v>
      </c>
      <c r="B322" s="2">
        <v>45727</v>
      </c>
      <c r="C322" s="2" t="str">
        <f t="shared" si="20"/>
        <v>March</v>
      </c>
      <c r="D322" t="s">
        <v>11</v>
      </c>
      <c r="E322" t="s">
        <v>403</v>
      </c>
      <c r="F322">
        <v>1</v>
      </c>
      <c r="G322" t="s">
        <v>12</v>
      </c>
      <c r="H322" t="s">
        <v>8</v>
      </c>
      <c r="I322" t="s">
        <v>353</v>
      </c>
      <c r="J322" t="str">
        <f>_xlfn.XLOOKUP(E322, Product_Master!$A$2:$A$101, Product_Master!$C$2:$C$101)</f>
        <v>Electronics</v>
      </c>
      <c r="K322">
        <f>_xlfn.XLOOKUP(E322, Product_Master!$A$2:$A$101, Product_Master!$D$2:$D$101)</f>
        <v>12000</v>
      </c>
      <c r="L322">
        <f>_xlfn.XLOOKUP(E322, Product_Master!$A$2:$A$101, Product_Master!$E$2:$E$101)</f>
        <v>15000</v>
      </c>
      <c r="M322">
        <f t="shared" si="21"/>
        <v>15000</v>
      </c>
      <c r="N322">
        <f t="shared" si="22"/>
        <v>12000</v>
      </c>
      <c r="O322">
        <f t="shared" si="23"/>
        <v>3000</v>
      </c>
      <c r="P322" s="3">
        <f t="shared" si="24"/>
        <v>0.2</v>
      </c>
      <c r="Q322" s="3" t="str">
        <v>Low Profit</v>
      </c>
    </row>
    <row r="323" spans="1:17" x14ac:dyDescent="0.3">
      <c r="A323" t="s">
        <v>770</v>
      </c>
      <c r="B323" s="2">
        <v>45832</v>
      </c>
      <c r="C323" s="2" t="str">
        <f t="shared" ref="C323:C386" si="25">TEXT(B323,"MMMM")</f>
        <v>June</v>
      </c>
      <c r="D323" t="s">
        <v>6</v>
      </c>
      <c r="E323" t="s">
        <v>360</v>
      </c>
      <c r="F323">
        <v>1</v>
      </c>
      <c r="G323" t="s">
        <v>7</v>
      </c>
      <c r="H323" t="s">
        <v>8</v>
      </c>
      <c r="I323" t="s">
        <v>340</v>
      </c>
      <c r="J323" t="str">
        <f>_xlfn.XLOOKUP(E323, Product_Master!$A$2:$A$101, Product_Master!$C$2:$C$101)</f>
        <v>Electronics</v>
      </c>
      <c r="K323">
        <f>_xlfn.XLOOKUP(E323, Product_Master!$A$2:$A$101, Product_Master!$D$2:$D$101)</f>
        <v>42000</v>
      </c>
      <c r="L323">
        <f>_xlfn.XLOOKUP(E323, Product_Master!$A$2:$A$101, Product_Master!$E$2:$E$101)</f>
        <v>50000</v>
      </c>
      <c r="M323">
        <f t="shared" ref="M323:M386" si="26">F323*L323</f>
        <v>50000</v>
      </c>
      <c r="N323">
        <f t="shared" ref="N323:N386" si="27">F323*K323</f>
        <v>42000</v>
      </c>
      <c r="O323">
        <f t="shared" ref="O323:O386" si="28">M323-N323</f>
        <v>8000</v>
      </c>
      <c r="P323" s="3">
        <f t="shared" ref="P323:P386" si="29">O323/M323</f>
        <v>0.16</v>
      </c>
      <c r="Q323" s="3" t="str">
        <v>Low Profit</v>
      </c>
    </row>
    <row r="324" spans="1:17" x14ac:dyDescent="0.3">
      <c r="A324" t="s">
        <v>771</v>
      </c>
      <c r="B324" s="2">
        <v>45788</v>
      </c>
      <c r="C324" s="2" t="str">
        <f t="shared" si="25"/>
        <v>May</v>
      </c>
      <c r="D324" t="s">
        <v>60</v>
      </c>
      <c r="E324" t="s">
        <v>420</v>
      </c>
      <c r="F324">
        <v>3</v>
      </c>
      <c r="G324" t="s">
        <v>29</v>
      </c>
      <c r="H324" t="s">
        <v>20</v>
      </c>
      <c r="I324" t="s">
        <v>329</v>
      </c>
      <c r="J324" t="str">
        <f>_xlfn.XLOOKUP(E324, Product_Master!$A$2:$A$101, Product_Master!$C$2:$C$101)</f>
        <v>Electronics</v>
      </c>
      <c r="K324">
        <f>_xlfn.XLOOKUP(E324, Product_Master!$A$2:$A$101, Product_Master!$D$2:$D$101)</f>
        <v>20000</v>
      </c>
      <c r="L324">
        <f>_xlfn.XLOOKUP(E324, Product_Master!$A$2:$A$101, Product_Master!$E$2:$E$101)</f>
        <v>25000</v>
      </c>
      <c r="M324">
        <f t="shared" si="26"/>
        <v>75000</v>
      </c>
      <c r="N324">
        <f t="shared" si="27"/>
        <v>60000</v>
      </c>
      <c r="O324">
        <f t="shared" si="28"/>
        <v>15000</v>
      </c>
      <c r="P324" s="3">
        <f t="shared" si="29"/>
        <v>0.2</v>
      </c>
      <c r="Q324" s="3" t="str">
        <v>Low Profit</v>
      </c>
    </row>
    <row r="325" spans="1:17" x14ac:dyDescent="0.3">
      <c r="A325" t="s">
        <v>772</v>
      </c>
      <c r="B325" s="2">
        <v>45998</v>
      </c>
      <c r="C325" s="2" t="str">
        <f t="shared" si="25"/>
        <v>December</v>
      </c>
      <c r="D325" t="s">
        <v>131</v>
      </c>
      <c r="E325" t="s">
        <v>384</v>
      </c>
      <c r="F325">
        <v>5</v>
      </c>
      <c r="G325" t="s">
        <v>19</v>
      </c>
      <c r="H325" t="s">
        <v>27</v>
      </c>
      <c r="I325" t="s">
        <v>353</v>
      </c>
      <c r="J325" t="str">
        <f>_xlfn.XLOOKUP(E325, Product_Master!$A$2:$A$101, Product_Master!$C$2:$C$101)</f>
        <v>Electronics</v>
      </c>
      <c r="K325">
        <f>_xlfn.XLOOKUP(E325, Product_Master!$A$2:$A$101, Product_Master!$D$2:$D$101)</f>
        <v>12000</v>
      </c>
      <c r="L325">
        <f>_xlfn.XLOOKUP(E325, Product_Master!$A$2:$A$101, Product_Master!$E$2:$E$101)</f>
        <v>15000</v>
      </c>
      <c r="M325">
        <f t="shared" si="26"/>
        <v>75000</v>
      </c>
      <c r="N325">
        <f t="shared" si="27"/>
        <v>60000</v>
      </c>
      <c r="O325">
        <f t="shared" si="28"/>
        <v>15000</v>
      </c>
      <c r="P325" s="3">
        <f t="shared" si="29"/>
        <v>0.2</v>
      </c>
      <c r="Q325" s="3" t="str">
        <v>Low Profit</v>
      </c>
    </row>
    <row r="326" spans="1:17" x14ac:dyDescent="0.3">
      <c r="A326" t="s">
        <v>773</v>
      </c>
      <c r="B326" s="2">
        <v>45814</v>
      </c>
      <c r="C326" s="2" t="str">
        <f t="shared" si="25"/>
        <v>June</v>
      </c>
      <c r="D326" t="s">
        <v>273</v>
      </c>
      <c r="E326" t="s">
        <v>357</v>
      </c>
      <c r="F326">
        <v>5</v>
      </c>
      <c r="G326" t="s">
        <v>24</v>
      </c>
      <c r="H326" t="s">
        <v>1455</v>
      </c>
      <c r="I326" t="s">
        <v>340</v>
      </c>
      <c r="J326" t="str">
        <f>_xlfn.XLOOKUP(E326, Product_Master!$A$2:$A$101, Product_Master!$C$2:$C$101)</f>
        <v>Electronics</v>
      </c>
      <c r="K326">
        <f>_xlfn.XLOOKUP(E326, Product_Master!$A$2:$A$101, Product_Master!$D$2:$D$101)</f>
        <v>42000</v>
      </c>
      <c r="L326">
        <f>_xlfn.XLOOKUP(E326, Product_Master!$A$2:$A$101, Product_Master!$E$2:$E$101)</f>
        <v>50000</v>
      </c>
      <c r="M326">
        <f t="shared" si="26"/>
        <v>250000</v>
      </c>
      <c r="N326">
        <f t="shared" si="27"/>
        <v>210000</v>
      </c>
      <c r="O326">
        <f t="shared" si="28"/>
        <v>40000</v>
      </c>
      <c r="P326" s="3">
        <f t="shared" si="29"/>
        <v>0.16</v>
      </c>
      <c r="Q326" s="3" t="str">
        <v>Low Profit</v>
      </c>
    </row>
    <row r="327" spans="1:17" x14ac:dyDescent="0.3">
      <c r="A327" t="s">
        <v>774</v>
      </c>
      <c r="B327" s="2">
        <v>45927</v>
      </c>
      <c r="C327" s="2" t="str">
        <f t="shared" si="25"/>
        <v>September</v>
      </c>
      <c r="D327" t="s">
        <v>319</v>
      </c>
      <c r="E327" t="s">
        <v>383</v>
      </c>
      <c r="F327">
        <v>5</v>
      </c>
      <c r="G327" t="s">
        <v>12</v>
      </c>
      <c r="H327" t="s">
        <v>20</v>
      </c>
      <c r="I327" t="s">
        <v>335</v>
      </c>
      <c r="J327" t="str">
        <f>_xlfn.XLOOKUP(E327, Product_Master!$A$2:$A$101, Product_Master!$C$2:$C$101)</f>
        <v>Accessories</v>
      </c>
      <c r="K327">
        <f>_xlfn.XLOOKUP(E327, Product_Master!$A$2:$A$101, Product_Master!$D$2:$D$101)</f>
        <v>900</v>
      </c>
      <c r="L327">
        <f>_xlfn.XLOOKUP(E327, Product_Master!$A$2:$A$101, Product_Master!$E$2:$E$101)</f>
        <v>1500</v>
      </c>
      <c r="M327">
        <f t="shared" si="26"/>
        <v>7500</v>
      </c>
      <c r="N327">
        <f t="shared" si="27"/>
        <v>4500</v>
      </c>
      <c r="O327">
        <f t="shared" si="28"/>
        <v>3000</v>
      </c>
      <c r="P327" s="3">
        <f t="shared" si="29"/>
        <v>0.4</v>
      </c>
      <c r="Q327" s="3" t="str">
        <v>High Profit</v>
      </c>
    </row>
    <row r="328" spans="1:17" x14ac:dyDescent="0.3">
      <c r="A328" t="s">
        <v>775</v>
      </c>
      <c r="B328" s="2">
        <v>45824</v>
      </c>
      <c r="C328" s="2" t="str">
        <f t="shared" si="25"/>
        <v>June</v>
      </c>
      <c r="D328" t="s">
        <v>205</v>
      </c>
      <c r="E328" t="s">
        <v>373</v>
      </c>
      <c r="F328">
        <v>3</v>
      </c>
      <c r="G328" t="s">
        <v>16</v>
      </c>
      <c r="H328" t="s">
        <v>17</v>
      </c>
      <c r="I328" t="s">
        <v>335</v>
      </c>
      <c r="J328" t="str">
        <f>_xlfn.XLOOKUP(E328, Product_Master!$A$2:$A$101, Product_Master!$C$2:$C$101)</f>
        <v>Accessories</v>
      </c>
      <c r="K328">
        <f>_xlfn.XLOOKUP(E328, Product_Master!$A$2:$A$101, Product_Master!$D$2:$D$101)</f>
        <v>900</v>
      </c>
      <c r="L328">
        <f>_xlfn.XLOOKUP(E328, Product_Master!$A$2:$A$101, Product_Master!$E$2:$E$101)</f>
        <v>1500</v>
      </c>
      <c r="M328">
        <f t="shared" si="26"/>
        <v>4500</v>
      </c>
      <c r="N328">
        <f t="shared" si="27"/>
        <v>2700</v>
      </c>
      <c r="O328">
        <f t="shared" si="28"/>
        <v>1800</v>
      </c>
      <c r="P328" s="3">
        <f t="shared" si="29"/>
        <v>0.4</v>
      </c>
      <c r="Q328" s="3" t="str">
        <v>High Profit</v>
      </c>
    </row>
    <row r="329" spans="1:17" x14ac:dyDescent="0.3">
      <c r="A329" t="s">
        <v>776</v>
      </c>
      <c r="B329" s="2">
        <v>45685</v>
      </c>
      <c r="C329" s="2" t="str">
        <f t="shared" si="25"/>
        <v>January</v>
      </c>
      <c r="D329" t="s">
        <v>198</v>
      </c>
      <c r="E329" t="s">
        <v>418</v>
      </c>
      <c r="F329">
        <v>1</v>
      </c>
      <c r="G329" t="s">
        <v>45</v>
      </c>
      <c r="H329" t="s">
        <v>27</v>
      </c>
      <c r="I329" t="s">
        <v>329</v>
      </c>
      <c r="J329" t="str">
        <f>_xlfn.XLOOKUP(E329, Product_Master!$A$2:$A$101, Product_Master!$C$2:$C$101)</f>
        <v>Electronics</v>
      </c>
      <c r="K329">
        <f>_xlfn.XLOOKUP(E329, Product_Master!$A$2:$A$101, Product_Master!$D$2:$D$101)</f>
        <v>20000</v>
      </c>
      <c r="L329">
        <f>_xlfn.XLOOKUP(E329, Product_Master!$A$2:$A$101, Product_Master!$E$2:$E$101)</f>
        <v>25000</v>
      </c>
      <c r="M329">
        <f t="shared" si="26"/>
        <v>25000</v>
      </c>
      <c r="N329">
        <f t="shared" si="27"/>
        <v>20000</v>
      </c>
      <c r="O329">
        <f t="shared" si="28"/>
        <v>5000</v>
      </c>
      <c r="P329" s="3">
        <f t="shared" si="29"/>
        <v>0.2</v>
      </c>
      <c r="Q329" s="3" t="str">
        <v>Low Profit</v>
      </c>
    </row>
    <row r="330" spans="1:17" x14ac:dyDescent="0.3">
      <c r="A330" t="s">
        <v>777</v>
      </c>
      <c r="B330" s="2">
        <v>45667</v>
      </c>
      <c r="C330" s="2" t="str">
        <f t="shared" si="25"/>
        <v>January</v>
      </c>
      <c r="D330" t="s">
        <v>170</v>
      </c>
      <c r="E330" t="s">
        <v>434</v>
      </c>
      <c r="F330">
        <v>4</v>
      </c>
      <c r="G330" t="s">
        <v>16</v>
      </c>
      <c r="H330" t="s">
        <v>14</v>
      </c>
      <c r="I330" t="s">
        <v>346</v>
      </c>
      <c r="J330" t="str">
        <f>_xlfn.XLOOKUP(E330, Product_Master!$A$2:$A$101, Product_Master!$C$2:$C$101)</f>
        <v>Accessories</v>
      </c>
      <c r="K330">
        <f>_xlfn.XLOOKUP(E330, Product_Master!$A$2:$A$101, Product_Master!$D$2:$D$101)</f>
        <v>9000</v>
      </c>
      <c r="L330">
        <f>_xlfn.XLOOKUP(E330, Product_Master!$A$2:$A$101, Product_Master!$E$2:$E$101)</f>
        <v>12000</v>
      </c>
      <c r="M330">
        <f t="shared" si="26"/>
        <v>48000</v>
      </c>
      <c r="N330">
        <f t="shared" si="27"/>
        <v>36000</v>
      </c>
      <c r="O330">
        <f t="shared" si="28"/>
        <v>12000</v>
      </c>
      <c r="P330" s="3">
        <f t="shared" si="29"/>
        <v>0.25</v>
      </c>
      <c r="Q330" s="3" t="str">
        <v>High Profit</v>
      </c>
    </row>
    <row r="331" spans="1:17" x14ac:dyDescent="0.3">
      <c r="A331" t="s">
        <v>778</v>
      </c>
      <c r="B331" s="2">
        <v>45966</v>
      </c>
      <c r="C331" s="2" t="str">
        <f t="shared" si="25"/>
        <v>November</v>
      </c>
      <c r="D331" t="s">
        <v>142</v>
      </c>
      <c r="E331" t="s">
        <v>358</v>
      </c>
      <c r="F331">
        <v>2</v>
      </c>
      <c r="G331" t="s">
        <v>37</v>
      </c>
      <c r="H331" t="s">
        <v>14</v>
      </c>
      <c r="I331" t="s">
        <v>332</v>
      </c>
      <c r="J331" t="str">
        <f>_xlfn.XLOOKUP(E331, Product_Master!$A$2:$A$101, Product_Master!$C$2:$C$101)</f>
        <v>Accessories</v>
      </c>
      <c r="K331">
        <f>_xlfn.XLOOKUP(E331, Product_Master!$A$2:$A$101, Product_Master!$D$2:$D$101)</f>
        <v>500</v>
      </c>
      <c r="L331">
        <f>_xlfn.XLOOKUP(E331, Product_Master!$A$2:$A$101, Product_Master!$E$2:$E$101)</f>
        <v>800</v>
      </c>
      <c r="M331">
        <f t="shared" si="26"/>
        <v>1600</v>
      </c>
      <c r="N331">
        <f t="shared" si="27"/>
        <v>1000</v>
      </c>
      <c r="O331">
        <f t="shared" si="28"/>
        <v>600</v>
      </c>
      <c r="P331" s="3">
        <f t="shared" si="29"/>
        <v>0.375</v>
      </c>
      <c r="Q331" s="3" t="str">
        <v>High Profit</v>
      </c>
    </row>
    <row r="332" spans="1:17" x14ac:dyDescent="0.3">
      <c r="A332" t="s">
        <v>779</v>
      </c>
      <c r="B332" s="2">
        <v>45771</v>
      </c>
      <c r="C332" s="2" t="str">
        <f t="shared" si="25"/>
        <v>April</v>
      </c>
      <c r="D332" t="s">
        <v>255</v>
      </c>
      <c r="E332" t="s">
        <v>405</v>
      </c>
      <c r="F332">
        <v>4</v>
      </c>
      <c r="G332" t="s">
        <v>29</v>
      </c>
      <c r="H332" t="s">
        <v>20</v>
      </c>
      <c r="I332" t="s">
        <v>332</v>
      </c>
      <c r="J332" t="str">
        <f>_xlfn.XLOOKUP(E332, Product_Master!$A$2:$A$101, Product_Master!$C$2:$C$101)</f>
        <v>Accessories</v>
      </c>
      <c r="K332">
        <f>_xlfn.XLOOKUP(E332, Product_Master!$A$2:$A$101, Product_Master!$D$2:$D$101)</f>
        <v>500</v>
      </c>
      <c r="L332">
        <f>_xlfn.XLOOKUP(E332, Product_Master!$A$2:$A$101, Product_Master!$E$2:$E$101)</f>
        <v>800</v>
      </c>
      <c r="M332">
        <f t="shared" si="26"/>
        <v>3200</v>
      </c>
      <c r="N332">
        <f t="shared" si="27"/>
        <v>2000</v>
      </c>
      <c r="O332">
        <f t="shared" si="28"/>
        <v>1200</v>
      </c>
      <c r="P332" s="3">
        <f t="shared" si="29"/>
        <v>0.375</v>
      </c>
      <c r="Q332" s="3" t="str">
        <v>High Profit</v>
      </c>
    </row>
    <row r="333" spans="1:17" x14ac:dyDescent="0.3">
      <c r="A333" t="s">
        <v>780</v>
      </c>
      <c r="B333" s="2">
        <v>45809</v>
      </c>
      <c r="C333" s="2" t="str">
        <f t="shared" si="25"/>
        <v>June</v>
      </c>
      <c r="D333" t="s">
        <v>284</v>
      </c>
      <c r="E333" t="s">
        <v>387</v>
      </c>
      <c r="F333">
        <v>2</v>
      </c>
      <c r="G333" t="s">
        <v>7</v>
      </c>
      <c r="H333" t="s">
        <v>5</v>
      </c>
      <c r="I333" t="s">
        <v>332</v>
      </c>
      <c r="J333" t="str">
        <f>_xlfn.XLOOKUP(E333, Product_Master!$A$2:$A$101, Product_Master!$C$2:$C$101)</f>
        <v>Accessories</v>
      </c>
      <c r="K333">
        <f>_xlfn.XLOOKUP(E333, Product_Master!$A$2:$A$101, Product_Master!$D$2:$D$101)</f>
        <v>500</v>
      </c>
      <c r="L333">
        <f>_xlfn.XLOOKUP(E333, Product_Master!$A$2:$A$101, Product_Master!$E$2:$E$101)</f>
        <v>800</v>
      </c>
      <c r="M333">
        <f t="shared" si="26"/>
        <v>1600</v>
      </c>
      <c r="N333">
        <f t="shared" si="27"/>
        <v>1000</v>
      </c>
      <c r="O333">
        <f t="shared" si="28"/>
        <v>600</v>
      </c>
      <c r="P333" s="3">
        <f t="shared" si="29"/>
        <v>0.375</v>
      </c>
      <c r="Q333" s="3" t="str">
        <v>High Profit</v>
      </c>
    </row>
    <row r="334" spans="1:17" x14ac:dyDescent="0.3">
      <c r="A334" t="s">
        <v>781</v>
      </c>
      <c r="B334" s="2">
        <v>45993</v>
      </c>
      <c r="C334" s="2" t="str">
        <f t="shared" si="25"/>
        <v>December</v>
      </c>
      <c r="D334" t="s">
        <v>148</v>
      </c>
      <c r="E334" t="s">
        <v>379</v>
      </c>
      <c r="F334">
        <v>2</v>
      </c>
      <c r="G334" t="s">
        <v>4</v>
      </c>
      <c r="H334" t="s">
        <v>5</v>
      </c>
      <c r="I334" t="s">
        <v>346</v>
      </c>
      <c r="J334" t="str">
        <f>_xlfn.XLOOKUP(E334, Product_Master!$A$2:$A$101, Product_Master!$C$2:$C$101)</f>
        <v>Accessories</v>
      </c>
      <c r="K334">
        <f>_xlfn.XLOOKUP(E334, Product_Master!$A$2:$A$101, Product_Master!$D$2:$D$101)</f>
        <v>9000</v>
      </c>
      <c r="L334">
        <f>_xlfn.XLOOKUP(E334, Product_Master!$A$2:$A$101, Product_Master!$E$2:$E$101)</f>
        <v>12000</v>
      </c>
      <c r="M334">
        <f t="shared" si="26"/>
        <v>24000</v>
      </c>
      <c r="N334">
        <f t="shared" si="27"/>
        <v>18000</v>
      </c>
      <c r="O334">
        <f t="shared" si="28"/>
        <v>6000</v>
      </c>
      <c r="P334" s="3">
        <f t="shared" si="29"/>
        <v>0.25</v>
      </c>
      <c r="Q334" s="3" t="str">
        <v>High Profit</v>
      </c>
    </row>
    <row r="335" spans="1:17" x14ac:dyDescent="0.3">
      <c r="A335" t="s">
        <v>782</v>
      </c>
      <c r="B335" s="2">
        <v>45787</v>
      </c>
      <c r="C335" s="2" t="str">
        <f t="shared" si="25"/>
        <v>May</v>
      </c>
      <c r="D335" t="s">
        <v>117</v>
      </c>
      <c r="E335" t="s">
        <v>349</v>
      </c>
      <c r="F335">
        <v>2</v>
      </c>
      <c r="G335" t="s">
        <v>47</v>
      </c>
      <c r="H335" t="s">
        <v>8</v>
      </c>
      <c r="I335" t="s">
        <v>346</v>
      </c>
      <c r="J335" t="str">
        <f>_xlfn.XLOOKUP(E335, Product_Master!$A$2:$A$101, Product_Master!$C$2:$C$101)</f>
        <v>Accessories</v>
      </c>
      <c r="K335">
        <f>_xlfn.XLOOKUP(E335, Product_Master!$A$2:$A$101, Product_Master!$D$2:$D$101)</f>
        <v>9000</v>
      </c>
      <c r="L335">
        <f>_xlfn.XLOOKUP(E335, Product_Master!$A$2:$A$101, Product_Master!$E$2:$E$101)</f>
        <v>12000</v>
      </c>
      <c r="M335">
        <f t="shared" si="26"/>
        <v>24000</v>
      </c>
      <c r="N335">
        <f t="shared" si="27"/>
        <v>18000</v>
      </c>
      <c r="O335">
        <f t="shared" si="28"/>
        <v>6000</v>
      </c>
      <c r="P335" s="3">
        <f t="shared" si="29"/>
        <v>0.25</v>
      </c>
      <c r="Q335" s="3" t="str">
        <v>High Profit</v>
      </c>
    </row>
    <row r="336" spans="1:17" x14ac:dyDescent="0.3">
      <c r="A336" t="s">
        <v>783</v>
      </c>
      <c r="B336" s="2">
        <v>45949</v>
      </c>
      <c r="C336" s="2" t="str">
        <f t="shared" si="25"/>
        <v>October</v>
      </c>
      <c r="D336" t="s">
        <v>69</v>
      </c>
      <c r="E336" t="s">
        <v>403</v>
      </c>
      <c r="F336">
        <v>2</v>
      </c>
      <c r="G336" t="s">
        <v>45</v>
      </c>
      <c r="H336" t="s">
        <v>8</v>
      </c>
      <c r="I336" t="s">
        <v>353</v>
      </c>
      <c r="J336" t="str">
        <f>_xlfn.XLOOKUP(E336, Product_Master!$A$2:$A$101, Product_Master!$C$2:$C$101)</f>
        <v>Electronics</v>
      </c>
      <c r="K336">
        <f>_xlfn.XLOOKUP(E336, Product_Master!$A$2:$A$101, Product_Master!$D$2:$D$101)</f>
        <v>12000</v>
      </c>
      <c r="L336">
        <f>_xlfn.XLOOKUP(E336, Product_Master!$A$2:$A$101, Product_Master!$E$2:$E$101)</f>
        <v>15000</v>
      </c>
      <c r="M336">
        <f t="shared" si="26"/>
        <v>30000</v>
      </c>
      <c r="N336">
        <f t="shared" si="27"/>
        <v>24000</v>
      </c>
      <c r="O336">
        <f t="shared" si="28"/>
        <v>6000</v>
      </c>
      <c r="P336" s="3">
        <f t="shared" si="29"/>
        <v>0.2</v>
      </c>
      <c r="Q336" s="3" t="str">
        <v>Low Profit</v>
      </c>
    </row>
    <row r="337" spans="1:17" x14ac:dyDescent="0.3">
      <c r="A337" t="s">
        <v>784</v>
      </c>
      <c r="B337" s="2">
        <v>45830</v>
      </c>
      <c r="C337" s="2" t="str">
        <f t="shared" si="25"/>
        <v>June</v>
      </c>
      <c r="D337" t="s">
        <v>100</v>
      </c>
      <c r="E337" t="s">
        <v>396</v>
      </c>
      <c r="F337">
        <v>5</v>
      </c>
      <c r="G337" t="s">
        <v>47</v>
      </c>
      <c r="H337" t="s">
        <v>14</v>
      </c>
      <c r="I337" t="s">
        <v>335</v>
      </c>
      <c r="J337" t="str">
        <f>_xlfn.XLOOKUP(E337, Product_Master!$A$2:$A$101, Product_Master!$C$2:$C$101)</f>
        <v>Accessories</v>
      </c>
      <c r="K337">
        <f>_xlfn.XLOOKUP(E337, Product_Master!$A$2:$A$101, Product_Master!$D$2:$D$101)</f>
        <v>900</v>
      </c>
      <c r="L337">
        <f>_xlfn.XLOOKUP(E337, Product_Master!$A$2:$A$101, Product_Master!$E$2:$E$101)</f>
        <v>1500</v>
      </c>
      <c r="M337">
        <f t="shared" si="26"/>
        <v>7500</v>
      </c>
      <c r="N337">
        <f t="shared" si="27"/>
        <v>4500</v>
      </c>
      <c r="O337">
        <f t="shared" si="28"/>
        <v>3000</v>
      </c>
      <c r="P337" s="3">
        <f t="shared" si="29"/>
        <v>0.4</v>
      </c>
      <c r="Q337" s="3" t="str">
        <v>High Profit</v>
      </c>
    </row>
    <row r="338" spans="1:17" x14ac:dyDescent="0.3">
      <c r="A338" t="s">
        <v>785</v>
      </c>
      <c r="B338" s="2">
        <v>45888</v>
      </c>
      <c r="C338" s="2" t="str">
        <f t="shared" si="25"/>
        <v>August</v>
      </c>
      <c r="D338" t="s">
        <v>114</v>
      </c>
      <c r="E338" t="s">
        <v>405</v>
      </c>
      <c r="F338">
        <v>1</v>
      </c>
      <c r="G338" t="s">
        <v>12</v>
      </c>
      <c r="H338" t="s">
        <v>14</v>
      </c>
      <c r="I338" t="s">
        <v>332</v>
      </c>
      <c r="J338" t="str">
        <f>_xlfn.XLOOKUP(E338, Product_Master!$A$2:$A$101, Product_Master!$C$2:$C$101)</f>
        <v>Accessories</v>
      </c>
      <c r="K338">
        <f>_xlfn.XLOOKUP(E338, Product_Master!$A$2:$A$101, Product_Master!$D$2:$D$101)</f>
        <v>500</v>
      </c>
      <c r="L338">
        <f>_xlfn.XLOOKUP(E338, Product_Master!$A$2:$A$101, Product_Master!$E$2:$E$101)</f>
        <v>800</v>
      </c>
      <c r="M338">
        <f t="shared" si="26"/>
        <v>800</v>
      </c>
      <c r="N338">
        <f t="shared" si="27"/>
        <v>500</v>
      </c>
      <c r="O338">
        <f t="shared" si="28"/>
        <v>300</v>
      </c>
      <c r="P338" s="3">
        <f t="shared" si="29"/>
        <v>0.375</v>
      </c>
      <c r="Q338" s="3" t="str">
        <v>High Profit</v>
      </c>
    </row>
    <row r="339" spans="1:17" x14ac:dyDescent="0.3">
      <c r="A339" t="s">
        <v>786</v>
      </c>
      <c r="B339" s="2">
        <v>45787</v>
      </c>
      <c r="C339" s="2" t="str">
        <f t="shared" si="25"/>
        <v>May</v>
      </c>
      <c r="D339" t="s">
        <v>318</v>
      </c>
      <c r="E339" t="s">
        <v>388</v>
      </c>
      <c r="F339">
        <v>5</v>
      </c>
      <c r="G339" t="s">
        <v>16</v>
      </c>
      <c r="H339" t="s">
        <v>31</v>
      </c>
      <c r="I339" t="s">
        <v>344</v>
      </c>
      <c r="J339" t="str">
        <f>_xlfn.XLOOKUP(E339, Product_Master!$A$2:$A$101, Product_Master!$C$2:$C$101)</f>
        <v>Accessories</v>
      </c>
      <c r="K339">
        <f>_xlfn.XLOOKUP(E339, Product_Master!$A$2:$A$101, Product_Master!$D$2:$D$101)</f>
        <v>2000</v>
      </c>
      <c r="L339">
        <f>_xlfn.XLOOKUP(E339, Product_Master!$A$2:$A$101, Product_Master!$E$2:$E$101)</f>
        <v>3000</v>
      </c>
      <c r="M339">
        <f t="shared" si="26"/>
        <v>15000</v>
      </c>
      <c r="N339">
        <f t="shared" si="27"/>
        <v>10000</v>
      </c>
      <c r="O339">
        <f t="shared" si="28"/>
        <v>5000</v>
      </c>
      <c r="P339" s="3">
        <f t="shared" si="29"/>
        <v>0.33333333333333331</v>
      </c>
      <c r="Q339" s="3" t="str">
        <v>High Profit</v>
      </c>
    </row>
    <row r="340" spans="1:17" x14ac:dyDescent="0.3">
      <c r="A340" t="s">
        <v>787</v>
      </c>
      <c r="B340" s="2">
        <v>45789</v>
      </c>
      <c r="C340" s="2" t="str">
        <f t="shared" si="25"/>
        <v>May</v>
      </c>
      <c r="D340" t="s">
        <v>276</v>
      </c>
      <c r="E340" t="s">
        <v>345</v>
      </c>
      <c r="F340">
        <v>4</v>
      </c>
      <c r="G340" t="s">
        <v>24</v>
      </c>
      <c r="H340" t="s">
        <v>20</v>
      </c>
      <c r="I340" t="s">
        <v>346</v>
      </c>
      <c r="J340" t="str">
        <f>_xlfn.XLOOKUP(E340, Product_Master!$A$2:$A$101, Product_Master!$C$2:$C$101)</f>
        <v>Accessories</v>
      </c>
      <c r="K340">
        <f>_xlfn.XLOOKUP(E340, Product_Master!$A$2:$A$101, Product_Master!$D$2:$D$101)</f>
        <v>9000</v>
      </c>
      <c r="L340">
        <f>_xlfn.XLOOKUP(E340, Product_Master!$A$2:$A$101, Product_Master!$E$2:$E$101)</f>
        <v>12000</v>
      </c>
      <c r="M340">
        <f t="shared" si="26"/>
        <v>48000</v>
      </c>
      <c r="N340">
        <f t="shared" si="27"/>
        <v>36000</v>
      </c>
      <c r="O340">
        <f t="shared" si="28"/>
        <v>12000</v>
      </c>
      <c r="P340" s="3">
        <f t="shared" si="29"/>
        <v>0.25</v>
      </c>
      <c r="Q340" s="3" t="str">
        <v>High Profit</v>
      </c>
    </row>
    <row r="341" spans="1:17" x14ac:dyDescent="0.3">
      <c r="A341" t="s">
        <v>788</v>
      </c>
      <c r="B341" s="2">
        <v>45728</v>
      </c>
      <c r="C341" s="2" t="str">
        <f t="shared" si="25"/>
        <v>March</v>
      </c>
      <c r="D341" t="s">
        <v>94</v>
      </c>
      <c r="E341" t="s">
        <v>360</v>
      </c>
      <c r="F341">
        <v>3</v>
      </c>
      <c r="G341" t="s">
        <v>7</v>
      </c>
      <c r="H341" t="s">
        <v>17</v>
      </c>
      <c r="I341" t="s">
        <v>340</v>
      </c>
      <c r="J341" t="str">
        <f>_xlfn.XLOOKUP(E341, Product_Master!$A$2:$A$101, Product_Master!$C$2:$C$101)</f>
        <v>Electronics</v>
      </c>
      <c r="K341">
        <f>_xlfn.XLOOKUP(E341, Product_Master!$A$2:$A$101, Product_Master!$D$2:$D$101)</f>
        <v>42000</v>
      </c>
      <c r="L341">
        <f>_xlfn.XLOOKUP(E341, Product_Master!$A$2:$A$101, Product_Master!$E$2:$E$101)</f>
        <v>50000</v>
      </c>
      <c r="M341">
        <f t="shared" si="26"/>
        <v>150000</v>
      </c>
      <c r="N341">
        <f t="shared" si="27"/>
        <v>126000</v>
      </c>
      <c r="O341">
        <f t="shared" si="28"/>
        <v>24000</v>
      </c>
      <c r="P341" s="3">
        <f t="shared" si="29"/>
        <v>0.16</v>
      </c>
      <c r="Q341" s="3" t="str">
        <v>Low Profit</v>
      </c>
    </row>
    <row r="342" spans="1:17" x14ac:dyDescent="0.3">
      <c r="A342" t="s">
        <v>789</v>
      </c>
      <c r="B342" s="2">
        <v>45788</v>
      </c>
      <c r="C342" s="2" t="str">
        <f t="shared" si="25"/>
        <v>May</v>
      </c>
      <c r="D342" t="s">
        <v>122</v>
      </c>
      <c r="E342" t="s">
        <v>367</v>
      </c>
      <c r="F342">
        <v>4</v>
      </c>
      <c r="G342" t="s">
        <v>45</v>
      </c>
      <c r="H342" t="s">
        <v>5</v>
      </c>
      <c r="I342" t="s">
        <v>344</v>
      </c>
      <c r="J342" t="str">
        <f>_xlfn.XLOOKUP(E342, Product_Master!$A$2:$A$101, Product_Master!$C$2:$C$101)</f>
        <v>Accessories</v>
      </c>
      <c r="K342">
        <f>_xlfn.XLOOKUP(E342, Product_Master!$A$2:$A$101, Product_Master!$D$2:$D$101)</f>
        <v>2000</v>
      </c>
      <c r="L342">
        <f>_xlfn.XLOOKUP(E342, Product_Master!$A$2:$A$101, Product_Master!$E$2:$E$101)</f>
        <v>3000</v>
      </c>
      <c r="M342">
        <f t="shared" si="26"/>
        <v>12000</v>
      </c>
      <c r="N342">
        <f t="shared" si="27"/>
        <v>8000</v>
      </c>
      <c r="O342">
        <f t="shared" si="28"/>
        <v>4000</v>
      </c>
      <c r="P342" s="3">
        <f t="shared" si="29"/>
        <v>0.33333333333333331</v>
      </c>
      <c r="Q342" s="3" t="str">
        <v>High Profit</v>
      </c>
    </row>
    <row r="343" spans="1:17" x14ac:dyDescent="0.3">
      <c r="A343" t="s">
        <v>790</v>
      </c>
      <c r="B343" s="2">
        <v>45933</v>
      </c>
      <c r="C343" s="2" t="str">
        <f t="shared" si="25"/>
        <v>October</v>
      </c>
      <c r="D343" t="s">
        <v>95</v>
      </c>
      <c r="E343" t="s">
        <v>414</v>
      </c>
      <c r="F343">
        <v>2</v>
      </c>
      <c r="G343" t="s">
        <v>24</v>
      </c>
      <c r="H343" t="s">
        <v>5</v>
      </c>
      <c r="I343" t="s">
        <v>332</v>
      </c>
      <c r="J343" t="str">
        <f>_xlfn.XLOOKUP(E343, Product_Master!$A$2:$A$101, Product_Master!$C$2:$C$101)</f>
        <v>Accessories</v>
      </c>
      <c r="K343">
        <f>_xlfn.XLOOKUP(E343, Product_Master!$A$2:$A$101, Product_Master!$D$2:$D$101)</f>
        <v>500</v>
      </c>
      <c r="L343">
        <f>_xlfn.XLOOKUP(E343, Product_Master!$A$2:$A$101, Product_Master!$E$2:$E$101)</f>
        <v>800</v>
      </c>
      <c r="M343">
        <f t="shared" si="26"/>
        <v>1600</v>
      </c>
      <c r="N343">
        <f t="shared" si="27"/>
        <v>1000</v>
      </c>
      <c r="O343">
        <f t="shared" si="28"/>
        <v>600</v>
      </c>
      <c r="P343" s="3">
        <f t="shared" si="29"/>
        <v>0.375</v>
      </c>
      <c r="Q343" s="3" t="str">
        <v>High Profit</v>
      </c>
    </row>
    <row r="344" spans="1:17" x14ac:dyDescent="0.3">
      <c r="A344" t="s">
        <v>791</v>
      </c>
      <c r="B344" s="2">
        <v>46007</v>
      </c>
      <c r="C344" s="2" t="str">
        <f t="shared" si="25"/>
        <v>December</v>
      </c>
      <c r="D344" t="s">
        <v>273</v>
      </c>
      <c r="E344" t="s">
        <v>425</v>
      </c>
      <c r="F344">
        <v>3</v>
      </c>
      <c r="G344" t="s">
        <v>24</v>
      </c>
      <c r="H344" t="s">
        <v>1455</v>
      </c>
      <c r="I344" t="s">
        <v>337</v>
      </c>
      <c r="J344" t="str">
        <f>_xlfn.XLOOKUP(E344, Product_Master!$A$2:$A$101, Product_Master!$C$2:$C$101)</f>
        <v>Electronics</v>
      </c>
      <c r="K344">
        <f>_xlfn.XLOOKUP(E344, Product_Master!$A$2:$A$101, Product_Master!$D$2:$D$101)</f>
        <v>15000</v>
      </c>
      <c r="L344">
        <f>_xlfn.XLOOKUP(E344, Product_Master!$A$2:$A$101, Product_Master!$E$2:$E$101)</f>
        <v>18000</v>
      </c>
      <c r="M344">
        <f t="shared" si="26"/>
        <v>54000</v>
      </c>
      <c r="N344">
        <f t="shared" si="27"/>
        <v>45000</v>
      </c>
      <c r="O344">
        <f t="shared" si="28"/>
        <v>9000</v>
      </c>
      <c r="P344" s="3">
        <f t="shared" si="29"/>
        <v>0.16666666666666666</v>
      </c>
      <c r="Q344" s="3" t="str">
        <v>Low Profit</v>
      </c>
    </row>
    <row r="345" spans="1:17" x14ac:dyDescent="0.3">
      <c r="A345" t="s">
        <v>792</v>
      </c>
      <c r="B345" s="2">
        <v>46002</v>
      </c>
      <c r="C345" s="2" t="str">
        <f t="shared" si="25"/>
        <v>December</v>
      </c>
      <c r="D345" t="s">
        <v>469</v>
      </c>
      <c r="E345" t="s">
        <v>361</v>
      </c>
      <c r="F345">
        <v>4</v>
      </c>
      <c r="G345" t="s">
        <v>1454</v>
      </c>
      <c r="H345" t="s">
        <v>1455</v>
      </c>
      <c r="I345" t="s">
        <v>344</v>
      </c>
      <c r="J345" t="str">
        <f>_xlfn.XLOOKUP(E345, Product_Master!$A$2:$A$101, Product_Master!$C$2:$C$101)</f>
        <v>Accessories</v>
      </c>
      <c r="K345">
        <f>_xlfn.XLOOKUP(E345, Product_Master!$A$2:$A$101, Product_Master!$D$2:$D$101)</f>
        <v>2000</v>
      </c>
      <c r="L345">
        <f>_xlfn.XLOOKUP(E345, Product_Master!$A$2:$A$101, Product_Master!$E$2:$E$101)</f>
        <v>3000</v>
      </c>
      <c r="M345">
        <f t="shared" si="26"/>
        <v>12000</v>
      </c>
      <c r="N345">
        <f t="shared" si="27"/>
        <v>8000</v>
      </c>
      <c r="O345">
        <f t="shared" si="28"/>
        <v>4000</v>
      </c>
      <c r="P345" s="3">
        <f t="shared" si="29"/>
        <v>0.33333333333333331</v>
      </c>
      <c r="Q345" s="3" t="str">
        <v>High Profit</v>
      </c>
    </row>
    <row r="346" spans="1:17" x14ac:dyDescent="0.3">
      <c r="A346" t="s">
        <v>793</v>
      </c>
      <c r="B346" s="2">
        <v>45904</v>
      </c>
      <c r="C346" s="2" t="str">
        <f t="shared" si="25"/>
        <v>September</v>
      </c>
      <c r="D346" t="s">
        <v>62</v>
      </c>
      <c r="E346" t="s">
        <v>441</v>
      </c>
      <c r="F346">
        <v>1</v>
      </c>
      <c r="G346" t="s">
        <v>37</v>
      </c>
      <c r="H346" t="s">
        <v>8</v>
      </c>
      <c r="I346" t="s">
        <v>346</v>
      </c>
      <c r="J346" t="str">
        <f>_xlfn.XLOOKUP(E346, Product_Master!$A$2:$A$101, Product_Master!$C$2:$C$101)</f>
        <v>Accessories</v>
      </c>
      <c r="K346">
        <f>_xlfn.XLOOKUP(E346, Product_Master!$A$2:$A$101, Product_Master!$D$2:$D$101)</f>
        <v>9000</v>
      </c>
      <c r="L346">
        <f>_xlfn.XLOOKUP(E346, Product_Master!$A$2:$A$101, Product_Master!$E$2:$E$101)</f>
        <v>12000</v>
      </c>
      <c r="M346">
        <f t="shared" si="26"/>
        <v>12000</v>
      </c>
      <c r="N346">
        <f t="shared" si="27"/>
        <v>9000</v>
      </c>
      <c r="O346">
        <f t="shared" si="28"/>
        <v>3000</v>
      </c>
      <c r="P346" s="3">
        <f t="shared" si="29"/>
        <v>0.25</v>
      </c>
      <c r="Q346" s="3" t="str">
        <v>High Profit</v>
      </c>
    </row>
    <row r="347" spans="1:17" x14ac:dyDescent="0.3">
      <c r="A347" t="s">
        <v>794</v>
      </c>
      <c r="B347" s="2">
        <v>45973</v>
      </c>
      <c r="C347" s="2" t="str">
        <f t="shared" si="25"/>
        <v>November</v>
      </c>
      <c r="D347" t="s">
        <v>30</v>
      </c>
      <c r="E347" t="s">
        <v>415</v>
      </c>
      <c r="F347">
        <v>2</v>
      </c>
      <c r="G347" t="s">
        <v>24</v>
      </c>
      <c r="H347" t="s">
        <v>31</v>
      </c>
      <c r="I347" t="s">
        <v>329</v>
      </c>
      <c r="J347" t="str">
        <f>_xlfn.XLOOKUP(E347, Product_Master!$A$2:$A$101, Product_Master!$C$2:$C$101)</f>
        <v>Electronics</v>
      </c>
      <c r="K347">
        <f>_xlfn.XLOOKUP(E347, Product_Master!$A$2:$A$101, Product_Master!$D$2:$D$101)</f>
        <v>20000</v>
      </c>
      <c r="L347">
        <f>_xlfn.XLOOKUP(E347, Product_Master!$A$2:$A$101, Product_Master!$E$2:$E$101)</f>
        <v>25000</v>
      </c>
      <c r="M347">
        <f t="shared" si="26"/>
        <v>50000</v>
      </c>
      <c r="N347">
        <f t="shared" si="27"/>
        <v>40000</v>
      </c>
      <c r="O347">
        <f t="shared" si="28"/>
        <v>10000</v>
      </c>
      <c r="P347" s="3">
        <f t="shared" si="29"/>
        <v>0.2</v>
      </c>
      <c r="Q347" s="3" t="str">
        <v>Low Profit</v>
      </c>
    </row>
    <row r="348" spans="1:17" x14ac:dyDescent="0.3">
      <c r="A348" t="s">
        <v>795</v>
      </c>
      <c r="B348" s="2">
        <v>45925</v>
      </c>
      <c r="C348" s="2" t="str">
        <f t="shared" si="25"/>
        <v>September</v>
      </c>
      <c r="D348" t="s">
        <v>288</v>
      </c>
      <c r="E348" t="s">
        <v>366</v>
      </c>
      <c r="F348">
        <v>3</v>
      </c>
      <c r="G348" t="s">
        <v>29</v>
      </c>
      <c r="H348" t="s">
        <v>20</v>
      </c>
      <c r="I348" t="s">
        <v>340</v>
      </c>
      <c r="J348" t="str">
        <f>_xlfn.XLOOKUP(E348, Product_Master!$A$2:$A$101, Product_Master!$C$2:$C$101)</f>
        <v>Electronics</v>
      </c>
      <c r="K348">
        <f>_xlfn.XLOOKUP(E348, Product_Master!$A$2:$A$101, Product_Master!$D$2:$D$101)</f>
        <v>42000</v>
      </c>
      <c r="L348">
        <f>_xlfn.XLOOKUP(E348, Product_Master!$A$2:$A$101, Product_Master!$E$2:$E$101)</f>
        <v>50000</v>
      </c>
      <c r="M348">
        <f t="shared" si="26"/>
        <v>150000</v>
      </c>
      <c r="N348">
        <f t="shared" si="27"/>
        <v>126000</v>
      </c>
      <c r="O348">
        <f t="shared" si="28"/>
        <v>24000</v>
      </c>
      <c r="P348" s="3">
        <f t="shared" si="29"/>
        <v>0.16</v>
      </c>
      <c r="Q348" s="3" t="str">
        <v>Low Profit</v>
      </c>
    </row>
    <row r="349" spans="1:17" x14ac:dyDescent="0.3">
      <c r="A349" t="s">
        <v>796</v>
      </c>
      <c r="B349" s="2">
        <v>45671</v>
      </c>
      <c r="C349" s="2" t="str">
        <f t="shared" si="25"/>
        <v>January</v>
      </c>
      <c r="D349" t="s">
        <v>111</v>
      </c>
      <c r="E349" t="s">
        <v>402</v>
      </c>
      <c r="F349">
        <v>4</v>
      </c>
      <c r="G349" t="s">
        <v>10</v>
      </c>
      <c r="H349" t="s">
        <v>31</v>
      </c>
      <c r="I349" t="s">
        <v>332</v>
      </c>
      <c r="J349" t="str">
        <f>_xlfn.XLOOKUP(E349, Product_Master!$A$2:$A$101, Product_Master!$C$2:$C$101)</f>
        <v>Accessories</v>
      </c>
      <c r="K349">
        <f>_xlfn.XLOOKUP(E349, Product_Master!$A$2:$A$101, Product_Master!$D$2:$D$101)</f>
        <v>500</v>
      </c>
      <c r="L349">
        <f>_xlfn.XLOOKUP(E349, Product_Master!$A$2:$A$101, Product_Master!$E$2:$E$101)</f>
        <v>800</v>
      </c>
      <c r="M349">
        <f t="shared" si="26"/>
        <v>3200</v>
      </c>
      <c r="N349">
        <f t="shared" si="27"/>
        <v>2000</v>
      </c>
      <c r="O349">
        <f t="shared" si="28"/>
        <v>1200</v>
      </c>
      <c r="P349" s="3">
        <f t="shared" si="29"/>
        <v>0.375</v>
      </c>
      <c r="Q349" s="3" t="str">
        <v>High Profit</v>
      </c>
    </row>
    <row r="350" spans="1:17" x14ac:dyDescent="0.3">
      <c r="A350" t="s">
        <v>797</v>
      </c>
      <c r="B350" s="2">
        <v>45980</v>
      </c>
      <c r="C350" s="2" t="str">
        <f t="shared" si="25"/>
        <v>November</v>
      </c>
      <c r="D350" t="s">
        <v>148</v>
      </c>
      <c r="E350" t="s">
        <v>360</v>
      </c>
      <c r="F350">
        <v>4</v>
      </c>
      <c r="G350" t="s">
        <v>4</v>
      </c>
      <c r="H350" t="s">
        <v>5</v>
      </c>
      <c r="I350" t="s">
        <v>340</v>
      </c>
      <c r="J350" t="str">
        <f>_xlfn.XLOOKUP(E350, Product_Master!$A$2:$A$101, Product_Master!$C$2:$C$101)</f>
        <v>Electronics</v>
      </c>
      <c r="K350">
        <f>_xlfn.XLOOKUP(E350, Product_Master!$A$2:$A$101, Product_Master!$D$2:$D$101)</f>
        <v>42000</v>
      </c>
      <c r="L350">
        <f>_xlfn.XLOOKUP(E350, Product_Master!$A$2:$A$101, Product_Master!$E$2:$E$101)</f>
        <v>50000</v>
      </c>
      <c r="M350">
        <f t="shared" si="26"/>
        <v>200000</v>
      </c>
      <c r="N350">
        <f t="shared" si="27"/>
        <v>168000</v>
      </c>
      <c r="O350">
        <f t="shared" si="28"/>
        <v>32000</v>
      </c>
      <c r="P350" s="3">
        <f t="shared" si="29"/>
        <v>0.16</v>
      </c>
      <c r="Q350" s="3" t="str">
        <v>Low Profit</v>
      </c>
    </row>
    <row r="351" spans="1:17" x14ac:dyDescent="0.3">
      <c r="A351" t="s">
        <v>798</v>
      </c>
      <c r="B351" s="2">
        <v>45857</v>
      </c>
      <c r="C351" s="2" t="str">
        <f t="shared" si="25"/>
        <v>July</v>
      </c>
      <c r="D351" t="s">
        <v>119</v>
      </c>
      <c r="E351" t="s">
        <v>359</v>
      </c>
      <c r="F351">
        <v>2</v>
      </c>
      <c r="G351" t="s">
        <v>24</v>
      </c>
      <c r="H351" t="s">
        <v>14</v>
      </c>
      <c r="I351" t="s">
        <v>329</v>
      </c>
      <c r="J351" t="str">
        <f>_xlfn.XLOOKUP(E351, Product_Master!$A$2:$A$101, Product_Master!$C$2:$C$101)</f>
        <v>Electronics</v>
      </c>
      <c r="K351">
        <f>_xlfn.XLOOKUP(E351, Product_Master!$A$2:$A$101, Product_Master!$D$2:$D$101)</f>
        <v>20000</v>
      </c>
      <c r="L351">
        <f>_xlfn.XLOOKUP(E351, Product_Master!$A$2:$A$101, Product_Master!$E$2:$E$101)</f>
        <v>25000</v>
      </c>
      <c r="M351">
        <f t="shared" si="26"/>
        <v>50000</v>
      </c>
      <c r="N351">
        <f t="shared" si="27"/>
        <v>40000</v>
      </c>
      <c r="O351">
        <f t="shared" si="28"/>
        <v>10000</v>
      </c>
      <c r="P351" s="3">
        <f t="shared" si="29"/>
        <v>0.2</v>
      </c>
      <c r="Q351" s="3" t="str">
        <v>Low Profit</v>
      </c>
    </row>
    <row r="352" spans="1:17" x14ac:dyDescent="0.3">
      <c r="A352" t="s">
        <v>799</v>
      </c>
      <c r="B352" s="2">
        <v>45768</v>
      </c>
      <c r="C352" s="2" t="str">
        <f t="shared" si="25"/>
        <v>April</v>
      </c>
      <c r="D352" t="s">
        <v>321</v>
      </c>
      <c r="E352" t="s">
        <v>383</v>
      </c>
      <c r="F352">
        <v>1</v>
      </c>
      <c r="G352" t="s">
        <v>12</v>
      </c>
      <c r="H352" t="s">
        <v>1455</v>
      </c>
      <c r="I352" t="s">
        <v>335</v>
      </c>
      <c r="J352" t="str">
        <f>_xlfn.XLOOKUP(E352, Product_Master!$A$2:$A$101, Product_Master!$C$2:$C$101)</f>
        <v>Accessories</v>
      </c>
      <c r="K352">
        <f>_xlfn.XLOOKUP(E352, Product_Master!$A$2:$A$101, Product_Master!$D$2:$D$101)</f>
        <v>900</v>
      </c>
      <c r="L352">
        <f>_xlfn.XLOOKUP(E352, Product_Master!$A$2:$A$101, Product_Master!$E$2:$E$101)</f>
        <v>1500</v>
      </c>
      <c r="M352">
        <f t="shared" si="26"/>
        <v>1500</v>
      </c>
      <c r="N352">
        <f t="shared" si="27"/>
        <v>900</v>
      </c>
      <c r="O352">
        <f t="shared" si="28"/>
        <v>600</v>
      </c>
      <c r="P352" s="3">
        <f t="shared" si="29"/>
        <v>0.4</v>
      </c>
      <c r="Q352" s="3" t="str">
        <v>High Profit</v>
      </c>
    </row>
    <row r="353" spans="1:17" x14ac:dyDescent="0.3">
      <c r="A353" t="s">
        <v>800</v>
      </c>
      <c r="B353" s="2">
        <v>45786</v>
      </c>
      <c r="C353" s="2" t="str">
        <f t="shared" si="25"/>
        <v>May</v>
      </c>
      <c r="D353" t="s">
        <v>74</v>
      </c>
      <c r="E353" t="s">
        <v>402</v>
      </c>
      <c r="F353">
        <v>5</v>
      </c>
      <c r="G353" t="s">
        <v>19</v>
      </c>
      <c r="H353" t="s">
        <v>14</v>
      </c>
      <c r="I353" t="s">
        <v>332</v>
      </c>
      <c r="J353" t="str">
        <f>_xlfn.XLOOKUP(E353, Product_Master!$A$2:$A$101, Product_Master!$C$2:$C$101)</f>
        <v>Accessories</v>
      </c>
      <c r="K353">
        <f>_xlfn.XLOOKUP(E353, Product_Master!$A$2:$A$101, Product_Master!$D$2:$D$101)</f>
        <v>500</v>
      </c>
      <c r="L353">
        <f>_xlfn.XLOOKUP(E353, Product_Master!$A$2:$A$101, Product_Master!$E$2:$E$101)</f>
        <v>800</v>
      </c>
      <c r="M353">
        <f t="shared" si="26"/>
        <v>4000</v>
      </c>
      <c r="N353">
        <f t="shared" si="27"/>
        <v>2500</v>
      </c>
      <c r="O353">
        <f t="shared" si="28"/>
        <v>1500</v>
      </c>
      <c r="P353" s="3">
        <f t="shared" si="29"/>
        <v>0.375</v>
      </c>
      <c r="Q353" s="3" t="str">
        <v>High Profit</v>
      </c>
    </row>
    <row r="354" spans="1:17" x14ac:dyDescent="0.3">
      <c r="A354" t="s">
        <v>801</v>
      </c>
      <c r="B354" s="2">
        <v>45799</v>
      </c>
      <c r="C354" s="2" t="str">
        <f t="shared" si="25"/>
        <v>May</v>
      </c>
      <c r="D354" t="s">
        <v>315</v>
      </c>
      <c r="E354" t="s">
        <v>433</v>
      </c>
      <c r="F354">
        <v>4</v>
      </c>
      <c r="G354" t="s">
        <v>29</v>
      </c>
      <c r="H354" t="s">
        <v>14</v>
      </c>
      <c r="I354" t="s">
        <v>353</v>
      </c>
      <c r="J354" t="str">
        <f>_xlfn.XLOOKUP(E354, Product_Master!$A$2:$A$101, Product_Master!$C$2:$C$101)</f>
        <v>Electronics</v>
      </c>
      <c r="K354">
        <f>_xlfn.XLOOKUP(E354, Product_Master!$A$2:$A$101, Product_Master!$D$2:$D$101)</f>
        <v>12000</v>
      </c>
      <c r="L354">
        <f>_xlfn.XLOOKUP(E354, Product_Master!$A$2:$A$101, Product_Master!$E$2:$E$101)</f>
        <v>15000</v>
      </c>
      <c r="M354">
        <f t="shared" si="26"/>
        <v>60000</v>
      </c>
      <c r="N354">
        <f t="shared" si="27"/>
        <v>48000</v>
      </c>
      <c r="O354">
        <f t="shared" si="28"/>
        <v>12000</v>
      </c>
      <c r="P354" s="3">
        <f t="shared" si="29"/>
        <v>0.2</v>
      </c>
      <c r="Q354" s="3" t="str">
        <v>Low Profit</v>
      </c>
    </row>
    <row r="355" spans="1:17" x14ac:dyDescent="0.3">
      <c r="A355" t="s">
        <v>802</v>
      </c>
      <c r="B355" s="2">
        <v>45795</v>
      </c>
      <c r="C355" s="2" t="str">
        <f t="shared" si="25"/>
        <v>May</v>
      </c>
      <c r="D355" t="s">
        <v>203</v>
      </c>
      <c r="E355" t="s">
        <v>400</v>
      </c>
      <c r="F355">
        <v>5</v>
      </c>
      <c r="G355" t="s">
        <v>10</v>
      </c>
      <c r="H355" t="s">
        <v>20</v>
      </c>
      <c r="I355" t="s">
        <v>335</v>
      </c>
      <c r="J355" t="str">
        <f>_xlfn.XLOOKUP(E355, Product_Master!$A$2:$A$101, Product_Master!$C$2:$C$101)</f>
        <v>Accessories</v>
      </c>
      <c r="K355">
        <f>_xlfn.XLOOKUP(E355, Product_Master!$A$2:$A$101, Product_Master!$D$2:$D$101)</f>
        <v>900</v>
      </c>
      <c r="L355">
        <f>_xlfn.XLOOKUP(E355, Product_Master!$A$2:$A$101, Product_Master!$E$2:$E$101)</f>
        <v>1500</v>
      </c>
      <c r="M355">
        <f t="shared" si="26"/>
        <v>7500</v>
      </c>
      <c r="N355">
        <f t="shared" si="27"/>
        <v>4500</v>
      </c>
      <c r="O355">
        <f t="shared" si="28"/>
        <v>3000</v>
      </c>
      <c r="P355" s="3">
        <f t="shared" si="29"/>
        <v>0.4</v>
      </c>
      <c r="Q355" s="3" t="str">
        <v>High Profit</v>
      </c>
    </row>
    <row r="356" spans="1:17" x14ac:dyDescent="0.3">
      <c r="A356" t="s">
        <v>803</v>
      </c>
      <c r="B356" s="2">
        <v>45874</v>
      </c>
      <c r="C356" s="2" t="str">
        <f t="shared" si="25"/>
        <v>August</v>
      </c>
      <c r="D356" t="s">
        <v>276</v>
      </c>
      <c r="E356" t="s">
        <v>413</v>
      </c>
      <c r="F356">
        <v>4</v>
      </c>
      <c r="G356" t="s">
        <v>24</v>
      </c>
      <c r="H356" t="s">
        <v>20</v>
      </c>
      <c r="I356" t="s">
        <v>340</v>
      </c>
      <c r="J356" t="str">
        <f>_xlfn.XLOOKUP(E356, Product_Master!$A$2:$A$101, Product_Master!$C$2:$C$101)</f>
        <v>Electronics</v>
      </c>
      <c r="K356">
        <f>_xlfn.XLOOKUP(E356, Product_Master!$A$2:$A$101, Product_Master!$D$2:$D$101)</f>
        <v>42000</v>
      </c>
      <c r="L356">
        <f>_xlfn.XLOOKUP(E356, Product_Master!$A$2:$A$101, Product_Master!$E$2:$E$101)</f>
        <v>50000</v>
      </c>
      <c r="M356">
        <f t="shared" si="26"/>
        <v>200000</v>
      </c>
      <c r="N356">
        <f t="shared" si="27"/>
        <v>168000</v>
      </c>
      <c r="O356">
        <f t="shared" si="28"/>
        <v>32000</v>
      </c>
      <c r="P356" s="3">
        <f t="shared" si="29"/>
        <v>0.16</v>
      </c>
      <c r="Q356" s="3" t="str">
        <v>Low Profit</v>
      </c>
    </row>
    <row r="357" spans="1:17" x14ac:dyDescent="0.3">
      <c r="A357" t="s">
        <v>804</v>
      </c>
      <c r="B357" s="2">
        <v>45829</v>
      </c>
      <c r="C357" s="2" t="str">
        <f t="shared" si="25"/>
        <v>June</v>
      </c>
      <c r="D357" t="s">
        <v>274</v>
      </c>
      <c r="E357" t="s">
        <v>347</v>
      </c>
      <c r="F357">
        <v>5</v>
      </c>
      <c r="G357" t="s">
        <v>22</v>
      </c>
      <c r="H357" t="s">
        <v>5</v>
      </c>
      <c r="I357" t="s">
        <v>335</v>
      </c>
      <c r="J357" t="str">
        <f>_xlfn.XLOOKUP(E357, Product_Master!$A$2:$A$101, Product_Master!$C$2:$C$101)</f>
        <v>Accessories</v>
      </c>
      <c r="K357">
        <f>_xlfn.XLOOKUP(E357, Product_Master!$A$2:$A$101, Product_Master!$D$2:$D$101)</f>
        <v>900</v>
      </c>
      <c r="L357">
        <f>_xlfn.XLOOKUP(E357, Product_Master!$A$2:$A$101, Product_Master!$E$2:$E$101)</f>
        <v>1500</v>
      </c>
      <c r="M357">
        <f t="shared" si="26"/>
        <v>7500</v>
      </c>
      <c r="N357">
        <f t="shared" si="27"/>
        <v>4500</v>
      </c>
      <c r="O357">
        <f t="shared" si="28"/>
        <v>3000</v>
      </c>
      <c r="P357" s="3">
        <f t="shared" si="29"/>
        <v>0.4</v>
      </c>
      <c r="Q357" s="3" t="str">
        <v>High Profit</v>
      </c>
    </row>
    <row r="358" spans="1:17" x14ac:dyDescent="0.3">
      <c r="A358" t="s">
        <v>805</v>
      </c>
      <c r="B358" s="2">
        <v>45965</v>
      </c>
      <c r="C358" s="2" t="str">
        <f t="shared" si="25"/>
        <v>November</v>
      </c>
      <c r="D358" t="s">
        <v>170</v>
      </c>
      <c r="E358" t="s">
        <v>393</v>
      </c>
      <c r="F358">
        <v>2</v>
      </c>
      <c r="G358" t="s">
        <v>16</v>
      </c>
      <c r="H358" t="s">
        <v>14</v>
      </c>
      <c r="I358" t="s">
        <v>344</v>
      </c>
      <c r="J358" t="str">
        <f>_xlfn.XLOOKUP(E358, Product_Master!$A$2:$A$101, Product_Master!$C$2:$C$101)</f>
        <v>Accessories</v>
      </c>
      <c r="K358">
        <f>_xlfn.XLOOKUP(E358, Product_Master!$A$2:$A$101, Product_Master!$D$2:$D$101)</f>
        <v>2000</v>
      </c>
      <c r="L358">
        <f>_xlfn.XLOOKUP(E358, Product_Master!$A$2:$A$101, Product_Master!$E$2:$E$101)</f>
        <v>3000</v>
      </c>
      <c r="M358">
        <f t="shared" si="26"/>
        <v>6000</v>
      </c>
      <c r="N358">
        <f t="shared" si="27"/>
        <v>4000</v>
      </c>
      <c r="O358">
        <f t="shared" si="28"/>
        <v>2000</v>
      </c>
      <c r="P358" s="3">
        <f t="shared" si="29"/>
        <v>0.33333333333333331</v>
      </c>
      <c r="Q358" s="3" t="str">
        <v>High Profit</v>
      </c>
    </row>
    <row r="359" spans="1:17" x14ac:dyDescent="0.3">
      <c r="A359" t="s">
        <v>806</v>
      </c>
      <c r="B359" s="2">
        <v>45892</v>
      </c>
      <c r="C359" s="2" t="str">
        <f t="shared" si="25"/>
        <v>August</v>
      </c>
      <c r="D359" t="s">
        <v>169</v>
      </c>
      <c r="E359" t="s">
        <v>338</v>
      </c>
      <c r="F359">
        <v>2</v>
      </c>
      <c r="G359" t="s">
        <v>10</v>
      </c>
      <c r="H359" t="s">
        <v>5</v>
      </c>
      <c r="I359" t="s">
        <v>332</v>
      </c>
      <c r="J359" t="str">
        <f>_xlfn.XLOOKUP(E359, Product_Master!$A$2:$A$101, Product_Master!$C$2:$C$101)</f>
        <v>Accessories</v>
      </c>
      <c r="K359">
        <f>_xlfn.XLOOKUP(E359, Product_Master!$A$2:$A$101, Product_Master!$D$2:$D$101)</f>
        <v>500</v>
      </c>
      <c r="L359">
        <f>_xlfn.XLOOKUP(E359, Product_Master!$A$2:$A$101, Product_Master!$E$2:$E$101)</f>
        <v>800</v>
      </c>
      <c r="M359">
        <f t="shared" si="26"/>
        <v>1600</v>
      </c>
      <c r="N359">
        <f t="shared" si="27"/>
        <v>1000</v>
      </c>
      <c r="O359">
        <f t="shared" si="28"/>
        <v>600</v>
      </c>
      <c r="P359" s="3">
        <f t="shared" si="29"/>
        <v>0.375</v>
      </c>
      <c r="Q359" s="3" t="str">
        <v>High Profit</v>
      </c>
    </row>
    <row r="360" spans="1:17" x14ac:dyDescent="0.3">
      <c r="A360" t="s">
        <v>807</v>
      </c>
      <c r="B360" s="2">
        <v>45806</v>
      </c>
      <c r="C360" s="2" t="str">
        <f t="shared" si="25"/>
        <v>May</v>
      </c>
      <c r="D360" t="s">
        <v>137</v>
      </c>
      <c r="E360" t="s">
        <v>442</v>
      </c>
      <c r="F360">
        <v>4</v>
      </c>
      <c r="G360" t="s">
        <v>4</v>
      </c>
      <c r="H360" t="s">
        <v>5</v>
      </c>
      <c r="I360" t="s">
        <v>335</v>
      </c>
      <c r="J360" t="str">
        <f>_xlfn.XLOOKUP(E360, Product_Master!$A$2:$A$101, Product_Master!$C$2:$C$101)</f>
        <v>Accessories</v>
      </c>
      <c r="K360">
        <f>_xlfn.XLOOKUP(E360, Product_Master!$A$2:$A$101, Product_Master!$D$2:$D$101)</f>
        <v>900</v>
      </c>
      <c r="L360">
        <f>_xlfn.XLOOKUP(E360, Product_Master!$A$2:$A$101, Product_Master!$E$2:$E$101)</f>
        <v>1500</v>
      </c>
      <c r="M360">
        <f t="shared" si="26"/>
        <v>6000</v>
      </c>
      <c r="N360">
        <f t="shared" si="27"/>
        <v>3600</v>
      </c>
      <c r="O360">
        <f t="shared" si="28"/>
        <v>2400</v>
      </c>
      <c r="P360" s="3">
        <f t="shared" si="29"/>
        <v>0.4</v>
      </c>
      <c r="Q360" s="3" t="str">
        <v>High Profit</v>
      </c>
    </row>
    <row r="361" spans="1:17" x14ac:dyDescent="0.3">
      <c r="A361" t="s">
        <v>808</v>
      </c>
      <c r="B361" s="2">
        <v>45997</v>
      </c>
      <c r="C361" s="2" t="str">
        <f t="shared" si="25"/>
        <v>December</v>
      </c>
      <c r="D361" t="s">
        <v>246</v>
      </c>
      <c r="E361" t="s">
        <v>425</v>
      </c>
      <c r="F361">
        <v>2</v>
      </c>
      <c r="G361" t="s">
        <v>4</v>
      </c>
      <c r="H361" t="s">
        <v>17</v>
      </c>
      <c r="I361" t="s">
        <v>337</v>
      </c>
      <c r="J361" t="str">
        <f>_xlfn.XLOOKUP(E361, Product_Master!$A$2:$A$101, Product_Master!$C$2:$C$101)</f>
        <v>Electronics</v>
      </c>
      <c r="K361">
        <f>_xlfn.XLOOKUP(E361, Product_Master!$A$2:$A$101, Product_Master!$D$2:$D$101)</f>
        <v>15000</v>
      </c>
      <c r="L361">
        <f>_xlfn.XLOOKUP(E361, Product_Master!$A$2:$A$101, Product_Master!$E$2:$E$101)</f>
        <v>18000</v>
      </c>
      <c r="M361">
        <f t="shared" si="26"/>
        <v>36000</v>
      </c>
      <c r="N361">
        <f t="shared" si="27"/>
        <v>30000</v>
      </c>
      <c r="O361">
        <f t="shared" si="28"/>
        <v>6000</v>
      </c>
      <c r="P361" s="3">
        <f t="shared" si="29"/>
        <v>0.16666666666666666</v>
      </c>
      <c r="Q361" s="3" t="str">
        <v>Low Profit</v>
      </c>
    </row>
    <row r="362" spans="1:17" x14ac:dyDescent="0.3">
      <c r="A362" t="s">
        <v>809</v>
      </c>
      <c r="B362" s="2">
        <v>45767</v>
      </c>
      <c r="C362" s="2" t="str">
        <f t="shared" si="25"/>
        <v>April</v>
      </c>
      <c r="D362" t="s">
        <v>54</v>
      </c>
      <c r="E362" t="s">
        <v>351</v>
      </c>
      <c r="F362">
        <v>4</v>
      </c>
      <c r="G362" t="s">
        <v>45</v>
      </c>
      <c r="H362" t="s">
        <v>5</v>
      </c>
      <c r="I362" t="s">
        <v>332</v>
      </c>
      <c r="J362" t="str">
        <f>_xlfn.XLOOKUP(E362, Product_Master!$A$2:$A$101, Product_Master!$C$2:$C$101)</f>
        <v>Accessories</v>
      </c>
      <c r="K362">
        <f>_xlfn.XLOOKUP(E362, Product_Master!$A$2:$A$101, Product_Master!$D$2:$D$101)</f>
        <v>500</v>
      </c>
      <c r="L362">
        <f>_xlfn.XLOOKUP(E362, Product_Master!$A$2:$A$101, Product_Master!$E$2:$E$101)</f>
        <v>800</v>
      </c>
      <c r="M362">
        <f t="shared" si="26"/>
        <v>3200</v>
      </c>
      <c r="N362">
        <f t="shared" si="27"/>
        <v>2000</v>
      </c>
      <c r="O362">
        <f t="shared" si="28"/>
        <v>1200</v>
      </c>
      <c r="P362" s="3">
        <f t="shared" si="29"/>
        <v>0.375</v>
      </c>
      <c r="Q362" s="3" t="str">
        <v>High Profit</v>
      </c>
    </row>
    <row r="363" spans="1:17" x14ac:dyDescent="0.3">
      <c r="A363" t="s">
        <v>810</v>
      </c>
      <c r="B363" s="2">
        <v>45756</v>
      </c>
      <c r="C363" s="2" t="str">
        <f t="shared" si="25"/>
        <v>April</v>
      </c>
      <c r="D363" t="s">
        <v>104</v>
      </c>
      <c r="E363" t="s">
        <v>370</v>
      </c>
      <c r="F363">
        <v>3</v>
      </c>
      <c r="G363" t="s">
        <v>10</v>
      </c>
      <c r="H363" t="s">
        <v>14</v>
      </c>
      <c r="I363" t="s">
        <v>335</v>
      </c>
      <c r="J363" t="str">
        <f>_xlfn.XLOOKUP(E363, Product_Master!$A$2:$A$101, Product_Master!$C$2:$C$101)</f>
        <v>Accessories</v>
      </c>
      <c r="K363">
        <f>_xlfn.XLOOKUP(E363, Product_Master!$A$2:$A$101, Product_Master!$D$2:$D$101)</f>
        <v>900</v>
      </c>
      <c r="L363">
        <f>_xlfn.XLOOKUP(E363, Product_Master!$A$2:$A$101, Product_Master!$E$2:$E$101)</f>
        <v>1500</v>
      </c>
      <c r="M363">
        <f t="shared" si="26"/>
        <v>4500</v>
      </c>
      <c r="N363">
        <f t="shared" si="27"/>
        <v>2700</v>
      </c>
      <c r="O363">
        <f t="shared" si="28"/>
        <v>1800</v>
      </c>
      <c r="P363" s="3">
        <f t="shared" si="29"/>
        <v>0.4</v>
      </c>
      <c r="Q363" s="3" t="str">
        <v>High Profit</v>
      </c>
    </row>
    <row r="364" spans="1:17" x14ac:dyDescent="0.3">
      <c r="A364" t="s">
        <v>811</v>
      </c>
      <c r="B364" s="2">
        <v>45977</v>
      </c>
      <c r="C364" s="2" t="str">
        <f t="shared" si="25"/>
        <v>November</v>
      </c>
      <c r="D364" t="s">
        <v>136</v>
      </c>
      <c r="E364" t="s">
        <v>438</v>
      </c>
      <c r="F364">
        <v>5</v>
      </c>
      <c r="G364" t="s">
        <v>4</v>
      </c>
      <c r="H364" t="s">
        <v>14</v>
      </c>
      <c r="I364" t="s">
        <v>329</v>
      </c>
      <c r="J364" t="str">
        <f>_xlfn.XLOOKUP(E364, Product_Master!$A$2:$A$101, Product_Master!$C$2:$C$101)</f>
        <v>Electronics</v>
      </c>
      <c r="K364">
        <f>_xlfn.XLOOKUP(E364, Product_Master!$A$2:$A$101, Product_Master!$D$2:$D$101)</f>
        <v>20000</v>
      </c>
      <c r="L364">
        <f>_xlfn.XLOOKUP(E364, Product_Master!$A$2:$A$101, Product_Master!$E$2:$E$101)</f>
        <v>25000</v>
      </c>
      <c r="M364">
        <f t="shared" si="26"/>
        <v>125000</v>
      </c>
      <c r="N364">
        <f t="shared" si="27"/>
        <v>100000</v>
      </c>
      <c r="O364">
        <f t="shared" si="28"/>
        <v>25000</v>
      </c>
      <c r="P364" s="3">
        <f t="shared" si="29"/>
        <v>0.2</v>
      </c>
      <c r="Q364" s="3" t="str">
        <v>Low Profit</v>
      </c>
    </row>
    <row r="365" spans="1:17" x14ac:dyDescent="0.3">
      <c r="A365" t="s">
        <v>812</v>
      </c>
      <c r="B365" s="2">
        <v>45888</v>
      </c>
      <c r="C365" s="2" t="str">
        <f t="shared" si="25"/>
        <v>August</v>
      </c>
      <c r="D365" t="s">
        <v>60</v>
      </c>
      <c r="E365" t="s">
        <v>339</v>
      </c>
      <c r="F365">
        <v>4</v>
      </c>
      <c r="G365" t="s">
        <v>29</v>
      </c>
      <c r="H365" t="s">
        <v>20</v>
      </c>
      <c r="I365" t="s">
        <v>340</v>
      </c>
      <c r="J365" t="str">
        <f>_xlfn.XLOOKUP(E365, Product_Master!$A$2:$A$101, Product_Master!$C$2:$C$101)</f>
        <v>Electronics</v>
      </c>
      <c r="K365">
        <f>_xlfn.XLOOKUP(E365, Product_Master!$A$2:$A$101, Product_Master!$D$2:$D$101)</f>
        <v>42000</v>
      </c>
      <c r="L365">
        <f>_xlfn.XLOOKUP(E365, Product_Master!$A$2:$A$101, Product_Master!$E$2:$E$101)</f>
        <v>50000</v>
      </c>
      <c r="M365">
        <f t="shared" si="26"/>
        <v>200000</v>
      </c>
      <c r="N365">
        <f t="shared" si="27"/>
        <v>168000</v>
      </c>
      <c r="O365">
        <f t="shared" si="28"/>
        <v>32000</v>
      </c>
      <c r="P365" s="3">
        <f t="shared" si="29"/>
        <v>0.16</v>
      </c>
      <c r="Q365" s="3" t="str">
        <v>Low Profit</v>
      </c>
    </row>
    <row r="366" spans="1:17" x14ac:dyDescent="0.3">
      <c r="A366" t="s">
        <v>813</v>
      </c>
      <c r="B366" s="2">
        <v>46009</v>
      </c>
      <c r="C366" s="2" t="str">
        <f t="shared" si="25"/>
        <v>December</v>
      </c>
      <c r="D366" t="s">
        <v>469</v>
      </c>
      <c r="E366" t="s">
        <v>338</v>
      </c>
      <c r="F366">
        <v>1</v>
      </c>
      <c r="G366" t="s">
        <v>1454</v>
      </c>
      <c r="H366" t="s">
        <v>1455</v>
      </c>
      <c r="I366" t="s">
        <v>332</v>
      </c>
      <c r="J366" t="str">
        <f>_xlfn.XLOOKUP(E366, Product_Master!$A$2:$A$101, Product_Master!$C$2:$C$101)</f>
        <v>Accessories</v>
      </c>
      <c r="K366">
        <f>_xlfn.XLOOKUP(E366, Product_Master!$A$2:$A$101, Product_Master!$D$2:$D$101)</f>
        <v>500</v>
      </c>
      <c r="L366">
        <f>_xlfn.XLOOKUP(E366, Product_Master!$A$2:$A$101, Product_Master!$E$2:$E$101)</f>
        <v>800</v>
      </c>
      <c r="M366">
        <f t="shared" si="26"/>
        <v>800</v>
      </c>
      <c r="N366">
        <f t="shared" si="27"/>
        <v>500</v>
      </c>
      <c r="O366">
        <f t="shared" si="28"/>
        <v>300</v>
      </c>
      <c r="P366" s="3">
        <f t="shared" si="29"/>
        <v>0.375</v>
      </c>
      <c r="Q366" s="3" t="str">
        <v>High Profit</v>
      </c>
    </row>
    <row r="367" spans="1:17" x14ac:dyDescent="0.3">
      <c r="A367" t="s">
        <v>814</v>
      </c>
      <c r="B367" s="2">
        <v>45905</v>
      </c>
      <c r="C367" s="2" t="str">
        <f t="shared" si="25"/>
        <v>September</v>
      </c>
      <c r="D367" t="s">
        <v>11</v>
      </c>
      <c r="E367" t="s">
        <v>364</v>
      </c>
      <c r="F367">
        <v>3</v>
      </c>
      <c r="G367" t="s">
        <v>12</v>
      </c>
      <c r="H367" t="s">
        <v>8</v>
      </c>
      <c r="I367" t="s">
        <v>346</v>
      </c>
      <c r="J367" t="str">
        <f>_xlfn.XLOOKUP(E367, Product_Master!$A$2:$A$101, Product_Master!$C$2:$C$101)</f>
        <v>Accessories</v>
      </c>
      <c r="K367">
        <f>_xlfn.XLOOKUP(E367, Product_Master!$A$2:$A$101, Product_Master!$D$2:$D$101)</f>
        <v>9000</v>
      </c>
      <c r="L367">
        <f>_xlfn.XLOOKUP(E367, Product_Master!$A$2:$A$101, Product_Master!$E$2:$E$101)</f>
        <v>12000</v>
      </c>
      <c r="M367">
        <f t="shared" si="26"/>
        <v>36000</v>
      </c>
      <c r="N367">
        <f t="shared" si="27"/>
        <v>27000</v>
      </c>
      <c r="O367">
        <f t="shared" si="28"/>
        <v>9000</v>
      </c>
      <c r="P367" s="3">
        <f t="shared" si="29"/>
        <v>0.25</v>
      </c>
      <c r="Q367" s="3" t="str">
        <v>High Profit</v>
      </c>
    </row>
    <row r="368" spans="1:17" x14ac:dyDescent="0.3">
      <c r="A368" t="s">
        <v>815</v>
      </c>
      <c r="B368" s="2">
        <v>45707</v>
      </c>
      <c r="C368" s="2" t="str">
        <f t="shared" si="25"/>
        <v>February</v>
      </c>
      <c r="D368" t="s">
        <v>105</v>
      </c>
      <c r="E368" t="s">
        <v>407</v>
      </c>
      <c r="F368">
        <v>1</v>
      </c>
      <c r="G368" t="s">
        <v>12</v>
      </c>
      <c r="H368" t="s">
        <v>31</v>
      </c>
      <c r="I368" t="s">
        <v>329</v>
      </c>
      <c r="J368" t="str">
        <f>_xlfn.XLOOKUP(E368, Product_Master!$A$2:$A$101, Product_Master!$C$2:$C$101)</f>
        <v>Electronics</v>
      </c>
      <c r="K368">
        <f>_xlfn.XLOOKUP(E368, Product_Master!$A$2:$A$101, Product_Master!$D$2:$D$101)</f>
        <v>20000</v>
      </c>
      <c r="L368">
        <f>_xlfn.XLOOKUP(E368, Product_Master!$A$2:$A$101, Product_Master!$E$2:$E$101)</f>
        <v>25000</v>
      </c>
      <c r="M368">
        <f t="shared" si="26"/>
        <v>25000</v>
      </c>
      <c r="N368">
        <f t="shared" si="27"/>
        <v>20000</v>
      </c>
      <c r="O368">
        <f t="shared" si="28"/>
        <v>5000</v>
      </c>
      <c r="P368" s="3">
        <f t="shared" si="29"/>
        <v>0.2</v>
      </c>
      <c r="Q368" s="3" t="str">
        <v>Low Profit</v>
      </c>
    </row>
    <row r="369" spans="1:17" x14ac:dyDescent="0.3">
      <c r="A369" t="s">
        <v>816</v>
      </c>
      <c r="B369" s="2">
        <v>45932</v>
      </c>
      <c r="C369" s="2" t="str">
        <f t="shared" si="25"/>
        <v>October</v>
      </c>
      <c r="D369" t="s">
        <v>91</v>
      </c>
      <c r="E369" t="s">
        <v>348</v>
      </c>
      <c r="F369">
        <v>2</v>
      </c>
      <c r="G369" t="s">
        <v>12</v>
      </c>
      <c r="H369" t="s">
        <v>27</v>
      </c>
      <c r="I369" t="s">
        <v>335</v>
      </c>
      <c r="J369" t="str">
        <f>_xlfn.XLOOKUP(E369, Product_Master!$A$2:$A$101, Product_Master!$C$2:$C$101)</f>
        <v>Accessories</v>
      </c>
      <c r="K369">
        <f>_xlfn.XLOOKUP(E369, Product_Master!$A$2:$A$101, Product_Master!$D$2:$D$101)</f>
        <v>900</v>
      </c>
      <c r="L369">
        <f>_xlfn.XLOOKUP(E369, Product_Master!$A$2:$A$101, Product_Master!$E$2:$E$101)</f>
        <v>1500</v>
      </c>
      <c r="M369">
        <f t="shared" si="26"/>
        <v>3000</v>
      </c>
      <c r="N369">
        <f t="shared" si="27"/>
        <v>1800</v>
      </c>
      <c r="O369">
        <f t="shared" si="28"/>
        <v>1200</v>
      </c>
      <c r="P369" s="3">
        <f t="shared" si="29"/>
        <v>0.4</v>
      </c>
      <c r="Q369" s="3" t="str">
        <v>High Profit</v>
      </c>
    </row>
    <row r="370" spans="1:17" x14ac:dyDescent="0.3">
      <c r="A370" t="s">
        <v>817</v>
      </c>
      <c r="B370" s="2">
        <v>45689</v>
      </c>
      <c r="C370" s="2" t="str">
        <f t="shared" si="25"/>
        <v>February</v>
      </c>
      <c r="D370" t="s">
        <v>186</v>
      </c>
      <c r="E370" t="s">
        <v>423</v>
      </c>
      <c r="F370">
        <v>5</v>
      </c>
      <c r="G370" t="s">
        <v>7</v>
      </c>
      <c r="H370" t="s">
        <v>17</v>
      </c>
      <c r="I370" t="s">
        <v>335</v>
      </c>
      <c r="J370" t="str">
        <f>_xlfn.XLOOKUP(E370, Product_Master!$A$2:$A$101, Product_Master!$C$2:$C$101)</f>
        <v>Accessories</v>
      </c>
      <c r="K370">
        <f>_xlfn.XLOOKUP(E370, Product_Master!$A$2:$A$101, Product_Master!$D$2:$D$101)</f>
        <v>900</v>
      </c>
      <c r="L370">
        <f>_xlfn.XLOOKUP(E370, Product_Master!$A$2:$A$101, Product_Master!$E$2:$E$101)</f>
        <v>1500</v>
      </c>
      <c r="M370">
        <f t="shared" si="26"/>
        <v>7500</v>
      </c>
      <c r="N370">
        <f t="shared" si="27"/>
        <v>4500</v>
      </c>
      <c r="O370">
        <f t="shared" si="28"/>
        <v>3000</v>
      </c>
      <c r="P370" s="3">
        <f t="shared" si="29"/>
        <v>0.4</v>
      </c>
      <c r="Q370" s="3" t="str">
        <v>High Profit</v>
      </c>
    </row>
    <row r="371" spans="1:17" x14ac:dyDescent="0.3">
      <c r="A371" t="s">
        <v>818</v>
      </c>
      <c r="B371" s="2">
        <v>45969</v>
      </c>
      <c r="C371" s="2" t="str">
        <f t="shared" si="25"/>
        <v>November</v>
      </c>
      <c r="D371" t="s">
        <v>60</v>
      </c>
      <c r="E371" t="s">
        <v>441</v>
      </c>
      <c r="F371">
        <v>1</v>
      </c>
      <c r="G371" t="s">
        <v>29</v>
      </c>
      <c r="H371" t="s">
        <v>20</v>
      </c>
      <c r="I371" t="s">
        <v>346</v>
      </c>
      <c r="J371" t="str">
        <f>_xlfn.XLOOKUP(E371, Product_Master!$A$2:$A$101, Product_Master!$C$2:$C$101)</f>
        <v>Accessories</v>
      </c>
      <c r="K371">
        <f>_xlfn.XLOOKUP(E371, Product_Master!$A$2:$A$101, Product_Master!$D$2:$D$101)</f>
        <v>9000</v>
      </c>
      <c r="L371">
        <f>_xlfn.XLOOKUP(E371, Product_Master!$A$2:$A$101, Product_Master!$E$2:$E$101)</f>
        <v>12000</v>
      </c>
      <c r="M371">
        <f t="shared" si="26"/>
        <v>12000</v>
      </c>
      <c r="N371">
        <f t="shared" si="27"/>
        <v>9000</v>
      </c>
      <c r="O371">
        <f t="shared" si="28"/>
        <v>3000</v>
      </c>
      <c r="P371" s="3">
        <f t="shared" si="29"/>
        <v>0.25</v>
      </c>
      <c r="Q371" s="3" t="str">
        <v>High Profit</v>
      </c>
    </row>
    <row r="372" spans="1:17" x14ac:dyDescent="0.3">
      <c r="A372" t="s">
        <v>819</v>
      </c>
      <c r="B372" s="2">
        <v>45688</v>
      </c>
      <c r="C372" s="2" t="str">
        <f t="shared" si="25"/>
        <v>January</v>
      </c>
      <c r="D372" t="s">
        <v>157</v>
      </c>
      <c r="E372" t="s">
        <v>435</v>
      </c>
      <c r="F372">
        <v>3</v>
      </c>
      <c r="G372" t="s">
        <v>19</v>
      </c>
      <c r="H372" t="s">
        <v>14</v>
      </c>
      <c r="I372" t="s">
        <v>346</v>
      </c>
      <c r="J372" t="str">
        <f>_xlfn.XLOOKUP(E372, Product_Master!$A$2:$A$101, Product_Master!$C$2:$C$101)</f>
        <v>Accessories</v>
      </c>
      <c r="K372">
        <f>_xlfn.XLOOKUP(E372, Product_Master!$A$2:$A$101, Product_Master!$D$2:$D$101)</f>
        <v>9000</v>
      </c>
      <c r="L372">
        <f>_xlfn.XLOOKUP(E372, Product_Master!$A$2:$A$101, Product_Master!$E$2:$E$101)</f>
        <v>12000</v>
      </c>
      <c r="M372">
        <f t="shared" si="26"/>
        <v>36000</v>
      </c>
      <c r="N372">
        <f t="shared" si="27"/>
        <v>27000</v>
      </c>
      <c r="O372">
        <f t="shared" si="28"/>
        <v>9000</v>
      </c>
      <c r="P372" s="3">
        <f t="shared" si="29"/>
        <v>0.25</v>
      </c>
      <c r="Q372" s="3" t="str">
        <v>High Profit</v>
      </c>
    </row>
    <row r="373" spans="1:17" x14ac:dyDescent="0.3">
      <c r="A373" t="s">
        <v>820</v>
      </c>
      <c r="B373" s="2">
        <v>45830</v>
      </c>
      <c r="C373" s="2" t="str">
        <f t="shared" si="25"/>
        <v>June</v>
      </c>
      <c r="D373" t="s">
        <v>50</v>
      </c>
      <c r="E373" t="s">
        <v>370</v>
      </c>
      <c r="F373">
        <v>1</v>
      </c>
      <c r="G373" t="s">
        <v>16</v>
      </c>
      <c r="H373" t="s">
        <v>8</v>
      </c>
      <c r="I373" t="s">
        <v>335</v>
      </c>
      <c r="J373" t="str">
        <f>_xlfn.XLOOKUP(E373, Product_Master!$A$2:$A$101, Product_Master!$C$2:$C$101)</f>
        <v>Accessories</v>
      </c>
      <c r="K373">
        <f>_xlfn.XLOOKUP(E373, Product_Master!$A$2:$A$101, Product_Master!$D$2:$D$101)</f>
        <v>900</v>
      </c>
      <c r="L373">
        <f>_xlfn.XLOOKUP(E373, Product_Master!$A$2:$A$101, Product_Master!$E$2:$E$101)</f>
        <v>1500</v>
      </c>
      <c r="M373">
        <f t="shared" si="26"/>
        <v>1500</v>
      </c>
      <c r="N373">
        <f t="shared" si="27"/>
        <v>900</v>
      </c>
      <c r="O373">
        <f t="shared" si="28"/>
        <v>600</v>
      </c>
      <c r="P373" s="3">
        <f t="shared" si="29"/>
        <v>0.4</v>
      </c>
      <c r="Q373" s="3" t="str">
        <v>High Profit</v>
      </c>
    </row>
    <row r="374" spans="1:17" x14ac:dyDescent="0.3">
      <c r="A374" t="s">
        <v>821</v>
      </c>
      <c r="B374" s="2">
        <v>45786</v>
      </c>
      <c r="C374" s="2" t="str">
        <f t="shared" si="25"/>
        <v>May</v>
      </c>
      <c r="D374" t="s">
        <v>54</v>
      </c>
      <c r="E374" t="s">
        <v>419</v>
      </c>
      <c r="F374">
        <v>4</v>
      </c>
      <c r="G374" t="s">
        <v>45</v>
      </c>
      <c r="H374" t="s">
        <v>5</v>
      </c>
      <c r="I374" t="s">
        <v>344</v>
      </c>
      <c r="J374" t="str">
        <f>_xlfn.XLOOKUP(E374, Product_Master!$A$2:$A$101, Product_Master!$C$2:$C$101)</f>
        <v>Accessories</v>
      </c>
      <c r="K374">
        <f>_xlfn.XLOOKUP(E374, Product_Master!$A$2:$A$101, Product_Master!$D$2:$D$101)</f>
        <v>2000</v>
      </c>
      <c r="L374">
        <f>_xlfn.XLOOKUP(E374, Product_Master!$A$2:$A$101, Product_Master!$E$2:$E$101)</f>
        <v>3000</v>
      </c>
      <c r="M374">
        <f t="shared" si="26"/>
        <v>12000</v>
      </c>
      <c r="N374">
        <f t="shared" si="27"/>
        <v>8000</v>
      </c>
      <c r="O374">
        <f t="shared" si="28"/>
        <v>4000</v>
      </c>
      <c r="P374" s="3">
        <f t="shared" si="29"/>
        <v>0.33333333333333331</v>
      </c>
      <c r="Q374" s="3" t="str">
        <v>High Profit</v>
      </c>
    </row>
    <row r="375" spans="1:17" x14ac:dyDescent="0.3">
      <c r="A375" t="s">
        <v>822</v>
      </c>
      <c r="B375" s="2">
        <v>45724</v>
      </c>
      <c r="C375" s="2" t="str">
        <f t="shared" si="25"/>
        <v>March</v>
      </c>
      <c r="D375" t="s">
        <v>469</v>
      </c>
      <c r="E375" t="s">
        <v>440</v>
      </c>
      <c r="F375">
        <v>5</v>
      </c>
      <c r="G375" t="s">
        <v>1454</v>
      </c>
      <c r="H375" t="s">
        <v>1455</v>
      </c>
      <c r="I375" t="s">
        <v>346</v>
      </c>
      <c r="J375" t="str">
        <f>_xlfn.XLOOKUP(E375, Product_Master!$A$2:$A$101, Product_Master!$C$2:$C$101)</f>
        <v>Accessories</v>
      </c>
      <c r="K375">
        <f>_xlfn.XLOOKUP(E375, Product_Master!$A$2:$A$101, Product_Master!$D$2:$D$101)</f>
        <v>9000</v>
      </c>
      <c r="L375">
        <f>_xlfn.XLOOKUP(E375, Product_Master!$A$2:$A$101, Product_Master!$E$2:$E$101)</f>
        <v>12000</v>
      </c>
      <c r="M375">
        <f t="shared" si="26"/>
        <v>60000</v>
      </c>
      <c r="N375">
        <f t="shared" si="27"/>
        <v>45000</v>
      </c>
      <c r="O375">
        <f t="shared" si="28"/>
        <v>15000</v>
      </c>
      <c r="P375" s="3">
        <f t="shared" si="29"/>
        <v>0.25</v>
      </c>
      <c r="Q375" s="3" t="str">
        <v>High Profit</v>
      </c>
    </row>
    <row r="376" spans="1:17" x14ac:dyDescent="0.3">
      <c r="A376" t="s">
        <v>823</v>
      </c>
      <c r="B376" s="2">
        <v>46002</v>
      </c>
      <c r="C376" s="2" t="str">
        <f t="shared" si="25"/>
        <v>December</v>
      </c>
      <c r="D376" t="s">
        <v>93</v>
      </c>
      <c r="E376" t="s">
        <v>399</v>
      </c>
      <c r="F376">
        <v>3</v>
      </c>
      <c r="G376" t="s">
        <v>45</v>
      </c>
      <c r="H376" t="s">
        <v>14</v>
      </c>
      <c r="I376" t="s">
        <v>340</v>
      </c>
      <c r="J376" t="str">
        <f>_xlfn.XLOOKUP(E376, Product_Master!$A$2:$A$101, Product_Master!$C$2:$C$101)</f>
        <v>Electronics</v>
      </c>
      <c r="K376">
        <f>_xlfn.XLOOKUP(E376, Product_Master!$A$2:$A$101, Product_Master!$D$2:$D$101)</f>
        <v>42000</v>
      </c>
      <c r="L376">
        <f>_xlfn.XLOOKUP(E376, Product_Master!$A$2:$A$101, Product_Master!$E$2:$E$101)</f>
        <v>50000</v>
      </c>
      <c r="M376">
        <f t="shared" si="26"/>
        <v>150000</v>
      </c>
      <c r="N376">
        <f t="shared" si="27"/>
        <v>126000</v>
      </c>
      <c r="O376">
        <f t="shared" si="28"/>
        <v>24000</v>
      </c>
      <c r="P376" s="3">
        <f t="shared" si="29"/>
        <v>0.16</v>
      </c>
      <c r="Q376" s="3" t="str">
        <v>Low Profit</v>
      </c>
    </row>
    <row r="377" spans="1:17" x14ac:dyDescent="0.3">
      <c r="A377" t="s">
        <v>824</v>
      </c>
      <c r="B377" s="2">
        <v>45820</v>
      </c>
      <c r="C377" s="2" t="str">
        <f t="shared" si="25"/>
        <v>June</v>
      </c>
      <c r="D377" t="s">
        <v>155</v>
      </c>
      <c r="E377" t="s">
        <v>420</v>
      </c>
      <c r="F377">
        <v>4</v>
      </c>
      <c r="G377" t="s">
        <v>4</v>
      </c>
      <c r="H377" t="s">
        <v>20</v>
      </c>
      <c r="I377" t="s">
        <v>329</v>
      </c>
      <c r="J377" t="str">
        <f>_xlfn.XLOOKUP(E377, Product_Master!$A$2:$A$101, Product_Master!$C$2:$C$101)</f>
        <v>Electronics</v>
      </c>
      <c r="K377">
        <f>_xlfn.XLOOKUP(E377, Product_Master!$A$2:$A$101, Product_Master!$D$2:$D$101)</f>
        <v>20000</v>
      </c>
      <c r="L377">
        <f>_xlfn.XLOOKUP(E377, Product_Master!$A$2:$A$101, Product_Master!$E$2:$E$101)</f>
        <v>25000</v>
      </c>
      <c r="M377">
        <f t="shared" si="26"/>
        <v>100000</v>
      </c>
      <c r="N377">
        <f t="shared" si="27"/>
        <v>80000</v>
      </c>
      <c r="O377">
        <f t="shared" si="28"/>
        <v>20000</v>
      </c>
      <c r="P377" s="3">
        <f t="shared" si="29"/>
        <v>0.2</v>
      </c>
      <c r="Q377" s="3" t="str">
        <v>Low Profit</v>
      </c>
    </row>
    <row r="378" spans="1:17" x14ac:dyDescent="0.3">
      <c r="A378" t="s">
        <v>825</v>
      </c>
      <c r="B378" s="2">
        <v>45728</v>
      </c>
      <c r="C378" s="2" t="str">
        <f t="shared" si="25"/>
        <v>March</v>
      </c>
      <c r="D378" t="s">
        <v>112</v>
      </c>
      <c r="E378" t="s">
        <v>424</v>
      </c>
      <c r="F378">
        <v>1</v>
      </c>
      <c r="G378" t="s">
        <v>29</v>
      </c>
      <c r="H378" t="s">
        <v>14</v>
      </c>
      <c r="I378" t="s">
        <v>337</v>
      </c>
      <c r="J378" t="str">
        <f>_xlfn.XLOOKUP(E378, Product_Master!$A$2:$A$101, Product_Master!$C$2:$C$101)</f>
        <v>Electronics</v>
      </c>
      <c r="K378">
        <f>_xlfn.XLOOKUP(E378, Product_Master!$A$2:$A$101, Product_Master!$D$2:$D$101)</f>
        <v>15000</v>
      </c>
      <c r="L378">
        <f>_xlfn.XLOOKUP(E378, Product_Master!$A$2:$A$101, Product_Master!$E$2:$E$101)</f>
        <v>18000</v>
      </c>
      <c r="M378">
        <f t="shared" si="26"/>
        <v>18000</v>
      </c>
      <c r="N378">
        <f t="shared" si="27"/>
        <v>15000</v>
      </c>
      <c r="O378">
        <f t="shared" si="28"/>
        <v>3000</v>
      </c>
      <c r="P378" s="3">
        <f t="shared" si="29"/>
        <v>0.16666666666666666</v>
      </c>
      <c r="Q378" s="3" t="str">
        <v>Low Profit</v>
      </c>
    </row>
    <row r="379" spans="1:17" x14ac:dyDescent="0.3">
      <c r="A379" t="s">
        <v>826</v>
      </c>
      <c r="B379" s="2">
        <v>45777</v>
      </c>
      <c r="C379" s="2" t="str">
        <f t="shared" si="25"/>
        <v>April</v>
      </c>
      <c r="D379" t="s">
        <v>247</v>
      </c>
      <c r="E379" t="s">
        <v>386</v>
      </c>
      <c r="F379">
        <v>1</v>
      </c>
      <c r="G379" t="s">
        <v>7</v>
      </c>
      <c r="H379" t="s">
        <v>1455</v>
      </c>
      <c r="I379" t="s">
        <v>335</v>
      </c>
      <c r="J379" t="str">
        <f>_xlfn.XLOOKUP(E379, Product_Master!$A$2:$A$101, Product_Master!$C$2:$C$101)</f>
        <v>Accessories</v>
      </c>
      <c r="K379">
        <f>_xlfn.XLOOKUP(E379, Product_Master!$A$2:$A$101, Product_Master!$D$2:$D$101)</f>
        <v>900</v>
      </c>
      <c r="L379">
        <f>_xlfn.XLOOKUP(E379, Product_Master!$A$2:$A$101, Product_Master!$E$2:$E$101)</f>
        <v>1500</v>
      </c>
      <c r="M379">
        <f t="shared" si="26"/>
        <v>1500</v>
      </c>
      <c r="N379">
        <f t="shared" si="27"/>
        <v>900</v>
      </c>
      <c r="O379">
        <f t="shared" si="28"/>
        <v>600</v>
      </c>
      <c r="P379" s="3">
        <f t="shared" si="29"/>
        <v>0.4</v>
      </c>
      <c r="Q379" s="3" t="str">
        <v>High Profit</v>
      </c>
    </row>
    <row r="380" spans="1:17" x14ac:dyDescent="0.3">
      <c r="A380" t="s">
        <v>827</v>
      </c>
      <c r="B380" s="2">
        <v>45959</v>
      </c>
      <c r="C380" s="2" t="str">
        <f t="shared" si="25"/>
        <v>October</v>
      </c>
      <c r="D380" t="s">
        <v>88</v>
      </c>
      <c r="E380" t="s">
        <v>374</v>
      </c>
      <c r="F380">
        <v>3</v>
      </c>
      <c r="G380" t="s">
        <v>45</v>
      </c>
      <c r="H380" t="s">
        <v>14</v>
      </c>
      <c r="I380" t="s">
        <v>346</v>
      </c>
      <c r="J380" t="str">
        <f>_xlfn.XLOOKUP(E380, Product_Master!$A$2:$A$101, Product_Master!$C$2:$C$101)</f>
        <v>Accessories</v>
      </c>
      <c r="K380">
        <f>_xlfn.XLOOKUP(E380, Product_Master!$A$2:$A$101, Product_Master!$D$2:$D$101)</f>
        <v>9000</v>
      </c>
      <c r="L380">
        <f>_xlfn.XLOOKUP(E380, Product_Master!$A$2:$A$101, Product_Master!$E$2:$E$101)</f>
        <v>12000</v>
      </c>
      <c r="M380">
        <f t="shared" si="26"/>
        <v>36000</v>
      </c>
      <c r="N380">
        <f t="shared" si="27"/>
        <v>27000</v>
      </c>
      <c r="O380">
        <f t="shared" si="28"/>
        <v>9000</v>
      </c>
      <c r="P380" s="3">
        <f t="shared" si="29"/>
        <v>0.25</v>
      </c>
      <c r="Q380" s="3" t="str">
        <v>High Profit</v>
      </c>
    </row>
    <row r="381" spans="1:17" x14ac:dyDescent="0.3">
      <c r="A381" t="s">
        <v>828</v>
      </c>
      <c r="B381" s="2">
        <v>45686</v>
      </c>
      <c r="C381" s="2" t="str">
        <f t="shared" si="25"/>
        <v>January</v>
      </c>
      <c r="D381" t="s">
        <v>35</v>
      </c>
      <c r="E381" t="s">
        <v>371</v>
      </c>
      <c r="F381">
        <v>5</v>
      </c>
      <c r="G381" t="s">
        <v>16</v>
      </c>
      <c r="H381" t="s">
        <v>5</v>
      </c>
      <c r="I381" t="s">
        <v>329</v>
      </c>
      <c r="J381" t="str">
        <f>_xlfn.XLOOKUP(E381, Product_Master!$A$2:$A$101, Product_Master!$C$2:$C$101)</f>
        <v>Electronics</v>
      </c>
      <c r="K381">
        <f>_xlfn.XLOOKUP(E381, Product_Master!$A$2:$A$101, Product_Master!$D$2:$D$101)</f>
        <v>20000</v>
      </c>
      <c r="L381">
        <f>_xlfn.XLOOKUP(E381, Product_Master!$A$2:$A$101, Product_Master!$E$2:$E$101)</f>
        <v>25000</v>
      </c>
      <c r="M381">
        <f t="shared" si="26"/>
        <v>125000</v>
      </c>
      <c r="N381">
        <f t="shared" si="27"/>
        <v>100000</v>
      </c>
      <c r="O381">
        <f t="shared" si="28"/>
        <v>25000</v>
      </c>
      <c r="P381" s="3">
        <f t="shared" si="29"/>
        <v>0.2</v>
      </c>
      <c r="Q381" s="3" t="str">
        <v>Low Profit</v>
      </c>
    </row>
    <row r="382" spans="1:17" x14ac:dyDescent="0.3">
      <c r="A382" t="s">
        <v>829</v>
      </c>
      <c r="B382" s="2">
        <v>45901</v>
      </c>
      <c r="C382" s="2" t="str">
        <f t="shared" si="25"/>
        <v>September</v>
      </c>
      <c r="D382" t="s">
        <v>112</v>
      </c>
      <c r="E382" t="s">
        <v>387</v>
      </c>
      <c r="F382">
        <v>3</v>
      </c>
      <c r="G382" t="s">
        <v>29</v>
      </c>
      <c r="H382" t="s">
        <v>14</v>
      </c>
      <c r="I382" t="s">
        <v>332</v>
      </c>
      <c r="J382" t="str">
        <f>_xlfn.XLOOKUP(E382, Product_Master!$A$2:$A$101, Product_Master!$C$2:$C$101)</f>
        <v>Accessories</v>
      </c>
      <c r="K382">
        <f>_xlfn.XLOOKUP(E382, Product_Master!$A$2:$A$101, Product_Master!$D$2:$D$101)</f>
        <v>500</v>
      </c>
      <c r="L382">
        <f>_xlfn.XLOOKUP(E382, Product_Master!$A$2:$A$101, Product_Master!$E$2:$E$101)</f>
        <v>800</v>
      </c>
      <c r="M382">
        <f t="shared" si="26"/>
        <v>2400</v>
      </c>
      <c r="N382">
        <f t="shared" si="27"/>
        <v>1500</v>
      </c>
      <c r="O382">
        <f t="shared" si="28"/>
        <v>900</v>
      </c>
      <c r="P382" s="3">
        <f t="shared" si="29"/>
        <v>0.375</v>
      </c>
      <c r="Q382" s="3" t="str">
        <v>High Profit</v>
      </c>
    </row>
    <row r="383" spans="1:17" x14ac:dyDescent="0.3">
      <c r="A383" t="s">
        <v>830</v>
      </c>
      <c r="B383" s="2">
        <v>45963</v>
      </c>
      <c r="C383" s="2" t="str">
        <f t="shared" si="25"/>
        <v>November</v>
      </c>
      <c r="D383" t="s">
        <v>283</v>
      </c>
      <c r="E383" t="s">
        <v>434</v>
      </c>
      <c r="F383">
        <v>4</v>
      </c>
      <c r="G383" t="s">
        <v>29</v>
      </c>
      <c r="H383" t="s">
        <v>8</v>
      </c>
      <c r="I383" t="s">
        <v>346</v>
      </c>
      <c r="J383" t="str">
        <f>_xlfn.XLOOKUP(E383, Product_Master!$A$2:$A$101, Product_Master!$C$2:$C$101)</f>
        <v>Accessories</v>
      </c>
      <c r="K383">
        <f>_xlfn.XLOOKUP(E383, Product_Master!$A$2:$A$101, Product_Master!$D$2:$D$101)</f>
        <v>9000</v>
      </c>
      <c r="L383">
        <f>_xlfn.XLOOKUP(E383, Product_Master!$A$2:$A$101, Product_Master!$E$2:$E$101)</f>
        <v>12000</v>
      </c>
      <c r="M383">
        <f t="shared" si="26"/>
        <v>48000</v>
      </c>
      <c r="N383">
        <f t="shared" si="27"/>
        <v>36000</v>
      </c>
      <c r="O383">
        <f t="shared" si="28"/>
        <v>12000</v>
      </c>
      <c r="P383" s="3">
        <f t="shared" si="29"/>
        <v>0.25</v>
      </c>
      <c r="Q383" s="3" t="str">
        <v>High Profit</v>
      </c>
    </row>
    <row r="384" spans="1:17" x14ac:dyDescent="0.3">
      <c r="A384" t="s">
        <v>831</v>
      </c>
      <c r="B384" s="2">
        <v>45973</v>
      </c>
      <c r="C384" s="2" t="str">
        <f t="shared" si="25"/>
        <v>November</v>
      </c>
      <c r="D384" t="s">
        <v>210</v>
      </c>
      <c r="E384" t="s">
        <v>438</v>
      </c>
      <c r="F384">
        <v>5</v>
      </c>
      <c r="G384" t="s">
        <v>45</v>
      </c>
      <c r="H384" t="s">
        <v>27</v>
      </c>
      <c r="I384" t="s">
        <v>329</v>
      </c>
      <c r="J384" t="str">
        <f>_xlfn.XLOOKUP(E384, Product_Master!$A$2:$A$101, Product_Master!$C$2:$C$101)</f>
        <v>Electronics</v>
      </c>
      <c r="K384">
        <f>_xlfn.XLOOKUP(E384, Product_Master!$A$2:$A$101, Product_Master!$D$2:$D$101)</f>
        <v>20000</v>
      </c>
      <c r="L384">
        <f>_xlfn.XLOOKUP(E384, Product_Master!$A$2:$A$101, Product_Master!$E$2:$E$101)</f>
        <v>25000</v>
      </c>
      <c r="M384">
        <f t="shared" si="26"/>
        <v>125000</v>
      </c>
      <c r="N384">
        <f t="shared" si="27"/>
        <v>100000</v>
      </c>
      <c r="O384">
        <f t="shared" si="28"/>
        <v>25000</v>
      </c>
      <c r="P384" s="3">
        <f t="shared" si="29"/>
        <v>0.2</v>
      </c>
      <c r="Q384" s="3" t="str">
        <v>Low Profit</v>
      </c>
    </row>
    <row r="385" spans="1:17" x14ac:dyDescent="0.3">
      <c r="A385" t="s">
        <v>832</v>
      </c>
      <c r="B385" s="2">
        <v>45967</v>
      </c>
      <c r="C385" s="2" t="str">
        <f t="shared" si="25"/>
        <v>November</v>
      </c>
      <c r="D385" t="s">
        <v>119</v>
      </c>
      <c r="E385" t="s">
        <v>380</v>
      </c>
      <c r="F385">
        <v>4</v>
      </c>
      <c r="G385" t="s">
        <v>24</v>
      </c>
      <c r="H385" t="s">
        <v>14</v>
      </c>
      <c r="I385" t="s">
        <v>340</v>
      </c>
      <c r="J385" t="str">
        <f>_xlfn.XLOOKUP(E385, Product_Master!$A$2:$A$101, Product_Master!$C$2:$C$101)</f>
        <v>Electronics</v>
      </c>
      <c r="K385">
        <f>_xlfn.XLOOKUP(E385, Product_Master!$A$2:$A$101, Product_Master!$D$2:$D$101)</f>
        <v>42000</v>
      </c>
      <c r="L385">
        <f>_xlfn.XLOOKUP(E385, Product_Master!$A$2:$A$101, Product_Master!$E$2:$E$101)</f>
        <v>50000</v>
      </c>
      <c r="M385">
        <f t="shared" si="26"/>
        <v>200000</v>
      </c>
      <c r="N385">
        <f t="shared" si="27"/>
        <v>168000</v>
      </c>
      <c r="O385">
        <f t="shared" si="28"/>
        <v>32000</v>
      </c>
      <c r="P385" s="3">
        <f t="shared" si="29"/>
        <v>0.16</v>
      </c>
      <c r="Q385" s="3" t="str">
        <v>Low Profit</v>
      </c>
    </row>
    <row r="386" spans="1:17" x14ac:dyDescent="0.3">
      <c r="A386" t="s">
        <v>833</v>
      </c>
      <c r="B386" s="2">
        <v>45700</v>
      </c>
      <c r="C386" s="2" t="str">
        <f t="shared" si="25"/>
        <v>February</v>
      </c>
      <c r="D386" t="s">
        <v>42</v>
      </c>
      <c r="E386" t="s">
        <v>334</v>
      </c>
      <c r="F386">
        <v>2</v>
      </c>
      <c r="G386" t="s">
        <v>10</v>
      </c>
      <c r="H386" t="s">
        <v>27</v>
      </c>
      <c r="I386" t="s">
        <v>335</v>
      </c>
      <c r="J386" t="str">
        <f>_xlfn.XLOOKUP(E386, Product_Master!$A$2:$A$101, Product_Master!$C$2:$C$101)</f>
        <v>Accessories</v>
      </c>
      <c r="K386">
        <f>_xlfn.XLOOKUP(E386, Product_Master!$A$2:$A$101, Product_Master!$D$2:$D$101)</f>
        <v>900</v>
      </c>
      <c r="L386">
        <f>_xlfn.XLOOKUP(E386, Product_Master!$A$2:$A$101, Product_Master!$E$2:$E$101)</f>
        <v>1500</v>
      </c>
      <c r="M386">
        <f t="shared" si="26"/>
        <v>3000</v>
      </c>
      <c r="N386">
        <f t="shared" si="27"/>
        <v>1800</v>
      </c>
      <c r="O386">
        <f t="shared" si="28"/>
        <v>1200</v>
      </c>
      <c r="P386" s="3">
        <f t="shared" si="29"/>
        <v>0.4</v>
      </c>
      <c r="Q386" s="3" t="str">
        <v>High Profit</v>
      </c>
    </row>
    <row r="387" spans="1:17" x14ac:dyDescent="0.3">
      <c r="A387" t="s">
        <v>834</v>
      </c>
      <c r="B387" s="2">
        <v>45951</v>
      </c>
      <c r="C387" s="2" t="str">
        <f t="shared" ref="C387:C450" si="30">TEXT(B387,"MMMM")</f>
        <v>October</v>
      </c>
      <c r="D387" t="s">
        <v>202</v>
      </c>
      <c r="E387" t="s">
        <v>403</v>
      </c>
      <c r="F387">
        <v>1</v>
      </c>
      <c r="G387" t="s">
        <v>4</v>
      </c>
      <c r="H387" t="s">
        <v>20</v>
      </c>
      <c r="I387" t="s">
        <v>353</v>
      </c>
      <c r="J387" t="str">
        <f>_xlfn.XLOOKUP(E387, Product_Master!$A$2:$A$101, Product_Master!$C$2:$C$101)</f>
        <v>Electronics</v>
      </c>
      <c r="K387">
        <f>_xlfn.XLOOKUP(E387, Product_Master!$A$2:$A$101, Product_Master!$D$2:$D$101)</f>
        <v>12000</v>
      </c>
      <c r="L387">
        <f>_xlfn.XLOOKUP(E387, Product_Master!$A$2:$A$101, Product_Master!$E$2:$E$101)</f>
        <v>15000</v>
      </c>
      <c r="M387">
        <f t="shared" ref="M387:M450" si="31">F387*L387</f>
        <v>15000</v>
      </c>
      <c r="N387">
        <f t="shared" ref="N387:N450" si="32">F387*K387</f>
        <v>12000</v>
      </c>
      <c r="O387">
        <f t="shared" ref="O387:O450" si="33">M387-N387</f>
        <v>3000</v>
      </c>
      <c r="P387" s="3">
        <f t="shared" ref="P387:P450" si="34">O387/M387</f>
        <v>0.2</v>
      </c>
      <c r="Q387" s="3" t="str">
        <v>Low Profit</v>
      </c>
    </row>
    <row r="388" spans="1:17" x14ac:dyDescent="0.3">
      <c r="A388" t="s">
        <v>835</v>
      </c>
      <c r="B388" s="2">
        <v>45833</v>
      </c>
      <c r="C388" s="2" t="str">
        <f t="shared" si="30"/>
        <v>June</v>
      </c>
      <c r="D388" t="s">
        <v>469</v>
      </c>
      <c r="E388" t="s">
        <v>334</v>
      </c>
      <c r="F388">
        <v>2</v>
      </c>
      <c r="G388" t="s">
        <v>1454</v>
      </c>
      <c r="H388" t="s">
        <v>1455</v>
      </c>
      <c r="I388" t="s">
        <v>335</v>
      </c>
      <c r="J388" t="str">
        <f>_xlfn.XLOOKUP(E388, Product_Master!$A$2:$A$101, Product_Master!$C$2:$C$101)</f>
        <v>Accessories</v>
      </c>
      <c r="K388">
        <f>_xlfn.XLOOKUP(E388, Product_Master!$A$2:$A$101, Product_Master!$D$2:$D$101)</f>
        <v>900</v>
      </c>
      <c r="L388">
        <f>_xlfn.XLOOKUP(E388, Product_Master!$A$2:$A$101, Product_Master!$E$2:$E$101)</f>
        <v>1500</v>
      </c>
      <c r="M388">
        <f t="shared" si="31"/>
        <v>3000</v>
      </c>
      <c r="N388">
        <f t="shared" si="32"/>
        <v>1800</v>
      </c>
      <c r="O388">
        <f t="shared" si="33"/>
        <v>1200</v>
      </c>
      <c r="P388" s="3">
        <f t="shared" si="34"/>
        <v>0.4</v>
      </c>
      <c r="Q388" s="3" t="str">
        <v>High Profit</v>
      </c>
    </row>
    <row r="389" spans="1:17" x14ac:dyDescent="0.3">
      <c r="A389" t="s">
        <v>836</v>
      </c>
      <c r="B389" s="2">
        <v>45936</v>
      </c>
      <c r="C389" s="2" t="str">
        <f t="shared" si="30"/>
        <v>October</v>
      </c>
      <c r="D389" t="s">
        <v>107</v>
      </c>
      <c r="E389" t="s">
        <v>409</v>
      </c>
      <c r="F389">
        <v>3</v>
      </c>
      <c r="G389" t="s">
        <v>37</v>
      </c>
      <c r="H389" t="s">
        <v>31</v>
      </c>
      <c r="I389" t="s">
        <v>340</v>
      </c>
      <c r="J389" t="str">
        <f>_xlfn.XLOOKUP(E389, Product_Master!$A$2:$A$101, Product_Master!$C$2:$C$101)</f>
        <v>Electronics</v>
      </c>
      <c r="K389">
        <f>_xlfn.XLOOKUP(E389, Product_Master!$A$2:$A$101, Product_Master!$D$2:$D$101)</f>
        <v>42000</v>
      </c>
      <c r="L389">
        <f>_xlfn.XLOOKUP(E389, Product_Master!$A$2:$A$101, Product_Master!$E$2:$E$101)</f>
        <v>50000</v>
      </c>
      <c r="M389">
        <f t="shared" si="31"/>
        <v>150000</v>
      </c>
      <c r="N389">
        <f t="shared" si="32"/>
        <v>126000</v>
      </c>
      <c r="O389">
        <f t="shared" si="33"/>
        <v>24000</v>
      </c>
      <c r="P389" s="3">
        <f t="shared" si="34"/>
        <v>0.16</v>
      </c>
      <c r="Q389" s="3" t="str">
        <v>Low Profit</v>
      </c>
    </row>
    <row r="390" spans="1:17" x14ac:dyDescent="0.3">
      <c r="A390" t="s">
        <v>837</v>
      </c>
      <c r="B390" s="2">
        <v>45660</v>
      </c>
      <c r="C390" s="2" t="str">
        <f t="shared" si="30"/>
        <v>January</v>
      </c>
      <c r="D390" t="s">
        <v>69</v>
      </c>
      <c r="E390" t="s">
        <v>416</v>
      </c>
      <c r="F390">
        <v>5</v>
      </c>
      <c r="G390" t="s">
        <v>45</v>
      </c>
      <c r="H390" t="s">
        <v>8</v>
      </c>
      <c r="I390" t="s">
        <v>340</v>
      </c>
      <c r="J390" t="str">
        <f>_xlfn.XLOOKUP(E390, Product_Master!$A$2:$A$101, Product_Master!$C$2:$C$101)</f>
        <v>Electronics</v>
      </c>
      <c r="K390">
        <f>_xlfn.XLOOKUP(E390, Product_Master!$A$2:$A$101, Product_Master!$D$2:$D$101)</f>
        <v>42000</v>
      </c>
      <c r="L390">
        <f>_xlfn.XLOOKUP(E390, Product_Master!$A$2:$A$101, Product_Master!$E$2:$E$101)</f>
        <v>50000</v>
      </c>
      <c r="M390">
        <f t="shared" si="31"/>
        <v>250000</v>
      </c>
      <c r="N390">
        <f t="shared" si="32"/>
        <v>210000</v>
      </c>
      <c r="O390">
        <f t="shared" si="33"/>
        <v>40000</v>
      </c>
      <c r="P390" s="3">
        <f t="shared" si="34"/>
        <v>0.16</v>
      </c>
      <c r="Q390" s="3" t="str">
        <v>Low Profit</v>
      </c>
    </row>
    <row r="391" spans="1:17" x14ac:dyDescent="0.3">
      <c r="A391" t="s">
        <v>838</v>
      </c>
      <c r="B391" s="2">
        <v>45841</v>
      </c>
      <c r="C391" s="2" t="str">
        <f t="shared" si="30"/>
        <v>July</v>
      </c>
      <c r="D391" t="s">
        <v>272</v>
      </c>
      <c r="E391" t="s">
        <v>343</v>
      </c>
      <c r="F391">
        <v>2</v>
      </c>
      <c r="G391" t="s">
        <v>7</v>
      </c>
      <c r="H391" t="s">
        <v>17</v>
      </c>
      <c r="I391" t="s">
        <v>344</v>
      </c>
      <c r="J391" t="str">
        <f>_xlfn.XLOOKUP(E391, Product_Master!$A$2:$A$101, Product_Master!$C$2:$C$101)</f>
        <v>Accessories</v>
      </c>
      <c r="K391">
        <f>_xlfn.XLOOKUP(E391, Product_Master!$A$2:$A$101, Product_Master!$D$2:$D$101)</f>
        <v>2000</v>
      </c>
      <c r="L391">
        <f>_xlfn.XLOOKUP(E391, Product_Master!$A$2:$A$101, Product_Master!$E$2:$E$101)</f>
        <v>3000</v>
      </c>
      <c r="M391">
        <f t="shared" si="31"/>
        <v>6000</v>
      </c>
      <c r="N391">
        <f t="shared" si="32"/>
        <v>4000</v>
      </c>
      <c r="O391">
        <f t="shared" si="33"/>
        <v>2000</v>
      </c>
      <c r="P391" s="3">
        <f t="shared" si="34"/>
        <v>0.33333333333333331</v>
      </c>
      <c r="Q391" s="3" t="str">
        <v>High Profit</v>
      </c>
    </row>
    <row r="392" spans="1:17" x14ac:dyDescent="0.3">
      <c r="A392" t="s">
        <v>839</v>
      </c>
      <c r="B392" s="2">
        <v>45913</v>
      </c>
      <c r="C392" s="2" t="str">
        <f t="shared" si="30"/>
        <v>September</v>
      </c>
      <c r="D392" t="s">
        <v>6</v>
      </c>
      <c r="E392" t="s">
        <v>375</v>
      </c>
      <c r="F392">
        <v>2</v>
      </c>
      <c r="G392" t="s">
        <v>7</v>
      </c>
      <c r="H392" t="s">
        <v>8</v>
      </c>
      <c r="I392" t="s">
        <v>329</v>
      </c>
      <c r="J392" t="str">
        <f>_xlfn.XLOOKUP(E392, Product_Master!$A$2:$A$101, Product_Master!$C$2:$C$101)</f>
        <v>Electronics</v>
      </c>
      <c r="K392">
        <f>_xlfn.XLOOKUP(E392, Product_Master!$A$2:$A$101, Product_Master!$D$2:$D$101)</f>
        <v>20000</v>
      </c>
      <c r="L392">
        <f>_xlfn.XLOOKUP(E392, Product_Master!$A$2:$A$101, Product_Master!$E$2:$E$101)</f>
        <v>25000</v>
      </c>
      <c r="M392">
        <f t="shared" si="31"/>
        <v>50000</v>
      </c>
      <c r="N392">
        <f t="shared" si="32"/>
        <v>40000</v>
      </c>
      <c r="O392">
        <f t="shared" si="33"/>
        <v>10000</v>
      </c>
      <c r="P392" s="3">
        <f t="shared" si="34"/>
        <v>0.2</v>
      </c>
      <c r="Q392" s="3" t="str">
        <v>Low Profit</v>
      </c>
    </row>
    <row r="393" spans="1:17" x14ac:dyDescent="0.3">
      <c r="A393" t="s">
        <v>840</v>
      </c>
      <c r="B393" s="2">
        <v>45904</v>
      </c>
      <c r="C393" s="2" t="str">
        <f t="shared" si="30"/>
        <v>September</v>
      </c>
      <c r="D393" t="s">
        <v>204</v>
      </c>
      <c r="E393" t="s">
        <v>365</v>
      </c>
      <c r="F393">
        <v>5</v>
      </c>
      <c r="G393" t="s">
        <v>16</v>
      </c>
      <c r="H393" t="s">
        <v>27</v>
      </c>
      <c r="I393" t="s">
        <v>340</v>
      </c>
      <c r="J393" t="str">
        <f>_xlfn.XLOOKUP(E393, Product_Master!$A$2:$A$101, Product_Master!$C$2:$C$101)</f>
        <v>Electronics</v>
      </c>
      <c r="K393">
        <f>_xlfn.XLOOKUP(E393, Product_Master!$A$2:$A$101, Product_Master!$D$2:$D$101)</f>
        <v>42000</v>
      </c>
      <c r="L393">
        <f>_xlfn.XLOOKUP(E393, Product_Master!$A$2:$A$101, Product_Master!$E$2:$E$101)</f>
        <v>50000</v>
      </c>
      <c r="M393">
        <f t="shared" si="31"/>
        <v>250000</v>
      </c>
      <c r="N393">
        <f t="shared" si="32"/>
        <v>210000</v>
      </c>
      <c r="O393">
        <f t="shared" si="33"/>
        <v>40000</v>
      </c>
      <c r="P393" s="3">
        <f t="shared" si="34"/>
        <v>0.16</v>
      </c>
      <c r="Q393" s="3" t="str">
        <v>Low Profit</v>
      </c>
    </row>
    <row r="394" spans="1:17" x14ac:dyDescent="0.3">
      <c r="A394" t="s">
        <v>841</v>
      </c>
      <c r="B394" s="2">
        <v>45804</v>
      </c>
      <c r="C394" s="2" t="str">
        <f t="shared" si="30"/>
        <v>May</v>
      </c>
      <c r="D394" t="s">
        <v>96</v>
      </c>
      <c r="E394" t="s">
        <v>417</v>
      </c>
      <c r="F394">
        <v>5</v>
      </c>
      <c r="G394" t="s">
        <v>4</v>
      </c>
      <c r="H394" t="s">
        <v>31</v>
      </c>
      <c r="I394" t="s">
        <v>335</v>
      </c>
      <c r="J394" t="str">
        <f>_xlfn.XLOOKUP(E394, Product_Master!$A$2:$A$101, Product_Master!$C$2:$C$101)</f>
        <v>Accessories</v>
      </c>
      <c r="K394">
        <f>_xlfn.XLOOKUP(E394, Product_Master!$A$2:$A$101, Product_Master!$D$2:$D$101)</f>
        <v>900</v>
      </c>
      <c r="L394">
        <f>_xlfn.XLOOKUP(E394, Product_Master!$A$2:$A$101, Product_Master!$E$2:$E$101)</f>
        <v>1500</v>
      </c>
      <c r="M394">
        <f t="shared" si="31"/>
        <v>7500</v>
      </c>
      <c r="N394">
        <f t="shared" si="32"/>
        <v>4500</v>
      </c>
      <c r="O394">
        <f t="shared" si="33"/>
        <v>3000</v>
      </c>
      <c r="P394" s="3">
        <f t="shared" si="34"/>
        <v>0.4</v>
      </c>
      <c r="Q394" s="3" t="str">
        <v>High Profit</v>
      </c>
    </row>
    <row r="395" spans="1:17" x14ac:dyDescent="0.3">
      <c r="A395" t="s">
        <v>842</v>
      </c>
      <c r="B395" s="2">
        <v>46016</v>
      </c>
      <c r="C395" s="2" t="str">
        <f t="shared" si="30"/>
        <v>December</v>
      </c>
      <c r="D395" t="s">
        <v>318</v>
      </c>
      <c r="E395" t="s">
        <v>328</v>
      </c>
      <c r="F395">
        <v>4</v>
      </c>
      <c r="G395" t="s">
        <v>16</v>
      </c>
      <c r="H395" t="s">
        <v>31</v>
      </c>
      <c r="I395" t="s">
        <v>329</v>
      </c>
      <c r="J395" t="str">
        <f>_xlfn.XLOOKUP(E395, Product_Master!$A$2:$A$101, Product_Master!$C$2:$C$101)</f>
        <v>Electronics</v>
      </c>
      <c r="K395">
        <f>_xlfn.XLOOKUP(E395, Product_Master!$A$2:$A$101, Product_Master!$D$2:$D$101)</f>
        <v>20000</v>
      </c>
      <c r="L395">
        <f>_xlfn.XLOOKUP(E395, Product_Master!$A$2:$A$101, Product_Master!$E$2:$E$101)</f>
        <v>25000</v>
      </c>
      <c r="M395">
        <f t="shared" si="31"/>
        <v>100000</v>
      </c>
      <c r="N395">
        <f t="shared" si="32"/>
        <v>80000</v>
      </c>
      <c r="O395">
        <f t="shared" si="33"/>
        <v>20000</v>
      </c>
      <c r="P395" s="3">
        <f t="shared" si="34"/>
        <v>0.2</v>
      </c>
      <c r="Q395" s="3" t="str">
        <v>Low Profit</v>
      </c>
    </row>
    <row r="396" spans="1:17" x14ac:dyDescent="0.3">
      <c r="A396" t="s">
        <v>843</v>
      </c>
      <c r="B396" s="2">
        <v>45870</v>
      </c>
      <c r="C396" s="2" t="str">
        <f t="shared" si="30"/>
        <v>August</v>
      </c>
      <c r="D396" t="s">
        <v>214</v>
      </c>
      <c r="E396" t="s">
        <v>403</v>
      </c>
      <c r="F396">
        <v>2</v>
      </c>
      <c r="G396" t="s">
        <v>37</v>
      </c>
      <c r="H396" t="s">
        <v>39</v>
      </c>
      <c r="I396" t="s">
        <v>353</v>
      </c>
      <c r="J396" t="str">
        <f>_xlfn.XLOOKUP(E396, Product_Master!$A$2:$A$101, Product_Master!$C$2:$C$101)</f>
        <v>Electronics</v>
      </c>
      <c r="K396">
        <f>_xlfn.XLOOKUP(E396, Product_Master!$A$2:$A$101, Product_Master!$D$2:$D$101)</f>
        <v>12000</v>
      </c>
      <c r="L396">
        <f>_xlfn.XLOOKUP(E396, Product_Master!$A$2:$A$101, Product_Master!$E$2:$E$101)</f>
        <v>15000</v>
      </c>
      <c r="M396">
        <f t="shared" si="31"/>
        <v>30000</v>
      </c>
      <c r="N396">
        <f t="shared" si="32"/>
        <v>24000</v>
      </c>
      <c r="O396">
        <f t="shared" si="33"/>
        <v>6000</v>
      </c>
      <c r="P396" s="3">
        <f t="shared" si="34"/>
        <v>0.2</v>
      </c>
      <c r="Q396" s="3" t="str">
        <v>Low Profit</v>
      </c>
    </row>
    <row r="397" spans="1:17" x14ac:dyDescent="0.3">
      <c r="A397" t="s">
        <v>844</v>
      </c>
      <c r="B397" s="2">
        <v>46003</v>
      </c>
      <c r="C397" s="2" t="str">
        <f t="shared" si="30"/>
        <v>December</v>
      </c>
      <c r="D397" t="s">
        <v>283</v>
      </c>
      <c r="E397" t="s">
        <v>402</v>
      </c>
      <c r="F397">
        <v>1</v>
      </c>
      <c r="G397" t="s">
        <v>29</v>
      </c>
      <c r="H397" t="s">
        <v>8</v>
      </c>
      <c r="I397" t="s">
        <v>332</v>
      </c>
      <c r="J397" t="str">
        <f>_xlfn.XLOOKUP(E397, Product_Master!$A$2:$A$101, Product_Master!$C$2:$C$101)</f>
        <v>Accessories</v>
      </c>
      <c r="K397">
        <f>_xlfn.XLOOKUP(E397, Product_Master!$A$2:$A$101, Product_Master!$D$2:$D$101)</f>
        <v>500</v>
      </c>
      <c r="L397">
        <f>_xlfn.XLOOKUP(E397, Product_Master!$A$2:$A$101, Product_Master!$E$2:$E$101)</f>
        <v>800</v>
      </c>
      <c r="M397">
        <f t="shared" si="31"/>
        <v>800</v>
      </c>
      <c r="N397">
        <f t="shared" si="32"/>
        <v>500</v>
      </c>
      <c r="O397">
        <f t="shared" si="33"/>
        <v>300</v>
      </c>
      <c r="P397" s="3">
        <f t="shared" si="34"/>
        <v>0.375</v>
      </c>
      <c r="Q397" s="3" t="str">
        <v>High Profit</v>
      </c>
    </row>
    <row r="398" spans="1:17" x14ac:dyDescent="0.3">
      <c r="A398" t="s">
        <v>845</v>
      </c>
      <c r="B398" s="2">
        <v>45745</v>
      </c>
      <c r="C398" s="2" t="str">
        <f t="shared" si="30"/>
        <v>March</v>
      </c>
      <c r="D398" t="s">
        <v>13</v>
      </c>
      <c r="E398" t="s">
        <v>408</v>
      </c>
      <c r="F398">
        <v>5</v>
      </c>
      <c r="G398" t="s">
        <v>4</v>
      </c>
      <c r="H398" t="s">
        <v>14</v>
      </c>
      <c r="I398" t="s">
        <v>332</v>
      </c>
      <c r="J398" t="str">
        <f>_xlfn.XLOOKUP(E398, Product_Master!$A$2:$A$101, Product_Master!$C$2:$C$101)</f>
        <v>Accessories</v>
      </c>
      <c r="K398">
        <f>_xlfn.XLOOKUP(E398, Product_Master!$A$2:$A$101, Product_Master!$D$2:$D$101)</f>
        <v>500</v>
      </c>
      <c r="L398">
        <f>_xlfn.XLOOKUP(E398, Product_Master!$A$2:$A$101, Product_Master!$E$2:$E$101)</f>
        <v>800</v>
      </c>
      <c r="M398">
        <f t="shared" si="31"/>
        <v>4000</v>
      </c>
      <c r="N398">
        <f t="shared" si="32"/>
        <v>2500</v>
      </c>
      <c r="O398">
        <f t="shared" si="33"/>
        <v>1500</v>
      </c>
      <c r="P398" s="3">
        <f t="shared" si="34"/>
        <v>0.375</v>
      </c>
      <c r="Q398" s="3" t="str">
        <v>High Profit</v>
      </c>
    </row>
    <row r="399" spans="1:17" x14ac:dyDescent="0.3">
      <c r="A399" t="s">
        <v>846</v>
      </c>
      <c r="B399" s="2">
        <v>45768</v>
      </c>
      <c r="C399" s="2" t="str">
        <f t="shared" si="30"/>
        <v>April</v>
      </c>
      <c r="D399" t="s">
        <v>139</v>
      </c>
      <c r="E399" t="s">
        <v>334</v>
      </c>
      <c r="F399">
        <v>2</v>
      </c>
      <c r="G399" t="s">
        <v>37</v>
      </c>
      <c r="H399" t="s">
        <v>14</v>
      </c>
      <c r="I399" t="s">
        <v>335</v>
      </c>
      <c r="J399" t="str">
        <f>_xlfn.XLOOKUP(E399, Product_Master!$A$2:$A$101, Product_Master!$C$2:$C$101)</f>
        <v>Accessories</v>
      </c>
      <c r="K399">
        <f>_xlfn.XLOOKUP(E399, Product_Master!$A$2:$A$101, Product_Master!$D$2:$D$101)</f>
        <v>900</v>
      </c>
      <c r="L399">
        <f>_xlfn.XLOOKUP(E399, Product_Master!$A$2:$A$101, Product_Master!$E$2:$E$101)</f>
        <v>1500</v>
      </c>
      <c r="M399">
        <f t="shared" si="31"/>
        <v>3000</v>
      </c>
      <c r="N399">
        <f t="shared" si="32"/>
        <v>1800</v>
      </c>
      <c r="O399">
        <f t="shared" si="33"/>
        <v>1200</v>
      </c>
      <c r="P399" s="3">
        <f t="shared" si="34"/>
        <v>0.4</v>
      </c>
      <c r="Q399" s="3" t="str">
        <v>High Profit</v>
      </c>
    </row>
    <row r="400" spans="1:17" x14ac:dyDescent="0.3">
      <c r="A400" t="s">
        <v>847</v>
      </c>
      <c r="B400" s="2">
        <v>45823</v>
      </c>
      <c r="C400" s="2" t="str">
        <f t="shared" si="30"/>
        <v>June</v>
      </c>
      <c r="D400" t="s">
        <v>169</v>
      </c>
      <c r="E400" t="s">
        <v>422</v>
      </c>
      <c r="F400">
        <v>1</v>
      </c>
      <c r="G400" t="s">
        <v>10</v>
      </c>
      <c r="H400" t="s">
        <v>5</v>
      </c>
      <c r="I400" t="s">
        <v>332</v>
      </c>
      <c r="J400" t="str">
        <f>_xlfn.XLOOKUP(E400, Product_Master!$A$2:$A$101, Product_Master!$C$2:$C$101)</f>
        <v>Accessories</v>
      </c>
      <c r="K400">
        <f>_xlfn.XLOOKUP(E400, Product_Master!$A$2:$A$101, Product_Master!$D$2:$D$101)</f>
        <v>500</v>
      </c>
      <c r="L400">
        <f>_xlfn.XLOOKUP(E400, Product_Master!$A$2:$A$101, Product_Master!$E$2:$E$101)</f>
        <v>800</v>
      </c>
      <c r="M400">
        <f t="shared" si="31"/>
        <v>800</v>
      </c>
      <c r="N400">
        <f t="shared" si="32"/>
        <v>500</v>
      </c>
      <c r="O400">
        <f t="shared" si="33"/>
        <v>300</v>
      </c>
      <c r="P400" s="3">
        <f t="shared" si="34"/>
        <v>0.375</v>
      </c>
      <c r="Q400" s="3" t="str">
        <v>High Profit</v>
      </c>
    </row>
    <row r="401" spans="1:17" x14ac:dyDescent="0.3">
      <c r="A401" t="s">
        <v>848</v>
      </c>
      <c r="B401" s="2">
        <v>45753</v>
      </c>
      <c r="C401" s="2" t="str">
        <f t="shared" si="30"/>
        <v>April</v>
      </c>
      <c r="D401" t="s">
        <v>134</v>
      </c>
      <c r="E401" t="s">
        <v>427</v>
      </c>
      <c r="F401">
        <v>5</v>
      </c>
      <c r="G401" t="s">
        <v>10</v>
      </c>
      <c r="H401" t="s">
        <v>17</v>
      </c>
      <c r="I401" t="s">
        <v>329</v>
      </c>
      <c r="J401" t="str">
        <f>_xlfn.XLOOKUP(E401, Product_Master!$A$2:$A$101, Product_Master!$C$2:$C$101)</f>
        <v>Electronics</v>
      </c>
      <c r="K401">
        <f>_xlfn.XLOOKUP(E401, Product_Master!$A$2:$A$101, Product_Master!$D$2:$D$101)</f>
        <v>20000</v>
      </c>
      <c r="L401">
        <f>_xlfn.XLOOKUP(E401, Product_Master!$A$2:$A$101, Product_Master!$E$2:$E$101)</f>
        <v>25000</v>
      </c>
      <c r="M401">
        <f t="shared" si="31"/>
        <v>125000</v>
      </c>
      <c r="N401">
        <f t="shared" si="32"/>
        <v>100000</v>
      </c>
      <c r="O401">
        <f t="shared" si="33"/>
        <v>25000</v>
      </c>
      <c r="P401" s="3">
        <f t="shared" si="34"/>
        <v>0.2</v>
      </c>
      <c r="Q401" s="3" t="str">
        <v>Low Profit</v>
      </c>
    </row>
    <row r="402" spans="1:17" x14ac:dyDescent="0.3">
      <c r="A402" t="s">
        <v>849</v>
      </c>
      <c r="B402" s="2">
        <v>45764</v>
      </c>
      <c r="C402" s="2" t="str">
        <f t="shared" si="30"/>
        <v>April</v>
      </c>
      <c r="D402" t="s">
        <v>190</v>
      </c>
      <c r="E402" t="s">
        <v>362</v>
      </c>
      <c r="F402">
        <v>2</v>
      </c>
      <c r="G402" t="s">
        <v>24</v>
      </c>
      <c r="H402" t="s">
        <v>20</v>
      </c>
      <c r="I402" t="s">
        <v>332</v>
      </c>
      <c r="J402" t="str">
        <f>_xlfn.XLOOKUP(E402, Product_Master!$A$2:$A$101, Product_Master!$C$2:$C$101)</f>
        <v>Accessories</v>
      </c>
      <c r="K402">
        <f>_xlfn.XLOOKUP(E402, Product_Master!$A$2:$A$101, Product_Master!$D$2:$D$101)</f>
        <v>500</v>
      </c>
      <c r="L402">
        <f>_xlfn.XLOOKUP(E402, Product_Master!$A$2:$A$101, Product_Master!$E$2:$E$101)</f>
        <v>800</v>
      </c>
      <c r="M402">
        <f t="shared" si="31"/>
        <v>1600</v>
      </c>
      <c r="N402">
        <f t="shared" si="32"/>
        <v>1000</v>
      </c>
      <c r="O402">
        <f t="shared" si="33"/>
        <v>600</v>
      </c>
      <c r="P402" s="3">
        <f t="shared" si="34"/>
        <v>0.375</v>
      </c>
      <c r="Q402" s="3" t="str">
        <v>High Profit</v>
      </c>
    </row>
    <row r="403" spans="1:17" x14ac:dyDescent="0.3">
      <c r="A403" t="s">
        <v>850</v>
      </c>
      <c r="B403" s="2">
        <v>45933</v>
      </c>
      <c r="C403" s="2" t="str">
        <f t="shared" si="30"/>
        <v>October</v>
      </c>
      <c r="D403" t="s">
        <v>87</v>
      </c>
      <c r="E403" t="s">
        <v>406</v>
      </c>
      <c r="F403">
        <v>2</v>
      </c>
      <c r="G403" t="s">
        <v>47</v>
      </c>
      <c r="H403" t="s">
        <v>20</v>
      </c>
      <c r="I403" t="s">
        <v>344</v>
      </c>
      <c r="J403" t="str">
        <f>_xlfn.XLOOKUP(E403, Product_Master!$A$2:$A$101, Product_Master!$C$2:$C$101)</f>
        <v>Accessories</v>
      </c>
      <c r="K403">
        <f>_xlfn.XLOOKUP(E403, Product_Master!$A$2:$A$101, Product_Master!$D$2:$D$101)</f>
        <v>2000</v>
      </c>
      <c r="L403">
        <f>_xlfn.XLOOKUP(E403, Product_Master!$A$2:$A$101, Product_Master!$E$2:$E$101)</f>
        <v>3000</v>
      </c>
      <c r="M403">
        <f t="shared" si="31"/>
        <v>6000</v>
      </c>
      <c r="N403">
        <f t="shared" si="32"/>
        <v>4000</v>
      </c>
      <c r="O403">
        <f t="shared" si="33"/>
        <v>2000</v>
      </c>
      <c r="P403" s="3">
        <f t="shared" si="34"/>
        <v>0.33333333333333331</v>
      </c>
      <c r="Q403" s="3" t="str">
        <v>High Profit</v>
      </c>
    </row>
    <row r="404" spans="1:17" x14ac:dyDescent="0.3">
      <c r="A404" t="s">
        <v>851</v>
      </c>
      <c r="B404" s="2">
        <v>45748</v>
      </c>
      <c r="C404" s="2" t="str">
        <f t="shared" si="30"/>
        <v>April</v>
      </c>
      <c r="D404" t="s">
        <v>66</v>
      </c>
      <c r="E404" t="s">
        <v>402</v>
      </c>
      <c r="F404">
        <v>2</v>
      </c>
      <c r="G404" t="s">
        <v>24</v>
      </c>
      <c r="H404" t="s">
        <v>27</v>
      </c>
      <c r="I404" t="s">
        <v>332</v>
      </c>
      <c r="J404" t="str">
        <f>_xlfn.XLOOKUP(E404, Product_Master!$A$2:$A$101, Product_Master!$C$2:$C$101)</f>
        <v>Accessories</v>
      </c>
      <c r="K404">
        <f>_xlfn.XLOOKUP(E404, Product_Master!$A$2:$A$101, Product_Master!$D$2:$D$101)</f>
        <v>500</v>
      </c>
      <c r="L404">
        <f>_xlfn.XLOOKUP(E404, Product_Master!$A$2:$A$101, Product_Master!$E$2:$E$101)</f>
        <v>800</v>
      </c>
      <c r="M404">
        <f t="shared" si="31"/>
        <v>1600</v>
      </c>
      <c r="N404">
        <f t="shared" si="32"/>
        <v>1000</v>
      </c>
      <c r="O404">
        <f t="shared" si="33"/>
        <v>600</v>
      </c>
      <c r="P404" s="3">
        <f t="shared" si="34"/>
        <v>0.375</v>
      </c>
      <c r="Q404" s="3" t="str">
        <v>High Profit</v>
      </c>
    </row>
    <row r="405" spans="1:17" x14ac:dyDescent="0.3">
      <c r="A405" t="s">
        <v>852</v>
      </c>
      <c r="B405" s="2">
        <v>45971</v>
      </c>
      <c r="C405" s="2" t="str">
        <f t="shared" si="30"/>
        <v>November</v>
      </c>
      <c r="D405" t="s">
        <v>123</v>
      </c>
      <c r="E405" t="s">
        <v>439</v>
      </c>
      <c r="F405">
        <v>4</v>
      </c>
      <c r="G405" t="s">
        <v>22</v>
      </c>
      <c r="H405" t="s">
        <v>27</v>
      </c>
      <c r="I405" t="s">
        <v>353</v>
      </c>
      <c r="J405" t="str">
        <f>_xlfn.XLOOKUP(E405, Product_Master!$A$2:$A$101, Product_Master!$C$2:$C$101)</f>
        <v>Electronics</v>
      </c>
      <c r="K405">
        <f>_xlfn.XLOOKUP(E405, Product_Master!$A$2:$A$101, Product_Master!$D$2:$D$101)</f>
        <v>12000</v>
      </c>
      <c r="L405">
        <f>_xlfn.XLOOKUP(E405, Product_Master!$A$2:$A$101, Product_Master!$E$2:$E$101)</f>
        <v>15000</v>
      </c>
      <c r="M405">
        <f t="shared" si="31"/>
        <v>60000</v>
      </c>
      <c r="N405">
        <f t="shared" si="32"/>
        <v>48000</v>
      </c>
      <c r="O405">
        <f t="shared" si="33"/>
        <v>12000</v>
      </c>
      <c r="P405" s="3">
        <f t="shared" si="34"/>
        <v>0.2</v>
      </c>
      <c r="Q405" s="3" t="str">
        <v>Low Profit</v>
      </c>
    </row>
    <row r="406" spans="1:17" x14ac:dyDescent="0.3">
      <c r="A406" t="s">
        <v>853</v>
      </c>
      <c r="B406" s="2">
        <v>45957</v>
      </c>
      <c r="C406" s="2" t="str">
        <f t="shared" si="30"/>
        <v>October</v>
      </c>
      <c r="D406" t="s">
        <v>43</v>
      </c>
      <c r="E406" t="s">
        <v>431</v>
      </c>
      <c r="F406">
        <v>3</v>
      </c>
      <c r="G406" t="s">
        <v>24</v>
      </c>
      <c r="H406" t="s">
        <v>31</v>
      </c>
      <c r="I406" t="s">
        <v>332</v>
      </c>
      <c r="J406" t="str">
        <f>_xlfn.XLOOKUP(E406, Product_Master!$A$2:$A$101, Product_Master!$C$2:$C$101)</f>
        <v>Accessories</v>
      </c>
      <c r="K406">
        <f>_xlfn.XLOOKUP(E406, Product_Master!$A$2:$A$101, Product_Master!$D$2:$D$101)</f>
        <v>500</v>
      </c>
      <c r="L406">
        <f>_xlfn.XLOOKUP(E406, Product_Master!$A$2:$A$101, Product_Master!$E$2:$E$101)</f>
        <v>800</v>
      </c>
      <c r="M406">
        <f t="shared" si="31"/>
        <v>2400</v>
      </c>
      <c r="N406">
        <f t="shared" si="32"/>
        <v>1500</v>
      </c>
      <c r="O406">
        <f t="shared" si="33"/>
        <v>900</v>
      </c>
      <c r="P406" s="3">
        <f t="shared" si="34"/>
        <v>0.375</v>
      </c>
      <c r="Q406" s="3" t="str">
        <v>High Profit</v>
      </c>
    </row>
    <row r="407" spans="1:17" x14ac:dyDescent="0.3">
      <c r="A407" t="s">
        <v>854</v>
      </c>
      <c r="B407" s="2">
        <v>45827</v>
      </c>
      <c r="C407" s="2" t="str">
        <f t="shared" si="30"/>
        <v>June</v>
      </c>
      <c r="D407" t="s">
        <v>194</v>
      </c>
      <c r="E407" t="s">
        <v>434</v>
      </c>
      <c r="F407">
        <v>3</v>
      </c>
      <c r="G407" t="s">
        <v>47</v>
      </c>
      <c r="H407" t="s">
        <v>5</v>
      </c>
      <c r="I407" t="s">
        <v>346</v>
      </c>
      <c r="J407" t="str">
        <f>_xlfn.XLOOKUP(E407, Product_Master!$A$2:$A$101, Product_Master!$C$2:$C$101)</f>
        <v>Accessories</v>
      </c>
      <c r="K407">
        <f>_xlfn.XLOOKUP(E407, Product_Master!$A$2:$A$101, Product_Master!$D$2:$D$101)</f>
        <v>9000</v>
      </c>
      <c r="L407">
        <f>_xlfn.XLOOKUP(E407, Product_Master!$A$2:$A$101, Product_Master!$E$2:$E$101)</f>
        <v>12000</v>
      </c>
      <c r="M407">
        <f t="shared" si="31"/>
        <v>36000</v>
      </c>
      <c r="N407">
        <f t="shared" si="32"/>
        <v>27000</v>
      </c>
      <c r="O407">
        <f t="shared" si="33"/>
        <v>9000</v>
      </c>
      <c r="P407" s="3">
        <f t="shared" si="34"/>
        <v>0.25</v>
      </c>
      <c r="Q407" s="3" t="str">
        <v>High Profit</v>
      </c>
    </row>
    <row r="408" spans="1:17" x14ac:dyDescent="0.3">
      <c r="A408" t="s">
        <v>855</v>
      </c>
      <c r="B408" s="2">
        <v>45840</v>
      </c>
      <c r="C408" s="2" t="str">
        <f t="shared" si="30"/>
        <v>July</v>
      </c>
      <c r="D408" t="s">
        <v>66</v>
      </c>
      <c r="E408" t="s">
        <v>388</v>
      </c>
      <c r="F408">
        <v>4</v>
      </c>
      <c r="G408" t="s">
        <v>24</v>
      </c>
      <c r="H408" t="s">
        <v>27</v>
      </c>
      <c r="I408" t="s">
        <v>344</v>
      </c>
      <c r="J408" t="str">
        <f>_xlfn.XLOOKUP(E408, Product_Master!$A$2:$A$101, Product_Master!$C$2:$C$101)</f>
        <v>Accessories</v>
      </c>
      <c r="K408">
        <f>_xlfn.XLOOKUP(E408, Product_Master!$A$2:$A$101, Product_Master!$D$2:$D$101)</f>
        <v>2000</v>
      </c>
      <c r="L408">
        <f>_xlfn.XLOOKUP(E408, Product_Master!$A$2:$A$101, Product_Master!$E$2:$E$101)</f>
        <v>3000</v>
      </c>
      <c r="M408">
        <f t="shared" si="31"/>
        <v>12000</v>
      </c>
      <c r="N408">
        <f t="shared" si="32"/>
        <v>8000</v>
      </c>
      <c r="O408">
        <f t="shared" si="33"/>
        <v>4000</v>
      </c>
      <c r="P408" s="3">
        <f t="shared" si="34"/>
        <v>0.33333333333333331</v>
      </c>
      <c r="Q408" s="3" t="str">
        <v>High Profit</v>
      </c>
    </row>
    <row r="409" spans="1:17" x14ac:dyDescent="0.3">
      <c r="A409" t="s">
        <v>856</v>
      </c>
      <c r="B409" s="2">
        <v>45889</v>
      </c>
      <c r="C409" s="2" t="str">
        <f t="shared" si="30"/>
        <v>August</v>
      </c>
      <c r="D409" t="s">
        <v>144</v>
      </c>
      <c r="E409" t="s">
        <v>438</v>
      </c>
      <c r="F409">
        <v>2</v>
      </c>
      <c r="G409" t="s">
        <v>47</v>
      </c>
      <c r="H409" t="s">
        <v>31</v>
      </c>
      <c r="I409" t="s">
        <v>329</v>
      </c>
      <c r="J409" t="str">
        <f>_xlfn.XLOOKUP(E409, Product_Master!$A$2:$A$101, Product_Master!$C$2:$C$101)</f>
        <v>Electronics</v>
      </c>
      <c r="K409">
        <f>_xlfn.XLOOKUP(E409, Product_Master!$A$2:$A$101, Product_Master!$D$2:$D$101)</f>
        <v>20000</v>
      </c>
      <c r="L409">
        <f>_xlfn.XLOOKUP(E409, Product_Master!$A$2:$A$101, Product_Master!$E$2:$E$101)</f>
        <v>25000</v>
      </c>
      <c r="M409">
        <f t="shared" si="31"/>
        <v>50000</v>
      </c>
      <c r="N409">
        <f t="shared" si="32"/>
        <v>40000</v>
      </c>
      <c r="O409">
        <f t="shared" si="33"/>
        <v>10000</v>
      </c>
      <c r="P409" s="3">
        <f t="shared" si="34"/>
        <v>0.2</v>
      </c>
      <c r="Q409" s="3" t="str">
        <v>Low Profit</v>
      </c>
    </row>
    <row r="410" spans="1:17" x14ac:dyDescent="0.3">
      <c r="A410" t="s">
        <v>857</v>
      </c>
      <c r="B410" s="2">
        <v>45696</v>
      </c>
      <c r="C410" s="2" t="str">
        <f t="shared" si="30"/>
        <v>February</v>
      </c>
      <c r="D410" t="s">
        <v>273</v>
      </c>
      <c r="E410" t="s">
        <v>402</v>
      </c>
      <c r="F410">
        <v>4</v>
      </c>
      <c r="G410" t="s">
        <v>24</v>
      </c>
      <c r="H410" t="s">
        <v>1455</v>
      </c>
      <c r="I410" t="s">
        <v>332</v>
      </c>
      <c r="J410" t="str">
        <f>_xlfn.XLOOKUP(E410, Product_Master!$A$2:$A$101, Product_Master!$C$2:$C$101)</f>
        <v>Accessories</v>
      </c>
      <c r="K410">
        <f>_xlfn.XLOOKUP(E410, Product_Master!$A$2:$A$101, Product_Master!$D$2:$D$101)</f>
        <v>500</v>
      </c>
      <c r="L410">
        <f>_xlfn.XLOOKUP(E410, Product_Master!$A$2:$A$101, Product_Master!$E$2:$E$101)</f>
        <v>800</v>
      </c>
      <c r="M410">
        <f t="shared" si="31"/>
        <v>3200</v>
      </c>
      <c r="N410">
        <f t="shared" si="32"/>
        <v>2000</v>
      </c>
      <c r="O410">
        <f t="shared" si="33"/>
        <v>1200</v>
      </c>
      <c r="P410" s="3">
        <f t="shared" si="34"/>
        <v>0.375</v>
      </c>
      <c r="Q410" s="3" t="str">
        <v>High Profit</v>
      </c>
    </row>
    <row r="411" spans="1:17" x14ac:dyDescent="0.3">
      <c r="A411" t="s">
        <v>858</v>
      </c>
      <c r="B411" s="2">
        <v>45950</v>
      </c>
      <c r="C411" s="2" t="str">
        <f t="shared" si="30"/>
        <v>October</v>
      </c>
      <c r="D411" t="s">
        <v>319</v>
      </c>
      <c r="E411" t="s">
        <v>406</v>
      </c>
      <c r="F411">
        <v>4</v>
      </c>
      <c r="G411" t="s">
        <v>12</v>
      </c>
      <c r="H411" t="s">
        <v>20</v>
      </c>
      <c r="I411" t="s">
        <v>344</v>
      </c>
      <c r="J411" t="str">
        <f>_xlfn.XLOOKUP(E411, Product_Master!$A$2:$A$101, Product_Master!$C$2:$C$101)</f>
        <v>Accessories</v>
      </c>
      <c r="K411">
        <f>_xlfn.XLOOKUP(E411, Product_Master!$A$2:$A$101, Product_Master!$D$2:$D$101)</f>
        <v>2000</v>
      </c>
      <c r="L411">
        <f>_xlfn.XLOOKUP(E411, Product_Master!$A$2:$A$101, Product_Master!$E$2:$E$101)</f>
        <v>3000</v>
      </c>
      <c r="M411">
        <f t="shared" si="31"/>
        <v>12000</v>
      </c>
      <c r="N411">
        <f t="shared" si="32"/>
        <v>8000</v>
      </c>
      <c r="O411">
        <f t="shared" si="33"/>
        <v>4000</v>
      </c>
      <c r="P411" s="3">
        <f t="shared" si="34"/>
        <v>0.33333333333333331</v>
      </c>
      <c r="Q411" s="3" t="str">
        <v>High Profit</v>
      </c>
    </row>
    <row r="412" spans="1:17" x14ac:dyDescent="0.3">
      <c r="A412" t="s">
        <v>859</v>
      </c>
      <c r="B412" s="2">
        <v>45913</v>
      </c>
      <c r="C412" s="2" t="str">
        <f t="shared" si="30"/>
        <v>September</v>
      </c>
      <c r="D412" t="s">
        <v>21</v>
      </c>
      <c r="E412" t="s">
        <v>343</v>
      </c>
      <c r="F412">
        <v>2</v>
      </c>
      <c r="G412" t="s">
        <v>22</v>
      </c>
      <c r="H412" t="s">
        <v>20</v>
      </c>
      <c r="I412" t="s">
        <v>344</v>
      </c>
      <c r="J412" t="str">
        <f>_xlfn.XLOOKUP(E412, Product_Master!$A$2:$A$101, Product_Master!$C$2:$C$101)</f>
        <v>Accessories</v>
      </c>
      <c r="K412">
        <f>_xlfn.XLOOKUP(E412, Product_Master!$A$2:$A$101, Product_Master!$D$2:$D$101)</f>
        <v>2000</v>
      </c>
      <c r="L412">
        <f>_xlfn.XLOOKUP(E412, Product_Master!$A$2:$A$101, Product_Master!$E$2:$E$101)</f>
        <v>3000</v>
      </c>
      <c r="M412">
        <f t="shared" si="31"/>
        <v>6000</v>
      </c>
      <c r="N412">
        <f t="shared" si="32"/>
        <v>4000</v>
      </c>
      <c r="O412">
        <f t="shared" si="33"/>
        <v>2000</v>
      </c>
      <c r="P412" s="3">
        <f t="shared" si="34"/>
        <v>0.33333333333333331</v>
      </c>
      <c r="Q412" s="3" t="str">
        <v>High Profit</v>
      </c>
    </row>
    <row r="413" spans="1:17" x14ac:dyDescent="0.3">
      <c r="A413" t="s">
        <v>860</v>
      </c>
      <c r="B413" s="2">
        <v>45862</v>
      </c>
      <c r="C413" s="2" t="str">
        <f t="shared" si="30"/>
        <v>July</v>
      </c>
      <c r="D413" t="s">
        <v>215</v>
      </c>
      <c r="E413" t="s">
        <v>374</v>
      </c>
      <c r="F413">
        <v>4</v>
      </c>
      <c r="G413" t="s">
        <v>45</v>
      </c>
      <c r="H413" t="s">
        <v>8</v>
      </c>
      <c r="I413" t="s">
        <v>346</v>
      </c>
      <c r="J413" t="str">
        <f>_xlfn.XLOOKUP(E413, Product_Master!$A$2:$A$101, Product_Master!$C$2:$C$101)</f>
        <v>Accessories</v>
      </c>
      <c r="K413">
        <f>_xlfn.XLOOKUP(E413, Product_Master!$A$2:$A$101, Product_Master!$D$2:$D$101)</f>
        <v>9000</v>
      </c>
      <c r="L413">
        <f>_xlfn.XLOOKUP(E413, Product_Master!$A$2:$A$101, Product_Master!$E$2:$E$101)</f>
        <v>12000</v>
      </c>
      <c r="M413">
        <f t="shared" si="31"/>
        <v>48000</v>
      </c>
      <c r="N413">
        <f t="shared" si="32"/>
        <v>36000</v>
      </c>
      <c r="O413">
        <f t="shared" si="33"/>
        <v>12000</v>
      </c>
      <c r="P413" s="3">
        <f t="shared" si="34"/>
        <v>0.25</v>
      </c>
      <c r="Q413" s="3" t="str">
        <v>High Profit</v>
      </c>
    </row>
    <row r="414" spans="1:17" x14ac:dyDescent="0.3">
      <c r="A414" t="s">
        <v>861</v>
      </c>
      <c r="B414" s="2">
        <v>45860</v>
      </c>
      <c r="C414" s="2" t="str">
        <f t="shared" si="30"/>
        <v>July</v>
      </c>
      <c r="D414" t="s">
        <v>196</v>
      </c>
      <c r="E414" t="s">
        <v>426</v>
      </c>
      <c r="F414">
        <v>5</v>
      </c>
      <c r="G414" t="s">
        <v>37</v>
      </c>
      <c r="H414" t="s">
        <v>5</v>
      </c>
      <c r="I414" t="s">
        <v>337</v>
      </c>
      <c r="J414" t="str">
        <f>_xlfn.XLOOKUP(E414, Product_Master!$A$2:$A$101, Product_Master!$C$2:$C$101)</f>
        <v>Electronics</v>
      </c>
      <c r="K414">
        <f>_xlfn.XLOOKUP(E414, Product_Master!$A$2:$A$101, Product_Master!$D$2:$D$101)</f>
        <v>15000</v>
      </c>
      <c r="L414">
        <f>_xlfn.XLOOKUP(E414, Product_Master!$A$2:$A$101, Product_Master!$E$2:$E$101)</f>
        <v>18000</v>
      </c>
      <c r="M414">
        <f t="shared" si="31"/>
        <v>90000</v>
      </c>
      <c r="N414">
        <f t="shared" si="32"/>
        <v>75000</v>
      </c>
      <c r="O414">
        <f t="shared" si="33"/>
        <v>15000</v>
      </c>
      <c r="P414" s="3">
        <f t="shared" si="34"/>
        <v>0.16666666666666666</v>
      </c>
      <c r="Q414" s="3" t="str">
        <v>Low Profit</v>
      </c>
    </row>
    <row r="415" spans="1:17" x14ac:dyDescent="0.3">
      <c r="A415" t="s">
        <v>862</v>
      </c>
      <c r="B415" s="2">
        <v>45685</v>
      </c>
      <c r="C415" s="2" t="str">
        <f t="shared" si="30"/>
        <v>January</v>
      </c>
      <c r="D415" t="s">
        <v>469</v>
      </c>
      <c r="E415" t="s">
        <v>397</v>
      </c>
      <c r="F415">
        <v>4</v>
      </c>
      <c r="G415" t="s">
        <v>1454</v>
      </c>
      <c r="H415" t="s">
        <v>1455</v>
      </c>
      <c r="I415" t="s">
        <v>344</v>
      </c>
      <c r="J415" t="str">
        <f>_xlfn.XLOOKUP(E415, Product_Master!$A$2:$A$101, Product_Master!$C$2:$C$101)</f>
        <v>Accessories</v>
      </c>
      <c r="K415">
        <f>_xlfn.XLOOKUP(E415, Product_Master!$A$2:$A$101, Product_Master!$D$2:$D$101)</f>
        <v>2000</v>
      </c>
      <c r="L415">
        <f>_xlfn.XLOOKUP(E415, Product_Master!$A$2:$A$101, Product_Master!$E$2:$E$101)</f>
        <v>3000</v>
      </c>
      <c r="M415">
        <f t="shared" si="31"/>
        <v>12000</v>
      </c>
      <c r="N415">
        <f t="shared" si="32"/>
        <v>8000</v>
      </c>
      <c r="O415">
        <f t="shared" si="33"/>
        <v>4000</v>
      </c>
      <c r="P415" s="3">
        <f t="shared" si="34"/>
        <v>0.33333333333333331</v>
      </c>
      <c r="Q415" s="3" t="str">
        <v>High Profit</v>
      </c>
    </row>
    <row r="416" spans="1:17" x14ac:dyDescent="0.3">
      <c r="A416" t="s">
        <v>863</v>
      </c>
      <c r="B416" s="2">
        <v>45903</v>
      </c>
      <c r="C416" s="2" t="str">
        <f t="shared" si="30"/>
        <v>September</v>
      </c>
      <c r="D416" t="s">
        <v>74</v>
      </c>
      <c r="E416" t="s">
        <v>435</v>
      </c>
      <c r="F416">
        <v>4</v>
      </c>
      <c r="G416" t="s">
        <v>19</v>
      </c>
      <c r="H416" t="s">
        <v>14</v>
      </c>
      <c r="I416" t="s">
        <v>346</v>
      </c>
      <c r="J416" t="str">
        <f>_xlfn.XLOOKUP(E416, Product_Master!$A$2:$A$101, Product_Master!$C$2:$C$101)</f>
        <v>Accessories</v>
      </c>
      <c r="K416">
        <f>_xlfn.XLOOKUP(E416, Product_Master!$A$2:$A$101, Product_Master!$D$2:$D$101)</f>
        <v>9000</v>
      </c>
      <c r="L416">
        <f>_xlfn.XLOOKUP(E416, Product_Master!$A$2:$A$101, Product_Master!$E$2:$E$101)</f>
        <v>12000</v>
      </c>
      <c r="M416">
        <f t="shared" si="31"/>
        <v>48000</v>
      </c>
      <c r="N416">
        <f t="shared" si="32"/>
        <v>36000</v>
      </c>
      <c r="O416">
        <f t="shared" si="33"/>
        <v>12000</v>
      </c>
      <c r="P416" s="3">
        <f t="shared" si="34"/>
        <v>0.25</v>
      </c>
      <c r="Q416" s="3" t="str">
        <v>High Profit</v>
      </c>
    </row>
    <row r="417" spans="1:17" x14ac:dyDescent="0.3">
      <c r="A417" t="s">
        <v>864</v>
      </c>
      <c r="B417" s="2">
        <v>45679</v>
      </c>
      <c r="C417" s="2" t="str">
        <f t="shared" si="30"/>
        <v>January</v>
      </c>
      <c r="D417" t="s">
        <v>176</v>
      </c>
      <c r="E417" t="s">
        <v>385</v>
      </c>
      <c r="F417">
        <v>3</v>
      </c>
      <c r="G417" t="s">
        <v>45</v>
      </c>
      <c r="H417" t="s">
        <v>20</v>
      </c>
      <c r="I417" t="s">
        <v>340</v>
      </c>
      <c r="J417" t="str">
        <f>_xlfn.XLOOKUP(E417, Product_Master!$A$2:$A$101, Product_Master!$C$2:$C$101)</f>
        <v>Electronics</v>
      </c>
      <c r="K417">
        <f>_xlfn.XLOOKUP(E417, Product_Master!$A$2:$A$101, Product_Master!$D$2:$D$101)</f>
        <v>42000</v>
      </c>
      <c r="L417">
        <f>_xlfn.XLOOKUP(E417, Product_Master!$A$2:$A$101, Product_Master!$E$2:$E$101)</f>
        <v>50000</v>
      </c>
      <c r="M417">
        <f t="shared" si="31"/>
        <v>150000</v>
      </c>
      <c r="N417">
        <f t="shared" si="32"/>
        <v>126000</v>
      </c>
      <c r="O417">
        <f t="shared" si="33"/>
        <v>24000</v>
      </c>
      <c r="P417" s="3">
        <f t="shared" si="34"/>
        <v>0.16</v>
      </c>
      <c r="Q417" s="3" t="str">
        <v>Low Profit</v>
      </c>
    </row>
    <row r="418" spans="1:17" x14ac:dyDescent="0.3">
      <c r="A418" t="s">
        <v>865</v>
      </c>
      <c r="B418" s="2">
        <v>45859</v>
      </c>
      <c r="C418" s="2" t="str">
        <f t="shared" si="30"/>
        <v>July</v>
      </c>
      <c r="D418" t="s">
        <v>146</v>
      </c>
      <c r="E418" t="s">
        <v>441</v>
      </c>
      <c r="F418">
        <v>3</v>
      </c>
      <c r="G418" t="s">
        <v>7</v>
      </c>
      <c r="H418" t="s">
        <v>14</v>
      </c>
      <c r="I418" t="s">
        <v>346</v>
      </c>
      <c r="J418" t="str">
        <f>_xlfn.XLOOKUP(E418, Product_Master!$A$2:$A$101, Product_Master!$C$2:$C$101)</f>
        <v>Accessories</v>
      </c>
      <c r="K418">
        <f>_xlfn.XLOOKUP(E418, Product_Master!$A$2:$A$101, Product_Master!$D$2:$D$101)</f>
        <v>9000</v>
      </c>
      <c r="L418">
        <f>_xlfn.XLOOKUP(E418, Product_Master!$A$2:$A$101, Product_Master!$E$2:$E$101)</f>
        <v>12000</v>
      </c>
      <c r="M418">
        <f t="shared" si="31"/>
        <v>36000</v>
      </c>
      <c r="N418">
        <f t="shared" si="32"/>
        <v>27000</v>
      </c>
      <c r="O418">
        <f t="shared" si="33"/>
        <v>9000</v>
      </c>
      <c r="P418" s="3">
        <f t="shared" si="34"/>
        <v>0.25</v>
      </c>
      <c r="Q418" s="3" t="str">
        <v>High Profit</v>
      </c>
    </row>
    <row r="419" spans="1:17" x14ac:dyDescent="0.3">
      <c r="A419" t="s">
        <v>866</v>
      </c>
      <c r="B419" s="2">
        <v>45957</v>
      </c>
      <c r="C419" s="2" t="str">
        <f t="shared" si="30"/>
        <v>October</v>
      </c>
      <c r="D419" t="s">
        <v>129</v>
      </c>
      <c r="E419" t="s">
        <v>358</v>
      </c>
      <c r="F419">
        <v>2</v>
      </c>
      <c r="G419" t="s">
        <v>16</v>
      </c>
      <c r="H419" t="s">
        <v>20</v>
      </c>
      <c r="I419" t="s">
        <v>332</v>
      </c>
      <c r="J419" t="str">
        <f>_xlfn.XLOOKUP(E419, Product_Master!$A$2:$A$101, Product_Master!$C$2:$C$101)</f>
        <v>Accessories</v>
      </c>
      <c r="K419">
        <f>_xlfn.XLOOKUP(E419, Product_Master!$A$2:$A$101, Product_Master!$D$2:$D$101)</f>
        <v>500</v>
      </c>
      <c r="L419">
        <f>_xlfn.XLOOKUP(E419, Product_Master!$A$2:$A$101, Product_Master!$E$2:$E$101)</f>
        <v>800</v>
      </c>
      <c r="M419">
        <f t="shared" si="31"/>
        <v>1600</v>
      </c>
      <c r="N419">
        <f t="shared" si="32"/>
        <v>1000</v>
      </c>
      <c r="O419">
        <f t="shared" si="33"/>
        <v>600</v>
      </c>
      <c r="P419" s="3">
        <f t="shared" si="34"/>
        <v>0.375</v>
      </c>
      <c r="Q419" s="3" t="str">
        <v>High Profit</v>
      </c>
    </row>
    <row r="420" spans="1:17" x14ac:dyDescent="0.3">
      <c r="A420" t="s">
        <v>867</v>
      </c>
      <c r="B420" s="2">
        <v>45825</v>
      </c>
      <c r="C420" s="2" t="str">
        <f t="shared" si="30"/>
        <v>June</v>
      </c>
      <c r="D420" t="s">
        <v>171</v>
      </c>
      <c r="E420" t="s">
        <v>401</v>
      </c>
      <c r="F420">
        <v>5</v>
      </c>
      <c r="G420" t="s">
        <v>19</v>
      </c>
      <c r="H420" t="s">
        <v>14</v>
      </c>
      <c r="I420" t="s">
        <v>335</v>
      </c>
      <c r="J420" t="str">
        <f>_xlfn.XLOOKUP(E420, Product_Master!$A$2:$A$101, Product_Master!$C$2:$C$101)</f>
        <v>Accessories</v>
      </c>
      <c r="K420">
        <f>_xlfn.XLOOKUP(E420, Product_Master!$A$2:$A$101, Product_Master!$D$2:$D$101)</f>
        <v>900</v>
      </c>
      <c r="L420">
        <f>_xlfn.XLOOKUP(E420, Product_Master!$A$2:$A$101, Product_Master!$E$2:$E$101)</f>
        <v>1500</v>
      </c>
      <c r="M420">
        <f t="shared" si="31"/>
        <v>7500</v>
      </c>
      <c r="N420">
        <f t="shared" si="32"/>
        <v>4500</v>
      </c>
      <c r="O420">
        <f t="shared" si="33"/>
        <v>3000</v>
      </c>
      <c r="P420" s="3">
        <f t="shared" si="34"/>
        <v>0.4</v>
      </c>
      <c r="Q420" s="3" t="str">
        <v>High Profit</v>
      </c>
    </row>
    <row r="421" spans="1:17" x14ac:dyDescent="0.3">
      <c r="A421" t="s">
        <v>868</v>
      </c>
      <c r="B421" s="2">
        <v>45853</v>
      </c>
      <c r="C421" s="2" t="str">
        <f t="shared" si="30"/>
        <v>July</v>
      </c>
      <c r="D421" t="s">
        <v>95</v>
      </c>
      <c r="E421" t="s">
        <v>376</v>
      </c>
      <c r="F421">
        <v>1</v>
      </c>
      <c r="G421" t="s">
        <v>24</v>
      </c>
      <c r="H421" t="s">
        <v>5</v>
      </c>
      <c r="I421" t="s">
        <v>353</v>
      </c>
      <c r="J421" t="str">
        <f>_xlfn.XLOOKUP(E421, Product_Master!$A$2:$A$101, Product_Master!$C$2:$C$101)</f>
        <v>Electronics</v>
      </c>
      <c r="K421">
        <f>_xlfn.XLOOKUP(E421, Product_Master!$A$2:$A$101, Product_Master!$D$2:$D$101)</f>
        <v>12000</v>
      </c>
      <c r="L421">
        <f>_xlfn.XLOOKUP(E421, Product_Master!$A$2:$A$101, Product_Master!$E$2:$E$101)</f>
        <v>15000</v>
      </c>
      <c r="M421">
        <f t="shared" si="31"/>
        <v>15000</v>
      </c>
      <c r="N421">
        <f t="shared" si="32"/>
        <v>12000</v>
      </c>
      <c r="O421">
        <f t="shared" si="33"/>
        <v>3000</v>
      </c>
      <c r="P421" s="3">
        <f t="shared" si="34"/>
        <v>0.2</v>
      </c>
      <c r="Q421" s="3" t="str">
        <v>Low Profit</v>
      </c>
    </row>
    <row r="422" spans="1:17" x14ac:dyDescent="0.3">
      <c r="A422" t="s">
        <v>869</v>
      </c>
      <c r="B422" s="2">
        <v>45862</v>
      </c>
      <c r="C422" s="2" t="str">
        <f t="shared" si="30"/>
        <v>July</v>
      </c>
      <c r="D422" t="s">
        <v>198</v>
      </c>
      <c r="E422" t="s">
        <v>440</v>
      </c>
      <c r="F422">
        <v>2</v>
      </c>
      <c r="G422" t="s">
        <v>45</v>
      </c>
      <c r="H422" t="s">
        <v>27</v>
      </c>
      <c r="I422" t="s">
        <v>346</v>
      </c>
      <c r="J422" t="str">
        <f>_xlfn.XLOOKUP(E422, Product_Master!$A$2:$A$101, Product_Master!$C$2:$C$101)</f>
        <v>Accessories</v>
      </c>
      <c r="K422">
        <f>_xlfn.XLOOKUP(E422, Product_Master!$A$2:$A$101, Product_Master!$D$2:$D$101)</f>
        <v>9000</v>
      </c>
      <c r="L422">
        <f>_xlfn.XLOOKUP(E422, Product_Master!$A$2:$A$101, Product_Master!$E$2:$E$101)</f>
        <v>12000</v>
      </c>
      <c r="M422">
        <f t="shared" si="31"/>
        <v>24000</v>
      </c>
      <c r="N422">
        <f t="shared" si="32"/>
        <v>18000</v>
      </c>
      <c r="O422">
        <f t="shared" si="33"/>
        <v>6000</v>
      </c>
      <c r="P422" s="3">
        <f t="shared" si="34"/>
        <v>0.25</v>
      </c>
      <c r="Q422" s="3" t="str">
        <v>High Profit</v>
      </c>
    </row>
    <row r="423" spans="1:17" x14ac:dyDescent="0.3">
      <c r="A423" t="s">
        <v>870</v>
      </c>
      <c r="B423" s="2">
        <v>46019</v>
      </c>
      <c r="C423" s="2" t="str">
        <f t="shared" si="30"/>
        <v>December</v>
      </c>
      <c r="D423" t="s">
        <v>153</v>
      </c>
      <c r="E423" t="s">
        <v>434</v>
      </c>
      <c r="F423">
        <v>4</v>
      </c>
      <c r="G423" t="s">
        <v>4</v>
      </c>
      <c r="H423" t="s">
        <v>27</v>
      </c>
      <c r="I423" t="s">
        <v>346</v>
      </c>
      <c r="J423" t="str">
        <f>_xlfn.XLOOKUP(E423, Product_Master!$A$2:$A$101, Product_Master!$C$2:$C$101)</f>
        <v>Accessories</v>
      </c>
      <c r="K423">
        <f>_xlfn.XLOOKUP(E423, Product_Master!$A$2:$A$101, Product_Master!$D$2:$D$101)</f>
        <v>9000</v>
      </c>
      <c r="L423">
        <f>_xlfn.XLOOKUP(E423, Product_Master!$A$2:$A$101, Product_Master!$E$2:$E$101)</f>
        <v>12000</v>
      </c>
      <c r="M423">
        <f t="shared" si="31"/>
        <v>48000</v>
      </c>
      <c r="N423">
        <f t="shared" si="32"/>
        <v>36000</v>
      </c>
      <c r="O423">
        <f t="shared" si="33"/>
        <v>12000</v>
      </c>
      <c r="P423" s="3">
        <f t="shared" si="34"/>
        <v>0.25</v>
      </c>
      <c r="Q423" s="3" t="str">
        <v>High Profit</v>
      </c>
    </row>
    <row r="424" spans="1:17" x14ac:dyDescent="0.3">
      <c r="A424" t="s">
        <v>871</v>
      </c>
      <c r="B424" s="2">
        <v>45934</v>
      </c>
      <c r="C424" s="2" t="str">
        <f t="shared" si="30"/>
        <v>October</v>
      </c>
      <c r="D424" t="s">
        <v>316</v>
      </c>
      <c r="E424" t="s">
        <v>387</v>
      </c>
      <c r="F424">
        <v>5</v>
      </c>
      <c r="G424" t="s">
        <v>12</v>
      </c>
      <c r="H424" t="s">
        <v>31</v>
      </c>
      <c r="I424" t="s">
        <v>332</v>
      </c>
      <c r="J424" t="str">
        <f>_xlfn.XLOOKUP(E424, Product_Master!$A$2:$A$101, Product_Master!$C$2:$C$101)</f>
        <v>Accessories</v>
      </c>
      <c r="K424">
        <f>_xlfn.XLOOKUP(E424, Product_Master!$A$2:$A$101, Product_Master!$D$2:$D$101)</f>
        <v>500</v>
      </c>
      <c r="L424">
        <f>_xlfn.XLOOKUP(E424, Product_Master!$A$2:$A$101, Product_Master!$E$2:$E$101)</f>
        <v>800</v>
      </c>
      <c r="M424">
        <f t="shared" si="31"/>
        <v>4000</v>
      </c>
      <c r="N424">
        <f t="shared" si="32"/>
        <v>2500</v>
      </c>
      <c r="O424">
        <f t="shared" si="33"/>
        <v>1500</v>
      </c>
      <c r="P424" s="3">
        <f t="shared" si="34"/>
        <v>0.375</v>
      </c>
      <c r="Q424" s="3" t="str">
        <v>High Profit</v>
      </c>
    </row>
    <row r="425" spans="1:17" x14ac:dyDescent="0.3">
      <c r="A425" t="s">
        <v>872</v>
      </c>
      <c r="B425" s="2">
        <v>45757</v>
      </c>
      <c r="C425" s="2" t="str">
        <f t="shared" si="30"/>
        <v>April</v>
      </c>
      <c r="D425" t="s">
        <v>34</v>
      </c>
      <c r="E425" t="s">
        <v>361</v>
      </c>
      <c r="F425">
        <v>1</v>
      </c>
      <c r="G425" t="s">
        <v>29</v>
      </c>
      <c r="H425" t="s">
        <v>14</v>
      </c>
      <c r="I425" t="s">
        <v>344</v>
      </c>
      <c r="J425" t="str">
        <f>_xlfn.XLOOKUP(E425, Product_Master!$A$2:$A$101, Product_Master!$C$2:$C$101)</f>
        <v>Accessories</v>
      </c>
      <c r="K425">
        <f>_xlfn.XLOOKUP(E425, Product_Master!$A$2:$A$101, Product_Master!$D$2:$D$101)</f>
        <v>2000</v>
      </c>
      <c r="L425">
        <f>_xlfn.XLOOKUP(E425, Product_Master!$A$2:$A$101, Product_Master!$E$2:$E$101)</f>
        <v>3000</v>
      </c>
      <c r="M425">
        <f t="shared" si="31"/>
        <v>3000</v>
      </c>
      <c r="N425">
        <f t="shared" si="32"/>
        <v>2000</v>
      </c>
      <c r="O425">
        <f t="shared" si="33"/>
        <v>1000</v>
      </c>
      <c r="P425" s="3">
        <f t="shared" si="34"/>
        <v>0.33333333333333331</v>
      </c>
      <c r="Q425" s="3" t="str">
        <v>High Profit</v>
      </c>
    </row>
    <row r="426" spans="1:17" x14ac:dyDescent="0.3">
      <c r="A426" t="s">
        <v>873</v>
      </c>
      <c r="B426" s="2">
        <v>45922</v>
      </c>
      <c r="C426" s="2" t="str">
        <f t="shared" si="30"/>
        <v>September</v>
      </c>
      <c r="D426" t="s">
        <v>270</v>
      </c>
      <c r="E426" t="s">
        <v>398</v>
      </c>
      <c r="F426">
        <v>3</v>
      </c>
      <c r="G426" t="s">
        <v>16</v>
      </c>
      <c r="H426" t="s">
        <v>5</v>
      </c>
      <c r="I426" t="s">
        <v>344</v>
      </c>
      <c r="J426" t="str">
        <f>_xlfn.XLOOKUP(E426, Product_Master!$A$2:$A$101, Product_Master!$C$2:$C$101)</f>
        <v>Accessories</v>
      </c>
      <c r="K426">
        <f>_xlfn.XLOOKUP(E426, Product_Master!$A$2:$A$101, Product_Master!$D$2:$D$101)</f>
        <v>2000</v>
      </c>
      <c r="L426">
        <f>_xlfn.XLOOKUP(E426, Product_Master!$A$2:$A$101, Product_Master!$E$2:$E$101)</f>
        <v>3000</v>
      </c>
      <c r="M426">
        <f t="shared" si="31"/>
        <v>9000</v>
      </c>
      <c r="N426">
        <f t="shared" si="32"/>
        <v>6000</v>
      </c>
      <c r="O426">
        <f t="shared" si="33"/>
        <v>3000</v>
      </c>
      <c r="P426" s="3">
        <f t="shared" si="34"/>
        <v>0.33333333333333331</v>
      </c>
      <c r="Q426" s="3" t="str">
        <v>High Profit</v>
      </c>
    </row>
    <row r="427" spans="1:17" x14ac:dyDescent="0.3">
      <c r="A427" t="s">
        <v>874</v>
      </c>
      <c r="B427" s="2">
        <v>45973</v>
      </c>
      <c r="C427" s="2" t="str">
        <f t="shared" si="30"/>
        <v>November</v>
      </c>
      <c r="D427" t="s">
        <v>249</v>
      </c>
      <c r="E427" t="s">
        <v>354</v>
      </c>
      <c r="F427">
        <v>1</v>
      </c>
      <c r="G427" t="s">
        <v>4</v>
      </c>
      <c r="H427" t="s">
        <v>8</v>
      </c>
      <c r="I427" t="s">
        <v>329</v>
      </c>
      <c r="J427" t="str">
        <f>_xlfn.XLOOKUP(E427, Product_Master!$A$2:$A$101, Product_Master!$C$2:$C$101)</f>
        <v>Electronics</v>
      </c>
      <c r="K427">
        <f>_xlfn.XLOOKUP(E427, Product_Master!$A$2:$A$101, Product_Master!$D$2:$D$101)</f>
        <v>20000</v>
      </c>
      <c r="L427">
        <f>_xlfn.XLOOKUP(E427, Product_Master!$A$2:$A$101, Product_Master!$E$2:$E$101)</f>
        <v>25000</v>
      </c>
      <c r="M427">
        <f t="shared" si="31"/>
        <v>25000</v>
      </c>
      <c r="N427">
        <f t="shared" si="32"/>
        <v>20000</v>
      </c>
      <c r="O427">
        <f t="shared" si="33"/>
        <v>5000</v>
      </c>
      <c r="P427" s="3">
        <f t="shared" si="34"/>
        <v>0.2</v>
      </c>
      <c r="Q427" s="3" t="str">
        <v>Low Profit</v>
      </c>
    </row>
    <row r="428" spans="1:17" x14ac:dyDescent="0.3">
      <c r="A428" t="s">
        <v>875</v>
      </c>
      <c r="B428" s="2">
        <v>45679</v>
      </c>
      <c r="C428" s="2" t="str">
        <f t="shared" si="30"/>
        <v>January</v>
      </c>
      <c r="D428" t="s">
        <v>157</v>
      </c>
      <c r="E428" t="s">
        <v>345</v>
      </c>
      <c r="F428">
        <v>2</v>
      </c>
      <c r="G428" t="s">
        <v>19</v>
      </c>
      <c r="H428" t="s">
        <v>14</v>
      </c>
      <c r="I428" t="s">
        <v>346</v>
      </c>
      <c r="J428" t="str">
        <f>_xlfn.XLOOKUP(E428, Product_Master!$A$2:$A$101, Product_Master!$C$2:$C$101)</f>
        <v>Accessories</v>
      </c>
      <c r="K428">
        <f>_xlfn.XLOOKUP(E428, Product_Master!$A$2:$A$101, Product_Master!$D$2:$D$101)</f>
        <v>9000</v>
      </c>
      <c r="L428">
        <f>_xlfn.XLOOKUP(E428, Product_Master!$A$2:$A$101, Product_Master!$E$2:$E$101)</f>
        <v>12000</v>
      </c>
      <c r="M428">
        <f t="shared" si="31"/>
        <v>24000</v>
      </c>
      <c r="N428">
        <f t="shared" si="32"/>
        <v>18000</v>
      </c>
      <c r="O428">
        <f t="shared" si="33"/>
        <v>6000</v>
      </c>
      <c r="P428" s="3">
        <f t="shared" si="34"/>
        <v>0.25</v>
      </c>
      <c r="Q428" s="3" t="str">
        <v>High Profit</v>
      </c>
    </row>
    <row r="429" spans="1:17" x14ac:dyDescent="0.3">
      <c r="A429" t="s">
        <v>876</v>
      </c>
      <c r="B429" s="2">
        <v>45798</v>
      </c>
      <c r="C429" s="2" t="str">
        <f t="shared" si="30"/>
        <v>May</v>
      </c>
      <c r="D429" t="s">
        <v>113</v>
      </c>
      <c r="E429" t="s">
        <v>365</v>
      </c>
      <c r="F429">
        <v>1</v>
      </c>
      <c r="G429" t="s">
        <v>22</v>
      </c>
      <c r="H429" t="s">
        <v>20</v>
      </c>
      <c r="I429" t="s">
        <v>340</v>
      </c>
      <c r="J429" t="str">
        <f>_xlfn.XLOOKUP(E429, Product_Master!$A$2:$A$101, Product_Master!$C$2:$C$101)</f>
        <v>Electronics</v>
      </c>
      <c r="K429">
        <f>_xlfn.XLOOKUP(E429, Product_Master!$A$2:$A$101, Product_Master!$D$2:$D$101)</f>
        <v>42000</v>
      </c>
      <c r="L429">
        <f>_xlfn.XLOOKUP(E429, Product_Master!$A$2:$A$101, Product_Master!$E$2:$E$101)</f>
        <v>50000</v>
      </c>
      <c r="M429">
        <f t="shared" si="31"/>
        <v>50000</v>
      </c>
      <c r="N429">
        <f t="shared" si="32"/>
        <v>42000</v>
      </c>
      <c r="O429">
        <f t="shared" si="33"/>
        <v>8000</v>
      </c>
      <c r="P429" s="3">
        <f t="shared" si="34"/>
        <v>0.16</v>
      </c>
      <c r="Q429" s="3" t="str">
        <v>Low Profit</v>
      </c>
    </row>
    <row r="430" spans="1:17" x14ac:dyDescent="0.3">
      <c r="A430" t="s">
        <v>877</v>
      </c>
      <c r="B430" s="2">
        <v>45716</v>
      </c>
      <c r="C430" s="2" t="str">
        <f t="shared" si="30"/>
        <v>February</v>
      </c>
      <c r="D430" t="s">
        <v>128</v>
      </c>
      <c r="E430" t="s">
        <v>357</v>
      </c>
      <c r="F430">
        <v>2</v>
      </c>
      <c r="G430" t="s">
        <v>24</v>
      </c>
      <c r="H430" t="s">
        <v>27</v>
      </c>
      <c r="I430" t="s">
        <v>340</v>
      </c>
      <c r="J430" t="str">
        <f>_xlfn.XLOOKUP(E430, Product_Master!$A$2:$A$101, Product_Master!$C$2:$C$101)</f>
        <v>Electronics</v>
      </c>
      <c r="K430">
        <f>_xlfn.XLOOKUP(E430, Product_Master!$A$2:$A$101, Product_Master!$D$2:$D$101)</f>
        <v>42000</v>
      </c>
      <c r="L430">
        <f>_xlfn.XLOOKUP(E430, Product_Master!$A$2:$A$101, Product_Master!$E$2:$E$101)</f>
        <v>50000</v>
      </c>
      <c r="M430">
        <f t="shared" si="31"/>
        <v>100000</v>
      </c>
      <c r="N430">
        <f t="shared" si="32"/>
        <v>84000</v>
      </c>
      <c r="O430">
        <f t="shared" si="33"/>
        <v>16000</v>
      </c>
      <c r="P430" s="3">
        <f t="shared" si="34"/>
        <v>0.16</v>
      </c>
      <c r="Q430" s="3" t="str">
        <v>Low Profit</v>
      </c>
    </row>
    <row r="431" spans="1:17" x14ac:dyDescent="0.3">
      <c r="A431" t="s">
        <v>878</v>
      </c>
      <c r="B431" s="2">
        <v>45963</v>
      </c>
      <c r="C431" s="2" t="str">
        <f t="shared" si="30"/>
        <v>November</v>
      </c>
      <c r="D431" t="s">
        <v>309</v>
      </c>
      <c r="E431" t="s">
        <v>395</v>
      </c>
      <c r="F431">
        <v>1</v>
      </c>
      <c r="G431" t="s">
        <v>4</v>
      </c>
      <c r="H431" t="s">
        <v>39</v>
      </c>
      <c r="I431" t="s">
        <v>340</v>
      </c>
      <c r="J431" t="str">
        <f>_xlfn.XLOOKUP(E431, Product_Master!$A$2:$A$101, Product_Master!$C$2:$C$101)</f>
        <v>Electronics</v>
      </c>
      <c r="K431">
        <f>_xlfn.XLOOKUP(E431, Product_Master!$A$2:$A$101, Product_Master!$D$2:$D$101)</f>
        <v>42000</v>
      </c>
      <c r="L431">
        <f>_xlfn.XLOOKUP(E431, Product_Master!$A$2:$A$101, Product_Master!$E$2:$E$101)</f>
        <v>50000</v>
      </c>
      <c r="M431">
        <f t="shared" si="31"/>
        <v>50000</v>
      </c>
      <c r="N431">
        <f t="shared" si="32"/>
        <v>42000</v>
      </c>
      <c r="O431">
        <f t="shared" si="33"/>
        <v>8000</v>
      </c>
      <c r="P431" s="3">
        <f t="shared" si="34"/>
        <v>0.16</v>
      </c>
      <c r="Q431" s="3" t="str">
        <v>Low Profit</v>
      </c>
    </row>
    <row r="432" spans="1:17" x14ac:dyDescent="0.3">
      <c r="A432" t="s">
        <v>879</v>
      </c>
      <c r="B432" s="2">
        <v>45732</v>
      </c>
      <c r="C432" s="2" t="str">
        <f t="shared" si="30"/>
        <v>March</v>
      </c>
      <c r="D432" t="s">
        <v>103</v>
      </c>
      <c r="E432" t="s">
        <v>385</v>
      </c>
      <c r="F432">
        <v>2</v>
      </c>
      <c r="G432" t="s">
        <v>12</v>
      </c>
      <c r="H432" t="s">
        <v>39</v>
      </c>
      <c r="I432" t="s">
        <v>340</v>
      </c>
      <c r="J432" t="str">
        <f>_xlfn.XLOOKUP(E432, Product_Master!$A$2:$A$101, Product_Master!$C$2:$C$101)</f>
        <v>Electronics</v>
      </c>
      <c r="K432">
        <f>_xlfn.XLOOKUP(E432, Product_Master!$A$2:$A$101, Product_Master!$D$2:$D$101)</f>
        <v>42000</v>
      </c>
      <c r="L432">
        <f>_xlfn.XLOOKUP(E432, Product_Master!$A$2:$A$101, Product_Master!$E$2:$E$101)</f>
        <v>50000</v>
      </c>
      <c r="M432">
        <f t="shared" si="31"/>
        <v>100000</v>
      </c>
      <c r="N432">
        <f t="shared" si="32"/>
        <v>84000</v>
      </c>
      <c r="O432">
        <f t="shared" si="33"/>
        <v>16000</v>
      </c>
      <c r="P432" s="3">
        <f t="shared" si="34"/>
        <v>0.16</v>
      </c>
      <c r="Q432" s="3" t="str">
        <v>Low Profit</v>
      </c>
    </row>
    <row r="433" spans="1:17" x14ac:dyDescent="0.3">
      <c r="A433" t="s">
        <v>880</v>
      </c>
      <c r="B433" s="2">
        <v>45923</v>
      </c>
      <c r="C433" s="2" t="str">
        <f t="shared" si="30"/>
        <v>September</v>
      </c>
      <c r="D433" t="s">
        <v>253</v>
      </c>
      <c r="E433" t="s">
        <v>380</v>
      </c>
      <c r="F433">
        <v>2</v>
      </c>
      <c r="G433" t="s">
        <v>29</v>
      </c>
      <c r="H433" t="s">
        <v>20</v>
      </c>
      <c r="I433" t="s">
        <v>340</v>
      </c>
      <c r="J433" t="str">
        <f>_xlfn.XLOOKUP(E433, Product_Master!$A$2:$A$101, Product_Master!$C$2:$C$101)</f>
        <v>Electronics</v>
      </c>
      <c r="K433">
        <f>_xlfn.XLOOKUP(E433, Product_Master!$A$2:$A$101, Product_Master!$D$2:$D$101)</f>
        <v>42000</v>
      </c>
      <c r="L433">
        <f>_xlfn.XLOOKUP(E433, Product_Master!$A$2:$A$101, Product_Master!$E$2:$E$101)</f>
        <v>50000</v>
      </c>
      <c r="M433">
        <f t="shared" si="31"/>
        <v>100000</v>
      </c>
      <c r="N433">
        <f t="shared" si="32"/>
        <v>84000</v>
      </c>
      <c r="O433">
        <f t="shared" si="33"/>
        <v>16000</v>
      </c>
      <c r="P433" s="3">
        <f t="shared" si="34"/>
        <v>0.16</v>
      </c>
      <c r="Q433" s="3" t="str">
        <v>Low Profit</v>
      </c>
    </row>
    <row r="434" spans="1:17" x14ac:dyDescent="0.3">
      <c r="A434" t="s">
        <v>881</v>
      </c>
      <c r="B434" s="2">
        <v>45945</v>
      </c>
      <c r="C434" s="2" t="str">
        <f t="shared" si="30"/>
        <v>October</v>
      </c>
      <c r="D434" t="s">
        <v>165</v>
      </c>
      <c r="E434" t="s">
        <v>414</v>
      </c>
      <c r="F434">
        <v>4</v>
      </c>
      <c r="G434" t="s">
        <v>22</v>
      </c>
      <c r="H434" t="s">
        <v>17</v>
      </c>
      <c r="I434" t="s">
        <v>332</v>
      </c>
      <c r="J434" t="str">
        <f>_xlfn.XLOOKUP(E434, Product_Master!$A$2:$A$101, Product_Master!$C$2:$C$101)</f>
        <v>Accessories</v>
      </c>
      <c r="K434">
        <f>_xlfn.XLOOKUP(E434, Product_Master!$A$2:$A$101, Product_Master!$D$2:$D$101)</f>
        <v>500</v>
      </c>
      <c r="L434">
        <f>_xlfn.XLOOKUP(E434, Product_Master!$A$2:$A$101, Product_Master!$E$2:$E$101)</f>
        <v>800</v>
      </c>
      <c r="M434">
        <f t="shared" si="31"/>
        <v>3200</v>
      </c>
      <c r="N434">
        <f t="shared" si="32"/>
        <v>2000</v>
      </c>
      <c r="O434">
        <f t="shared" si="33"/>
        <v>1200</v>
      </c>
      <c r="P434" s="3">
        <f t="shared" si="34"/>
        <v>0.375</v>
      </c>
      <c r="Q434" s="3" t="str">
        <v>High Profit</v>
      </c>
    </row>
    <row r="435" spans="1:17" x14ac:dyDescent="0.3">
      <c r="A435" t="s">
        <v>882</v>
      </c>
      <c r="B435" s="2">
        <v>45658</v>
      </c>
      <c r="C435" s="2" t="str">
        <f t="shared" si="30"/>
        <v>January</v>
      </c>
      <c r="D435" t="s">
        <v>250</v>
      </c>
      <c r="E435" t="s">
        <v>430</v>
      </c>
      <c r="F435">
        <v>4</v>
      </c>
      <c r="G435" t="s">
        <v>47</v>
      </c>
      <c r="H435" t="s">
        <v>5</v>
      </c>
      <c r="I435" t="s">
        <v>346</v>
      </c>
      <c r="J435" t="str">
        <f>_xlfn.XLOOKUP(E435, Product_Master!$A$2:$A$101, Product_Master!$C$2:$C$101)</f>
        <v>Accessories</v>
      </c>
      <c r="K435">
        <f>_xlfn.XLOOKUP(E435, Product_Master!$A$2:$A$101, Product_Master!$D$2:$D$101)</f>
        <v>9000</v>
      </c>
      <c r="L435">
        <f>_xlfn.XLOOKUP(E435, Product_Master!$A$2:$A$101, Product_Master!$E$2:$E$101)</f>
        <v>12000</v>
      </c>
      <c r="M435">
        <f t="shared" si="31"/>
        <v>48000</v>
      </c>
      <c r="N435">
        <f t="shared" si="32"/>
        <v>36000</v>
      </c>
      <c r="O435">
        <f t="shared" si="33"/>
        <v>12000</v>
      </c>
      <c r="P435" s="3">
        <f t="shared" si="34"/>
        <v>0.25</v>
      </c>
      <c r="Q435" s="3" t="str">
        <v>High Profit</v>
      </c>
    </row>
    <row r="436" spans="1:17" x14ac:dyDescent="0.3">
      <c r="A436" t="s">
        <v>883</v>
      </c>
      <c r="B436" s="2">
        <v>45786</v>
      </c>
      <c r="C436" s="2" t="str">
        <f t="shared" si="30"/>
        <v>May</v>
      </c>
      <c r="D436" t="s">
        <v>21</v>
      </c>
      <c r="E436" t="s">
        <v>387</v>
      </c>
      <c r="F436">
        <v>5</v>
      </c>
      <c r="G436" t="s">
        <v>22</v>
      </c>
      <c r="H436" t="s">
        <v>20</v>
      </c>
      <c r="I436" t="s">
        <v>332</v>
      </c>
      <c r="J436" t="str">
        <f>_xlfn.XLOOKUP(E436, Product_Master!$A$2:$A$101, Product_Master!$C$2:$C$101)</f>
        <v>Accessories</v>
      </c>
      <c r="K436">
        <f>_xlfn.XLOOKUP(E436, Product_Master!$A$2:$A$101, Product_Master!$D$2:$D$101)</f>
        <v>500</v>
      </c>
      <c r="L436">
        <f>_xlfn.XLOOKUP(E436, Product_Master!$A$2:$A$101, Product_Master!$E$2:$E$101)</f>
        <v>800</v>
      </c>
      <c r="M436">
        <f t="shared" si="31"/>
        <v>4000</v>
      </c>
      <c r="N436">
        <f t="shared" si="32"/>
        <v>2500</v>
      </c>
      <c r="O436">
        <f t="shared" si="33"/>
        <v>1500</v>
      </c>
      <c r="P436" s="3">
        <f t="shared" si="34"/>
        <v>0.375</v>
      </c>
      <c r="Q436" s="3" t="str">
        <v>High Profit</v>
      </c>
    </row>
    <row r="437" spans="1:17" x14ac:dyDescent="0.3">
      <c r="A437" t="s">
        <v>884</v>
      </c>
      <c r="B437" s="2">
        <v>45765</v>
      </c>
      <c r="C437" s="2" t="str">
        <f t="shared" si="30"/>
        <v>April</v>
      </c>
      <c r="D437" t="s">
        <v>283</v>
      </c>
      <c r="E437" t="s">
        <v>435</v>
      </c>
      <c r="F437">
        <v>5</v>
      </c>
      <c r="G437" t="s">
        <v>29</v>
      </c>
      <c r="H437" t="s">
        <v>8</v>
      </c>
      <c r="I437" t="s">
        <v>346</v>
      </c>
      <c r="J437" t="str">
        <f>_xlfn.XLOOKUP(E437, Product_Master!$A$2:$A$101, Product_Master!$C$2:$C$101)</f>
        <v>Accessories</v>
      </c>
      <c r="K437">
        <f>_xlfn.XLOOKUP(E437, Product_Master!$A$2:$A$101, Product_Master!$D$2:$D$101)</f>
        <v>9000</v>
      </c>
      <c r="L437">
        <f>_xlfn.XLOOKUP(E437, Product_Master!$A$2:$A$101, Product_Master!$E$2:$E$101)</f>
        <v>12000</v>
      </c>
      <c r="M437">
        <f t="shared" si="31"/>
        <v>60000</v>
      </c>
      <c r="N437">
        <f t="shared" si="32"/>
        <v>45000</v>
      </c>
      <c r="O437">
        <f t="shared" si="33"/>
        <v>15000</v>
      </c>
      <c r="P437" s="3">
        <f t="shared" si="34"/>
        <v>0.25</v>
      </c>
      <c r="Q437" s="3" t="str">
        <v>High Profit</v>
      </c>
    </row>
    <row r="438" spans="1:17" x14ac:dyDescent="0.3">
      <c r="A438" t="s">
        <v>885</v>
      </c>
      <c r="B438" s="2">
        <v>45948</v>
      </c>
      <c r="C438" s="2" t="str">
        <f t="shared" si="30"/>
        <v>October</v>
      </c>
      <c r="D438" t="s">
        <v>195</v>
      </c>
      <c r="E438" t="s">
        <v>352</v>
      </c>
      <c r="F438">
        <v>4</v>
      </c>
      <c r="G438" t="s">
        <v>12</v>
      </c>
      <c r="H438" t="s">
        <v>17</v>
      </c>
      <c r="I438" t="s">
        <v>353</v>
      </c>
      <c r="J438" t="str">
        <f>_xlfn.XLOOKUP(E438, Product_Master!$A$2:$A$101, Product_Master!$C$2:$C$101)</f>
        <v>Electronics</v>
      </c>
      <c r="K438">
        <f>_xlfn.XLOOKUP(E438, Product_Master!$A$2:$A$101, Product_Master!$D$2:$D$101)</f>
        <v>12000</v>
      </c>
      <c r="L438">
        <f>_xlfn.XLOOKUP(E438, Product_Master!$A$2:$A$101, Product_Master!$E$2:$E$101)</f>
        <v>15000</v>
      </c>
      <c r="M438">
        <f t="shared" si="31"/>
        <v>60000</v>
      </c>
      <c r="N438">
        <f t="shared" si="32"/>
        <v>48000</v>
      </c>
      <c r="O438">
        <f t="shared" si="33"/>
        <v>12000</v>
      </c>
      <c r="P438" s="3">
        <f t="shared" si="34"/>
        <v>0.2</v>
      </c>
      <c r="Q438" s="3" t="str">
        <v>Low Profit</v>
      </c>
    </row>
    <row r="439" spans="1:17" x14ac:dyDescent="0.3">
      <c r="A439" t="s">
        <v>886</v>
      </c>
      <c r="B439" s="2">
        <v>46012</v>
      </c>
      <c r="C439" s="2" t="str">
        <f t="shared" si="30"/>
        <v>December</v>
      </c>
      <c r="D439" t="s">
        <v>319</v>
      </c>
      <c r="E439" t="s">
        <v>360</v>
      </c>
      <c r="F439">
        <v>5</v>
      </c>
      <c r="G439" t="s">
        <v>12</v>
      </c>
      <c r="H439" t="s">
        <v>20</v>
      </c>
      <c r="I439" t="s">
        <v>340</v>
      </c>
      <c r="J439" t="str">
        <f>_xlfn.XLOOKUP(E439, Product_Master!$A$2:$A$101, Product_Master!$C$2:$C$101)</f>
        <v>Electronics</v>
      </c>
      <c r="K439">
        <f>_xlfn.XLOOKUP(E439, Product_Master!$A$2:$A$101, Product_Master!$D$2:$D$101)</f>
        <v>42000</v>
      </c>
      <c r="L439">
        <f>_xlfn.XLOOKUP(E439, Product_Master!$A$2:$A$101, Product_Master!$E$2:$E$101)</f>
        <v>50000</v>
      </c>
      <c r="M439">
        <f t="shared" si="31"/>
        <v>250000</v>
      </c>
      <c r="N439">
        <f t="shared" si="32"/>
        <v>210000</v>
      </c>
      <c r="O439">
        <f t="shared" si="33"/>
        <v>40000</v>
      </c>
      <c r="P439" s="3">
        <f t="shared" si="34"/>
        <v>0.16</v>
      </c>
      <c r="Q439" s="3" t="str">
        <v>Low Profit</v>
      </c>
    </row>
    <row r="440" spans="1:17" x14ac:dyDescent="0.3">
      <c r="A440" t="s">
        <v>887</v>
      </c>
      <c r="B440" s="2">
        <v>45980</v>
      </c>
      <c r="C440" s="2" t="str">
        <f t="shared" si="30"/>
        <v>November</v>
      </c>
      <c r="D440" t="s">
        <v>166</v>
      </c>
      <c r="E440" t="s">
        <v>379</v>
      </c>
      <c r="F440">
        <v>5</v>
      </c>
      <c r="G440" t="s">
        <v>29</v>
      </c>
      <c r="H440" t="s">
        <v>27</v>
      </c>
      <c r="I440" t="s">
        <v>346</v>
      </c>
      <c r="J440" t="str">
        <f>_xlfn.XLOOKUP(E440, Product_Master!$A$2:$A$101, Product_Master!$C$2:$C$101)</f>
        <v>Accessories</v>
      </c>
      <c r="K440">
        <f>_xlfn.XLOOKUP(E440, Product_Master!$A$2:$A$101, Product_Master!$D$2:$D$101)</f>
        <v>9000</v>
      </c>
      <c r="L440">
        <f>_xlfn.XLOOKUP(E440, Product_Master!$A$2:$A$101, Product_Master!$E$2:$E$101)</f>
        <v>12000</v>
      </c>
      <c r="M440">
        <f t="shared" si="31"/>
        <v>60000</v>
      </c>
      <c r="N440">
        <f t="shared" si="32"/>
        <v>45000</v>
      </c>
      <c r="O440">
        <f t="shared" si="33"/>
        <v>15000</v>
      </c>
      <c r="P440" s="3">
        <f t="shared" si="34"/>
        <v>0.25</v>
      </c>
      <c r="Q440" s="3" t="str">
        <v>High Profit</v>
      </c>
    </row>
    <row r="441" spans="1:17" x14ac:dyDescent="0.3">
      <c r="A441" t="s">
        <v>888</v>
      </c>
      <c r="B441" s="2">
        <v>45696</v>
      </c>
      <c r="C441" s="2" t="str">
        <f t="shared" si="30"/>
        <v>February</v>
      </c>
      <c r="D441" t="s">
        <v>238</v>
      </c>
      <c r="E441" t="s">
        <v>386</v>
      </c>
      <c r="F441">
        <v>4</v>
      </c>
      <c r="G441" t="s">
        <v>45</v>
      </c>
      <c r="H441" t="s">
        <v>27</v>
      </c>
      <c r="I441" t="s">
        <v>335</v>
      </c>
      <c r="J441" t="str">
        <f>_xlfn.XLOOKUP(E441, Product_Master!$A$2:$A$101, Product_Master!$C$2:$C$101)</f>
        <v>Accessories</v>
      </c>
      <c r="K441">
        <f>_xlfn.XLOOKUP(E441, Product_Master!$A$2:$A$101, Product_Master!$D$2:$D$101)</f>
        <v>900</v>
      </c>
      <c r="L441">
        <f>_xlfn.XLOOKUP(E441, Product_Master!$A$2:$A$101, Product_Master!$E$2:$E$101)</f>
        <v>1500</v>
      </c>
      <c r="M441">
        <f t="shared" si="31"/>
        <v>6000</v>
      </c>
      <c r="N441">
        <f t="shared" si="32"/>
        <v>3600</v>
      </c>
      <c r="O441">
        <f t="shared" si="33"/>
        <v>2400</v>
      </c>
      <c r="P441" s="3">
        <f t="shared" si="34"/>
        <v>0.4</v>
      </c>
      <c r="Q441" s="3" t="str">
        <v>High Profit</v>
      </c>
    </row>
    <row r="442" spans="1:17" x14ac:dyDescent="0.3">
      <c r="A442" t="s">
        <v>889</v>
      </c>
      <c r="B442" s="2">
        <v>45750</v>
      </c>
      <c r="C442" s="2" t="str">
        <f t="shared" si="30"/>
        <v>April</v>
      </c>
      <c r="D442" t="s">
        <v>196</v>
      </c>
      <c r="E442" t="s">
        <v>412</v>
      </c>
      <c r="F442">
        <v>2</v>
      </c>
      <c r="G442" t="s">
        <v>37</v>
      </c>
      <c r="H442" t="s">
        <v>5</v>
      </c>
      <c r="I442" t="s">
        <v>346</v>
      </c>
      <c r="J442" t="str">
        <f>_xlfn.XLOOKUP(E442, Product_Master!$A$2:$A$101, Product_Master!$C$2:$C$101)</f>
        <v>Accessories</v>
      </c>
      <c r="K442">
        <f>_xlfn.XLOOKUP(E442, Product_Master!$A$2:$A$101, Product_Master!$D$2:$D$101)</f>
        <v>9000</v>
      </c>
      <c r="L442">
        <f>_xlfn.XLOOKUP(E442, Product_Master!$A$2:$A$101, Product_Master!$E$2:$E$101)</f>
        <v>12000</v>
      </c>
      <c r="M442">
        <f t="shared" si="31"/>
        <v>24000</v>
      </c>
      <c r="N442">
        <f t="shared" si="32"/>
        <v>18000</v>
      </c>
      <c r="O442">
        <f t="shared" si="33"/>
        <v>6000</v>
      </c>
      <c r="P442" s="3">
        <f t="shared" si="34"/>
        <v>0.25</v>
      </c>
      <c r="Q442" s="3" t="str">
        <v>High Profit</v>
      </c>
    </row>
    <row r="443" spans="1:17" x14ac:dyDescent="0.3">
      <c r="A443" t="s">
        <v>890</v>
      </c>
      <c r="B443" s="2">
        <v>45884</v>
      </c>
      <c r="C443" s="2" t="str">
        <f t="shared" si="30"/>
        <v>August</v>
      </c>
      <c r="D443" t="s">
        <v>200</v>
      </c>
      <c r="E443" t="s">
        <v>369</v>
      </c>
      <c r="F443">
        <v>1</v>
      </c>
      <c r="G443" t="s">
        <v>24</v>
      </c>
      <c r="H443" t="s">
        <v>17</v>
      </c>
      <c r="I443" t="s">
        <v>329</v>
      </c>
      <c r="J443" t="str">
        <f>_xlfn.XLOOKUP(E443, Product_Master!$A$2:$A$101, Product_Master!$C$2:$C$101)</f>
        <v>Electronics</v>
      </c>
      <c r="K443">
        <f>_xlfn.XLOOKUP(E443, Product_Master!$A$2:$A$101, Product_Master!$D$2:$D$101)</f>
        <v>20000</v>
      </c>
      <c r="L443">
        <f>_xlfn.XLOOKUP(E443, Product_Master!$A$2:$A$101, Product_Master!$E$2:$E$101)</f>
        <v>25000</v>
      </c>
      <c r="M443">
        <f t="shared" si="31"/>
        <v>25000</v>
      </c>
      <c r="N443">
        <f t="shared" si="32"/>
        <v>20000</v>
      </c>
      <c r="O443">
        <f t="shared" si="33"/>
        <v>5000</v>
      </c>
      <c r="P443" s="3">
        <f t="shared" si="34"/>
        <v>0.2</v>
      </c>
      <c r="Q443" s="3" t="str">
        <v>Low Profit</v>
      </c>
    </row>
    <row r="444" spans="1:17" x14ac:dyDescent="0.3">
      <c r="A444" t="s">
        <v>891</v>
      </c>
      <c r="B444" s="2">
        <v>45905</v>
      </c>
      <c r="C444" s="2" t="str">
        <f t="shared" si="30"/>
        <v>September</v>
      </c>
      <c r="D444" t="s">
        <v>269</v>
      </c>
      <c r="E444" t="s">
        <v>351</v>
      </c>
      <c r="F444">
        <v>4</v>
      </c>
      <c r="G444" t="s">
        <v>24</v>
      </c>
      <c r="H444" t="s">
        <v>39</v>
      </c>
      <c r="I444" t="s">
        <v>332</v>
      </c>
      <c r="J444" t="str">
        <f>_xlfn.XLOOKUP(E444, Product_Master!$A$2:$A$101, Product_Master!$C$2:$C$101)</f>
        <v>Accessories</v>
      </c>
      <c r="K444">
        <f>_xlfn.XLOOKUP(E444, Product_Master!$A$2:$A$101, Product_Master!$D$2:$D$101)</f>
        <v>500</v>
      </c>
      <c r="L444">
        <f>_xlfn.XLOOKUP(E444, Product_Master!$A$2:$A$101, Product_Master!$E$2:$E$101)</f>
        <v>800</v>
      </c>
      <c r="M444">
        <f t="shared" si="31"/>
        <v>3200</v>
      </c>
      <c r="N444">
        <f t="shared" si="32"/>
        <v>2000</v>
      </c>
      <c r="O444">
        <f t="shared" si="33"/>
        <v>1200</v>
      </c>
      <c r="P444" s="3">
        <f t="shared" si="34"/>
        <v>0.375</v>
      </c>
      <c r="Q444" s="3" t="str">
        <v>High Profit</v>
      </c>
    </row>
    <row r="445" spans="1:17" x14ac:dyDescent="0.3">
      <c r="A445" t="s">
        <v>892</v>
      </c>
      <c r="B445" s="2">
        <v>45968</v>
      </c>
      <c r="C445" s="2" t="str">
        <f t="shared" si="30"/>
        <v>November</v>
      </c>
      <c r="D445" t="s">
        <v>34</v>
      </c>
      <c r="E445" t="s">
        <v>431</v>
      </c>
      <c r="F445">
        <v>3</v>
      </c>
      <c r="G445" t="s">
        <v>29</v>
      </c>
      <c r="H445" t="s">
        <v>14</v>
      </c>
      <c r="I445" t="s">
        <v>332</v>
      </c>
      <c r="J445" t="str">
        <f>_xlfn.XLOOKUP(E445, Product_Master!$A$2:$A$101, Product_Master!$C$2:$C$101)</f>
        <v>Accessories</v>
      </c>
      <c r="K445">
        <f>_xlfn.XLOOKUP(E445, Product_Master!$A$2:$A$101, Product_Master!$D$2:$D$101)</f>
        <v>500</v>
      </c>
      <c r="L445">
        <f>_xlfn.XLOOKUP(E445, Product_Master!$A$2:$A$101, Product_Master!$E$2:$E$101)</f>
        <v>800</v>
      </c>
      <c r="M445">
        <f t="shared" si="31"/>
        <v>2400</v>
      </c>
      <c r="N445">
        <f t="shared" si="32"/>
        <v>1500</v>
      </c>
      <c r="O445">
        <f t="shared" si="33"/>
        <v>900</v>
      </c>
      <c r="P445" s="3">
        <f t="shared" si="34"/>
        <v>0.375</v>
      </c>
      <c r="Q445" s="3" t="str">
        <v>High Profit</v>
      </c>
    </row>
    <row r="446" spans="1:17" x14ac:dyDescent="0.3">
      <c r="A446" t="s">
        <v>893</v>
      </c>
      <c r="B446" s="2">
        <v>45828</v>
      </c>
      <c r="C446" s="2" t="str">
        <f t="shared" si="30"/>
        <v>June</v>
      </c>
      <c r="D446" t="s">
        <v>276</v>
      </c>
      <c r="E446" t="s">
        <v>388</v>
      </c>
      <c r="F446">
        <v>4</v>
      </c>
      <c r="G446" t="s">
        <v>24</v>
      </c>
      <c r="H446" t="s">
        <v>20</v>
      </c>
      <c r="I446" t="s">
        <v>344</v>
      </c>
      <c r="J446" t="str">
        <f>_xlfn.XLOOKUP(E446, Product_Master!$A$2:$A$101, Product_Master!$C$2:$C$101)</f>
        <v>Accessories</v>
      </c>
      <c r="K446">
        <f>_xlfn.XLOOKUP(E446, Product_Master!$A$2:$A$101, Product_Master!$D$2:$D$101)</f>
        <v>2000</v>
      </c>
      <c r="L446">
        <f>_xlfn.XLOOKUP(E446, Product_Master!$A$2:$A$101, Product_Master!$E$2:$E$101)</f>
        <v>3000</v>
      </c>
      <c r="M446">
        <f t="shared" si="31"/>
        <v>12000</v>
      </c>
      <c r="N446">
        <f t="shared" si="32"/>
        <v>8000</v>
      </c>
      <c r="O446">
        <f t="shared" si="33"/>
        <v>4000</v>
      </c>
      <c r="P446" s="3">
        <f t="shared" si="34"/>
        <v>0.33333333333333331</v>
      </c>
      <c r="Q446" s="3" t="str">
        <v>High Profit</v>
      </c>
    </row>
    <row r="447" spans="1:17" x14ac:dyDescent="0.3">
      <c r="A447" t="s">
        <v>894</v>
      </c>
      <c r="B447" s="2">
        <v>45909</v>
      </c>
      <c r="C447" s="2" t="str">
        <f t="shared" si="30"/>
        <v>September</v>
      </c>
      <c r="D447" t="s">
        <v>73</v>
      </c>
      <c r="E447" t="s">
        <v>377</v>
      </c>
      <c r="F447">
        <v>2</v>
      </c>
      <c r="G447" t="s">
        <v>7</v>
      </c>
      <c r="H447" t="s">
        <v>20</v>
      </c>
      <c r="I447" t="s">
        <v>337</v>
      </c>
      <c r="J447" t="str">
        <f>_xlfn.XLOOKUP(E447, Product_Master!$A$2:$A$101, Product_Master!$C$2:$C$101)</f>
        <v>Electronics</v>
      </c>
      <c r="K447">
        <f>_xlfn.XLOOKUP(E447, Product_Master!$A$2:$A$101, Product_Master!$D$2:$D$101)</f>
        <v>15000</v>
      </c>
      <c r="L447">
        <f>_xlfn.XLOOKUP(E447, Product_Master!$A$2:$A$101, Product_Master!$E$2:$E$101)</f>
        <v>18000</v>
      </c>
      <c r="M447">
        <f t="shared" si="31"/>
        <v>36000</v>
      </c>
      <c r="N447">
        <f t="shared" si="32"/>
        <v>30000</v>
      </c>
      <c r="O447">
        <f t="shared" si="33"/>
        <v>6000</v>
      </c>
      <c r="P447" s="3">
        <f t="shared" si="34"/>
        <v>0.16666666666666666</v>
      </c>
      <c r="Q447" s="3" t="str">
        <v>Low Profit</v>
      </c>
    </row>
    <row r="448" spans="1:17" x14ac:dyDescent="0.3">
      <c r="A448" t="s">
        <v>895</v>
      </c>
      <c r="B448" s="2">
        <v>45826</v>
      </c>
      <c r="C448" s="2" t="str">
        <f t="shared" si="30"/>
        <v>June</v>
      </c>
      <c r="D448" t="s">
        <v>315</v>
      </c>
      <c r="E448" t="s">
        <v>432</v>
      </c>
      <c r="F448">
        <v>2</v>
      </c>
      <c r="G448" t="s">
        <v>29</v>
      </c>
      <c r="H448" t="s">
        <v>14</v>
      </c>
      <c r="I448" t="s">
        <v>344</v>
      </c>
      <c r="J448" t="str">
        <f>_xlfn.XLOOKUP(E448, Product_Master!$A$2:$A$101, Product_Master!$C$2:$C$101)</f>
        <v>Accessories</v>
      </c>
      <c r="K448">
        <f>_xlfn.XLOOKUP(E448, Product_Master!$A$2:$A$101, Product_Master!$D$2:$D$101)</f>
        <v>2000</v>
      </c>
      <c r="L448">
        <f>_xlfn.XLOOKUP(E448, Product_Master!$A$2:$A$101, Product_Master!$E$2:$E$101)</f>
        <v>3000</v>
      </c>
      <c r="M448">
        <f t="shared" si="31"/>
        <v>6000</v>
      </c>
      <c r="N448">
        <f t="shared" si="32"/>
        <v>4000</v>
      </c>
      <c r="O448">
        <f t="shared" si="33"/>
        <v>2000</v>
      </c>
      <c r="P448" s="3">
        <f t="shared" si="34"/>
        <v>0.33333333333333331</v>
      </c>
      <c r="Q448" s="3" t="str">
        <v>High Profit</v>
      </c>
    </row>
    <row r="449" spans="1:17" x14ac:dyDescent="0.3">
      <c r="A449" t="s">
        <v>896</v>
      </c>
      <c r="B449" s="2">
        <v>45665</v>
      </c>
      <c r="C449" s="2" t="str">
        <f t="shared" si="30"/>
        <v>January</v>
      </c>
      <c r="D449" t="s">
        <v>228</v>
      </c>
      <c r="E449" t="s">
        <v>431</v>
      </c>
      <c r="F449">
        <v>4</v>
      </c>
      <c r="G449" t="s">
        <v>47</v>
      </c>
      <c r="H449" t="s">
        <v>20</v>
      </c>
      <c r="I449" t="s">
        <v>332</v>
      </c>
      <c r="J449" t="str">
        <f>_xlfn.XLOOKUP(E449, Product_Master!$A$2:$A$101, Product_Master!$C$2:$C$101)</f>
        <v>Accessories</v>
      </c>
      <c r="K449">
        <f>_xlfn.XLOOKUP(E449, Product_Master!$A$2:$A$101, Product_Master!$D$2:$D$101)</f>
        <v>500</v>
      </c>
      <c r="L449">
        <f>_xlfn.XLOOKUP(E449, Product_Master!$A$2:$A$101, Product_Master!$E$2:$E$101)</f>
        <v>800</v>
      </c>
      <c r="M449">
        <f t="shared" si="31"/>
        <v>3200</v>
      </c>
      <c r="N449">
        <f t="shared" si="32"/>
        <v>2000</v>
      </c>
      <c r="O449">
        <f t="shared" si="33"/>
        <v>1200</v>
      </c>
      <c r="P449" s="3">
        <f t="shared" si="34"/>
        <v>0.375</v>
      </c>
      <c r="Q449" s="3" t="str">
        <v>High Profit</v>
      </c>
    </row>
    <row r="450" spans="1:17" x14ac:dyDescent="0.3">
      <c r="A450" t="s">
        <v>897</v>
      </c>
      <c r="B450" s="2">
        <v>45767</v>
      </c>
      <c r="C450" s="2" t="str">
        <f t="shared" si="30"/>
        <v>April</v>
      </c>
      <c r="D450" t="s">
        <v>55</v>
      </c>
      <c r="E450" t="s">
        <v>395</v>
      </c>
      <c r="F450">
        <v>2</v>
      </c>
      <c r="G450" t="s">
        <v>37</v>
      </c>
      <c r="H450" t="s">
        <v>8</v>
      </c>
      <c r="I450" t="s">
        <v>340</v>
      </c>
      <c r="J450" t="str">
        <f>_xlfn.XLOOKUP(E450, Product_Master!$A$2:$A$101, Product_Master!$C$2:$C$101)</f>
        <v>Electronics</v>
      </c>
      <c r="K450">
        <f>_xlfn.XLOOKUP(E450, Product_Master!$A$2:$A$101, Product_Master!$D$2:$D$101)</f>
        <v>42000</v>
      </c>
      <c r="L450">
        <f>_xlfn.XLOOKUP(E450, Product_Master!$A$2:$A$101, Product_Master!$E$2:$E$101)</f>
        <v>50000</v>
      </c>
      <c r="M450">
        <f t="shared" si="31"/>
        <v>100000</v>
      </c>
      <c r="N450">
        <f t="shared" si="32"/>
        <v>84000</v>
      </c>
      <c r="O450">
        <f t="shared" si="33"/>
        <v>16000</v>
      </c>
      <c r="P450" s="3">
        <f t="shared" si="34"/>
        <v>0.16</v>
      </c>
      <c r="Q450" s="3" t="str">
        <v>Low Profit</v>
      </c>
    </row>
    <row r="451" spans="1:17" x14ac:dyDescent="0.3">
      <c r="A451" t="s">
        <v>898</v>
      </c>
      <c r="B451" s="2">
        <v>45910</v>
      </c>
      <c r="C451" s="2" t="str">
        <f t="shared" ref="C451:C514" si="35">TEXT(B451,"MMMM")</f>
        <v>September</v>
      </c>
      <c r="D451" t="s">
        <v>142</v>
      </c>
      <c r="E451" t="s">
        <v>424</v>
      </c>
      <c r="F451">
        <v>2</v>
      </c>
      <c r="G451" t="s">
        <v>37</v>
      </c>
      <c r="H451" t="s">
        <v>14</v>
      </c>
      <c r="I451" t="s">
        <v>337</v>
      </c>
      <c r="J451" t="str">
        <f>_xlfn.XLOOKUP(E451, Product_Master!$A$2:$A$101, Product_Master!$C$2:$C$101)</f>
        <v>Electronics</v>
      </c>
      <c r="K451">
        <f>_xlfn.XLOOKUP(E451, Product_Master!$A$2:$A$101, Product_Master!$D$2:$D$101)</f>
        <v>15000</v>
      </c>
      <c r="L451">
        <f>_xlfn.XLOOKUP(E451, Product_Master!$A$2:$A$101, Product_Master!$E$2:$E$101)</f>
        <v>18000</v>
      </c>
      <c r="M451">
        <f t="shared" ref="M451:M514" si="36">F451*L451</f>
        <v>36000</v>
      </c>
      <c r="N451">
        <f t="shared" ref="N451:N514" si="37">F451*K451</f>
        <v>30000</v>
      </c>
      <c r="O451">
        <f t="shared" ref="O451:O514" si="38">M451-N451</f>
        <v>6000</v>
      </c>
      <c r="P451" s="3">
        <f t="shared" ref="P451:P514" si="39">O451/M451</f>
        <v>0.16666666666666666</v>
      </c>
      <c r="Q451" s="3" t="str">
        <v>Low Profit</v>
      </c>
    </row>
    <row r="452" spans="1:17" x14ac:dyDescent="0.3">
      <c r="A452" t="s">
        <v>899</v>
      </c>
      <c r="B452" s="2">
        <v>45904</v>
      </c>
      <c r="C452" s="2" t="str">
        <f t="shared" si="35"/>
        <v>September</v>
      </c>
      <c r="D452" t="s">
        <v>55</v>
      </c>
      <c r="E452" t="s">
        <v>359</v>
      </c>
      <c r="F452">
        <v>3</v>
      </c>
      <c r="G452" t="s">
        <v>37</v>
      </c>
      <c r="H452" t="s">
        <v>8</v>
      </c>
      <c r="I452" t="s">
        <v>329</v>
      </c>
      <c r="J452" t="str">
        <f>_xlfn.XLOOKUP(E452, Product_Master!$A$2:$A$101, Product_Master!$C$2:$C$101)</f>
        <v>Electronics</v>
      </c>
      <c r="K452">
        <f>_xlfn.XLOOKUP(E452, Product_Master!$A$2:$A$101, Product_Master!$D$2:$D$101)</f>
        <v>20000</v>
      </c>
      <c r="L452">
        <f>_xlfn.XLOOKUP(E452, Product_Master!$A$2:$A$101, Product_Master!$E$2:$E$101)</f>
        <v>25000</v>
      </c>
      <c r="M452">
        <f t="shared" si="36"/>
        <v>75000</v>
      </c>
      <c r="N452">
        <f t="shared" si="37"/>
        <v>60000</v>
      </c>
      <c r="O452">
        <f t="shared" si="38"/>
        <v>15000</v>
      </c>
      <c r="P452" s="3">
        <f t="shared" si="39"/>
        <v>0.2</v>
      </c>
      <c r="Q452" s="3" t="str">
        <v>Low Profit</v>
      </c>
    </row>
    <row r="453" spans="1:17" x14ac:dyDescent="0.3">
      <c r="A453" t="s">
        <v>900</v>
      </c>
      <c r="B453" s="2">
        <v>45998</v>
      </c>
      <c r="C453" s="2" t="str">
        <f t="shared" si="35"/>
        <v>December</v>
      </c>
      <c r="D453" t="s">
        <v>153</v>
      </c>
      <c r="E453" t="s">
        <v>400</v>
      </c>
      <c r="F453">
        <v>3</v>
      </c>
      <c r="G453" t="s">
        <v>4</v>
      </c>
      <c r="H453" t="s">
        <v>27</v>
      </c>
      <c r="I453" t="s">
        <v>335</v>
      </c>
      <c r="J453" t="str">
        <f>_xlfn.XLOOKUP(E453, Product_Master!$A$2:$A$101, Product_Master!$C$2:$C$101)</f>
        <v>Accessories</v>
      </c>
      <c r="K453">
        <f>_xlfn.XLOOKUP(E453, Product_Master!$A$2:$A$101, Product_Master!$D$2:$D$101)</f>
        <v>900</v>
      </c>
      <c r="L453">
        <f>_xlfn.XLOOKUP(E453, Product_Master!$A$2:$A$101, Product_Master!$E$2:$E$101)</f>
        <v>1500</v>
      </c>
      <c r="M453">
        <f t="shared" si="36"/>
        <v>4500</v>
      </c>
      <c r="N453">
        <f t="shared" si="37"/>
        <v>2700</v>
      </c>
      <c r="O453">
        <f t="shared" si="38"/>
        <v>1800</v>
      </c>
      <c r="P453" s="3">
        <f t="shared" si="39"/>
        <v>0.4</v>
      </c>
      <c r="Q453" s="3" t="str">
        <v>High Profit</v>
      </c>
    </row>
    <row r="454" spans="1:17" x14ac:dyDescent="0.3">
      <c r="A454" t="s">
        <v>901</v>
      </c>
      <c r="B454" s="2">
        <v>45899</v>
      </c>
      <c r="C454" s="2" t="str">
        <f t="shared" si="35"/>
        <v>August</v>
      </c>
      <c r="D454" t="s">
        <v>272</v>
      </c>
      <c r="E454" t="s">
        <v>405</v>
      </c>
      <c r="F454">
        <v>3</v>
      </c>
      <c r="G454" t="s">
        <v>7</v>
      </c>
      <c r="H454" t="s">
        <v>17</v>
      </c>
      <c r="I454" t="s">
        <v>332</v>
      </c>
      <c r="J454" t="str">
        <f>_xlfn.XLOOKUP(E454, Product_Master!$A$2:$A$101, Product_Master!$C$2:$C$101)</f>
        <v>Accessories</v>
      </c>
      <c r="K454">
        <f>_xlfn.XLOOKUP(E454, Product_Master!$A$2:$A$101, Product_Master!$D$2:$D$101)</f>
        <v>500</v>
      </c>
      <c r="L454">
        <f>_xlfn.XLOOKUP(E454, Product_Master!$A$2:$A$101, Product_Master!$E$2:$E$101)</f>
        <v>800</v>
      </c>
      <c r="M454">
        <f t="shared" si="36"/>
        <v>2400</v>
      </c>
      <c r="N454">
        <f t="shared" si="37"/>
        <v>1500</v>
      </c>
      <c r="O454">
        <f t="shared" si="38"/>
        <v>900</v>
      </c>
      <c r="P454" s="3">
        <f t="shared" si="39"/>
        <v>0.375</v>
      </c>
      <c r="Q454" s="3" t="str">
        <v>High Profit</v>
      </c>
    </row>
    <row r="455" spans="1:17" x14ac:dyDescent="0.3">
      <c r="A455" t="s">
        <v>902</v>
      </c>
      <c r="B455" s="2">
        <v>45742</v>
      </c>
      <c r="C455" s="2" t="str">
        <f t="shared" si="35"/>
        <v>March</v>
      </c>
      <c r="D455" t="s">
        <v>154</v>
      </c>
      <c r="E455" t="s">
        <v>369</v>
      </c>
      <c r="F455">
        <v>2</v>
      </c>
      <c r="G455" t="s">
        <v>47</v>
      </c>
      <c r="H455" t="s">
        <v>20</v>
      </c>
      <c r="I455" t="s">
        <v>329</v>
      </c>
      <c r="J455" t="str">
        <f>_xlfn.XLOOKUP(E455, Product_Master!$A$2:$A$101, Product_Master!$C$2:$C$101)</f>
        <v>Electronics</v>
      </c>
      <c r="K455">
        <f>_xlfn.XLOOKUP(E455, Product_Master!$A$2:$A$101, Product_Master!$D$2:$D$101)</f>
        <v>20000</v>
      </c>
      <c r="L455">
        <f>_xlfn.XLOOKUP(E455, Product_Master!$A$2:$A$101, Product_Master!$E$2:$E$101)</f>
        <v>25000</v>
      </c>
      <c r="M455">
        <f t="shared" si="36"/>
        <v>50000</v>
      </c>
      <c r="N455">
        <f t="shared" si="37"/>
        <v>40000</v>
      </c>
      <c r="O455">
        <f t="shared" si="38"/>
        <v>10000</v>
      </c>
      <c r="P455" s="3">
        <f t="shared" si="39"/>
        <v>0.2</v>
      </c>
      <c r="Q455" s="3" t="str">
        <v>Low Profit</v>
      </c>
    </row>
    <row r="456" spans="1:17" x14ac:dyDescent="0.3">
      <c r="A456" t="s">
        <v>903</v>
      </c>
      <c r="B456" s="2">
        <v>45975</v>
      </c>
      <c r="C456" s="2" t="str">
        <f t="shared" si="35"/>
        <v>November</v>
      </c>
      <c r="D456" t="s">
        <v>181</v>
      </c>
      <c r="E456" t="s">
        <v>381</v>
      </c>
      <c r="F456">
        <v>4</v>
      </c>
      <c r="G456" t="s">
        <v>10</v>
      </c>
      <c r="H456" t="s">
        <v>20</v>
      </c>
      <c r="I456" t="s">
        <v>329</v>
      </c>
      <c r="J456" t="str">
        <f>_xlfn.XLOOKUP(E456, Product_Master!$A$2:$A$101, Product_Master!$C$2:$C$101)</f>
        <v>Electronics</v>
      </c>
      <c r="K456">
        <f>_xlfn.XLOOKUP(E456, Product_Master!$A$2:$A$101, Product_Master!$D$2:$D$101)</f>
        <v>20000</v>
      </c>
      <c r="L456">
        <f>_xlfn.XLOOKUP(E456, Product_Master!$A$2:$A$101, Product_Master!$E$2:$E$101)</f>
        <v>25000</v>
      </c>
      <c r="M456">
        <f t="shared" si="36"/>
        <v>100000</v>
      </c>
      <c r="N456">
        <f t="shared" si="37"/>
        <v>80000</v>
      </c>
      <c r="O456">
        <f t="shared" si="38"/>
        <v>20000</v>
      </c>
      <c r="P456" s="3">
        <f t="shared" si="39"/>
        <v>0.2</v>
      </c>
      <c r="Q456" s="3" t="str">
        <v>Low Profit</v>
      </c>
    </row>
    <row r="457" spans="1:17" x14ac:dyDescent="0.3">
      <c r="A457" t="s">
        <v>904</v>
      </c>
      <c r="B457" s="2">
        <v>46011</v>
      </c>
      <c r="C457" s="2" t="str">
        <f t="shared" si="35"/>
        <v>December</v>
      </c>
      <c r="D457" t="s">
        <v>34</v>
      </c>
      <c r="E457" t="s">
        <v>412</v>
      </c>
      <c r="F457">
        <v>5</v>
      </c>
      <c r="G457" t="s">
        <v>29</v>
      </c>
      <c r="H457" t="s">
        <v>14</v>
      </c>
      <c r="I457" t="s">
        <v>346</v>
      </c>
      <c r="J457" t="str">
        <f>_xlfn.XLOOKUP(E457, Product_Master!$A$2:$A$101, Product_Master!$C$2:$C$101)</f>
        <v>Accessories</v>
      </c>
      <c r="K457">
        <f>_xlfn.XLOOKUP(E457, Product_Master!$A$2:$A$101, Product_Master!$D$2:$D$101)</f>
        <v>9000</v>
      </c>
      <c r="L457">
        <f>_xlfn.XLOOKUP(E457, Product_Master!$A$2:$A$101, Product_Master!$E$2:$E$101)</f>
        <v>12000</v>
      </c>
      <c r="M457">
        <f t="shared" si="36"/>
        <v>60000</v>
      </c>
      <c r="N457">
        <f t="shared" si="37"/>
        <v>45000</v>
      </c>
      <c r="O457">
        <f t="shared" si="38"/>
        <v>15000</v>
      </c>
      <c r="P457" s="3">
        <f t="shared" si="39"/>
        <v>0.25</v>
      </c>
      <c r="Q457" s="3" t="str">
        <v>High Profit</v>
      </c>
    </row>
    <row r="458" spans="1:17" x14ac:dyDescent="0.3">
      <c r="A458" t="s">
        <v>905</v>
      </c>
      <c r="B458" s="2">
        <v>45841</v>
      </c>
      <c r="C458" s="2" t="str">
        <f t="shared" si="35"/>
        <v>July</v>
      </c>
      <c r="D458" t="s">
        <v>206</v>
      </c>
      <c r="E458" t="s">
        <v>440</v>
      </c>
      <c r="F458">
        <v>2</v>
      </c>
      <c r="G458" t="s">
        <v>29</v>
      </c>
      <c r="H458" t="s">
        <v>31</v>
      </c>
      <c r="I458" t="s">
        <v>346</v>
      </c>
      <c r="J458" t="str">
        <f>_xlfn.XLOOKUP(E458, Product_Master!$A$2:$A$101, Product_Master!$C$2:$C$101)</f>
        <v>Accessories</v>
      </c>
      <c r="K458">
        <f>_xlfn.XLOOKUP(E458, Product_Master!$A$2:$A$101, Product_Master!$D$2:$D$101)</f>
        <v>9000</v>
      </c>
      <c r="L458">
        <f>_xlfn.XLOOKUP(E458, Product_Master!$A$2:$A$101, Product_Master!$E$2:$E$101)</f>
        <v>12000</v>
      </c>
      <c r="M458">
        <f t="shared" si="36"/>
        <v>24000</v>
      </c>
      <c r="N458">
        <f t="shared" si="37"/>
        <v>18000</v>
      </c>
      <c r="O458">
        <f t="shared" si="38"/>
        <v>6000</v>
      </c>
      <c r="P458" s="3">
        <f t="shared" si="39"/>
        <v>0.25</v>
      </c>
      <c r="Q458" s="3" t="str">
        <v>High Profit</v>
      </c>
    </row>
    <row r="459" spans="1:17" x14ac:dyDescent="0.3">
      <c r="A459" t="s">
        <v>906</v>
      </c>
      <c r="B459" s="2">
        <v>45978</v>
      </c>
      <c r="C459" s="2" t="str">
        <f t="shared" si="35"/>
        <v>November</v>
      </c>
      <c r="D459" t="s">
        <v>160</v>
      </c>
      <c r="E459" t="s">
        <v>381</v>
      </c>
      <c r="F459">
        <v>3</v>
      </c>
      <c r="G459" t="s">
        <v>7</v>
      </c>
      <c r="H459" t="s">
        <v>31</v>
      </c>
      <c r="I459" t="s">
        <v>329</v>
      </c>
      <c r="J459" t="str">
        <f>_xlfn.XLOOKUP(E459, Product_Master!$A$2:$A$101, Product_Master!$C$2:$C$101)</f>
        <v>Electronics</v>
      </c>
      <c r="K459">
        <f>_xlfn.XLOOKUP(E459, Product_Master!$A$2:$A$101, Product_Master!$D$2:$D$101)</f>
        <v>20000</v>
      </c>
      <c r="L459">
        <f>_xlfn.XLOOKUP(E459, Product_Master!$A$2:$A$101, Product_Master!$E$2:$E$101)</f>
        <v>25000</v>
      </c>
      <c r="M459">
        <f t="shared" si="36"/>
        <v>75000</v>
      </c>
      <c r="N459">
        <f t="shared" si="37"/>
        <v>60000</v>
      </c>
      <c r="O459">
        <f t="shared" si="38"/>
        <v>15000</v>
      </c>
      <c r="P459" s="3">
        <f t="shared" si="39"/>
        <v>0.2</v>
      </c>
      <c r="Q459" s="3" t="str">
        <v>Low Profit</v>
      </c>
    </row>
    <row r="460" spans="1:17" x14ac:dyDescent="0.3">
      <c r="A460" t="s">
        <v>907</v>
      </c>
      <c r="B460" s="2">
        <v>45759</v>
      </c>
      <c r="C460" s="2" t="str">
        <f t="shared" si="35"/>
        <v>April</v>
      </c>
      <c r="D460" t="s">
        <v>40</v>
      </c>
      <c r="E460" t="s">
        <v>442</v>
      </c>
      <c r="F460">
        <v>2</v>
      </c>
      <c r="G460" t="s">
        <v>4</v>
      </c>
      <c r="H460" t="s">
        <v>20</v>
      </c>
      <c r="I460" t="s">
        <v>335</v>
      </c>
      <c r="J460" t="str">
        <f>_xlfn.XLOOKUP(E460, Product_Master!$A$2:$A$101, Product_Master!$C$2:$C$101)</f>
        <v>Accessories</v>
      </c>
      <c r="K460">
        <f>_xlfn.XLOOKUP(E460, Product_Master!$A$2:$A$101, Product_Master!$D$2:$D$101)</f>
        <v>900</v>
      </c>
      <c r="L460">
        <f>_xlfn.XLOOKUP(E460, Product_Master!$A$2:$A$101, Product_Master!$E$2:$E$101)</f>
        <v>1500</v>
      </c>
      <c r="M460">
        <f t="shared" si="36"/>
        <v>3000</v>
      </c>
      <c r="N460">
        <f t="shared" si="37"/>
        <v>1800</v>
      </c>
      <c r="O460">
        <f t="shared" si="38"/>
        <v>1200</v>
      </c>
      <c r="P460" s="3">
        <f t="shared" si="39"/>
        <v>0.4</v>
      </c>
      <c r="Q460" s="3" t="str">
        <v>High Profit</v>
      </c>
    </row>
    <row r="461" spans="1:17" x14ac:dyDescent="0.3">
      <c r="A461" t="s">
        <v>908</v>
      </c>
      <c r="B461" s="2">
        <v>45961</v>
      </c>
      <c r="C461" s="2" t="str">
        <f t="shared" si="35"/>
        <v>October</v>
      </c>
      <c r="D461" t="s">
        <v>202</v>
      </c>
      <c r="E461" t="s">
        <v>388</v>
      </c>
      <c r="F461">
        <v>4</v>
      </c>
      <c r="G461" t="s">
        <v>4</v>
      </c>
      <c r="H461" t="s">
        <v>20</v>
      </c>
      <c r="I461" t="s">
        <v>344</v>
      </c>
      <c r="J461" t="str">
        <f>_xlfn.XLOOKUP(E461, Product_Master!$A$2:$A$101, Product_Master!$C$2:$C$101)</f>
        <v>Accessories</v>
      </c>
      <c r="K461">
        <f>_xlfn.XLOOKUP(E461, Product_Master!$A$2:$A$101, Product_Master!$D$2:$D$101)</f>
        <v>2000</v>
      </c>
      <c r="L461">
        <f>_xlfn.XLOOKUP(E461, Product_Master!$A$2:$A$101, Product_Master!$E$2:$E$101)</f>
        <v>3000</v>
      </c>
      <c r="M461">
        <f t="shared" si="36"/>
        <v>12000</v>
      </c>
      <c r="N461">
        <f t="shared" si="37"/>
        <v>8000</v>
      </c>
      <c r="O461">
        <f t="shared" si="38"/>
        <v>4000</v>
      </c>
      <c r="P461" s="3">
        <f t="shared" si="39"/>
        <v>0.33333333333333331</v>
      </c>
      <c r="Q461" s="3" t="str">
        <v>High Profit</v>
      </c>
    </row>
    <row r="462" spans="1:17" x14ac:dyDescent="0.3">
      <c r="A462" t="s">
        <v>909</v>
      </c>
      <c r="B462" s="2">
        <v>45998</v>
      </c>
      <c r="C462" s="2" t="str">
        <f t="shared" si="35"/>
        <v>December</v>
      </c>
      <c r="D462" t="s">
        <v>293</v>
      </c>
      <c r="E462" t="s">
        <v>370</v>
      </c>
      <c r="F462">
        <v>2</v>
      </c>
      <c r="G462" t="s">
        <v>4</v>
      </c>
      <c r="H462" t="s">
        <v>1455</v>
      </c>
      <c r="I462" t="s">
        <v>335</v>
      </c>
      <c r="J462" t="str">
        <f>_xlfn.XLOOKUP(E462, Product_Master!$A$2:$A$101, Product_Master!$C$2:$C$101)</f>
        <v>Accessories</v>
      </c>
      <c r="K462">
        <f>_xlfn.XLOOKUP(E462, Product_Master!$A$2:$A$101, Product_Master!$D$2:$D$101)</f>
        <v>900</v>
      </c>
      <c r="L462">
        <f>_xlfn.XLOOKUP(E462, Product_Master!$A$2:$A$101, Product_Master!$E$2:$E$101)</f>
        <v>1500</v>
      </c>
      <c r="M462">
        <f t="shared" si="36"/>
        <v>3000</v>
      </c>
      <c r="N462">
        <f t="shared" si="37"/>
        <v>1800</v>
      </c>
      <c r="O462">
        <f t="shared" si="38"/>
        <v>1200</v>
      </c>
      <c r="P462" s="3">
        <f t="shared" si="39"/>
        <v>0.4</v>
      </c>
      <c r="Q462" s="3" t="str">
        <v>High Profit</v>
      </c>
    </row>
    <row r="463" spans="1:17" x14ac:dyDescent="0.3">
      <c r="A463" t="s">
        <v>910</v>
      </c>
      <c r="B463" s="2">
        <v>45828</v>
      </c>
      <c r="C463" s="2" t="str">
        <f t="shared" si="35"/>
        <v>June</v>
      </c>
      <c r="D463" t="s">
        <v>137</v>
      </c>
      <c r="E463" t="s">
        <v>359</v>
      </c>
      <c r="F463">
        <v>1</v>
      </c>
      <c r="G463" t="s">
        <v>4</v>
      </c>
      <c r="H463" t="s">
        <v>5</v>
      </c>
      <c r="I463" t="s">
        <v>329</v>
      </c>
      <c r="J463" t="str">
        <f>_xlfn.XLOOKUP(E463, Product_Master!$A$2:$A$101, Product_Master!$C$2:$C$101)</f>
        <v>Electronics</v>
      </c>
      <c r="K463">
        <f>_xlfn.XLOOKUP(E463, Product_Master!$A$2:$A$101, Product_Master!$D$2:$D$101)</f>
        <v>20000</v>
      </c>
      <c r="L463">
        <f>_xlfn.XLOOKUP(E463, Product_Master!$A$2:$A$101, Product_Master!$E$2:$E$101)</f>
        <v>25000</v>
      </c>
      <c r="M463">
        <f t="shared" si="36"/>
        <v>25000</v>
      </c>
      <c r="N463">
        <f t="shared" si="37"/>
        <v>20000</v>
      </c>
      <c r="O463">
        <f t="shared" si="38"/>
        <v>5000</v>
      </c>
      <c r="P463" s="3">
        <f t="shared" si="39"/>
        <v>0.2</v>
      </c>
      <c r="Q463" s="3" t="str">
        <v>Low Profit</v>
      </c>
    </row>
    <row r="464" spans="1:17" x14ac:dyDescent="0.3">
      <c r="A464" t="s">
        <v>911</v>
      </c>
      <c r="B464" s="2">
        <v>45868</v>
      </c>
      <c r="C464" s="2" t="str">
        <f t="shared" si="35"/>
        <v>July</v>
      </c>
      <c r="D464" t="s">
        <v>78</v>
      </c>
      <c r="E464" t="s">
        <v>411</v>
      </c>
      <c r="F464">
        <v>4</v>
      </c>
      <c r="G464" t="s">
        <v>7</v>
      </c>
      <c r="H464" t="s">
        <v>39</v>
      </c>
      <c r="I464" t="s">
        <v>346</v>
      </c>
      <c r="J464" t="str">
        <f>_xlfn.XLOOKUP(E464, Product_Master!$A$2:$A$101, Product_Master!$C$2:$C$101)</f>
        <v>Accessories</v>
      </c>
      <c r="K464">
        <f>_xlfn.XLOOKUP(E464, Product_Master!$A$2:$A$101, Product_Master!$D$2:$D$101)</f>
        <v>9000</v>
      </c>
      <c r="L464">
        <f>_xlfn.XLOOKUP(E464, Product_Master!$A$2:$A$101, Product_Master!$E$2:$E$101)</f>
        <v>12000</v>
      </c>
      <c r="M464">
        <f t="shared" si="36"/>
        <v>48000</v>
      </c>
      <c r="N464">
        <f t="shared" si="37"/>
        <v>36000</v>
      </c>
      <c r="O464">
        <f t="shared" si="38"/>
        <v>12000</v>
      </c>
      <c r="P464" s="3">
        <f t="shared" si="39"/>
        <v>0.25</v>
      </c>
      <c r="Q464" s="3" t="str">
        <v>High Profit</v>
      </c>
    </row>
    <row r="465" spans="1:17" x14ac:dyDescent="0.3">
      <c r="A465" t="s">
        <v>912</v>
      </c>
      <c r="B465" s="2">
        <v>45919</v>
      </c>
      <c r="C465" s="2" t="str">
        <f t="shared" si="35"/>
        <v>September</v>
      </c>
      <c r="D465" t="s">
        <v>231</v>
      </c>
      <c r="E465" t="s">
        <v>394</v>
      </c>
      <c r="F465">
        <v>5</v>
      </c>
      <c r="G465" t="s">
        <v>16</v>
      </c>
      <c r="H465" t="s">
        <v>31</v>
      </c>
      <c r="I465" t="s">
        <v>332</v>
      </c>
      <c r="J465" t="str">
        <f>_xlfn.XLOOKUP(E465, Product_Master!$A$2:$A$101, Product_Master!$C$2:$C$101)</f>
        <v>Accessories</v>
      </c>
      <c r="K465">
        <f>_xlfn.XLOOKUP(E465, Product_Master!$A$2:$A$101, Product_Master!$D$2:$D$101)</f>
        <v>500</v>
      </c>
      <c r="L465">
        <f>_xlfn.XLOOKUP(E465, Product_Master!$A$2:$A$101, Product_Master!$E$2:$E$101)</f>
        <v>800</v>
      </c>
      <c r="M465">
        <f t="shared" si="36"/>
        <v>4000</v>
      </c>
      <c r="N465">
        <f t="shared" si="37"/>
        <v>2500</v>
      </c>
      <c r="O465">
        <f t="shared" si="38"/>
        <v>1500</v>
      </c>
      <c r="P465" s="3">
        <f t="shared" si="39"/>
        <v>0.375</v>
      </c>
      <c r="Q465" s="3" t="str">
        <v>High Profit</v>
      </c>
    </row>
    <row r="466" spans="1:17" x14ac:dyDescent="0.3">
      <c r="A466" t="s">
        <v>913</v>
      </c>
      <c r="B466" s="2">
        <v>45862</v>
      </c>
      <c r="C466" s="2" t="str">
        <f t="shared" si="35"/>
        <v>July</v>
      </c>
      <c r="D466" t="s">
        <v>173</v>
      </c>
      <c r="E466" t="s">
        <v>355</v>
      </c>
      <c r="F466">
        <v>4</v>
      </c>
      <c r="G466" t="s">
        <v>24</v>
      </c>
      <c r="H466" t="s">
        <v>31</v>
      </c>
      <c r="I466" t="s">
        <v>335</v>
      </c>
      <c r="J466" t="str">
        <f>_xlfn.XLOOKUP(E466, Product_Master!$A$2:$A$101, Product_Master!$C$2:$C$101)</f>
        <v>Accessories</v>
      </c>
      <c r="K466">
        <f>_xlfn.XLOOKUP(E466, Product_Master!$A$2:$A$101, Product_Master!$D$2:$D$101)</f>
        <v>900</v>
      </c>
      <c r="L466">
        <f>_xlfn.XLOOKUP(E466, Product_Master!$A$2:$A$101, Product_Master!$E$2:$E$101)</f>
        <v>1500</v>
      </c>
      <c r="M466">
        <f t="shared" si="36"/>
        <v>6000</v>
      </c>
      <c r="N466">
        <f t="shared" si="37"/>
        <v>3600</v>
      </c>
      <c r="O466">
        <f t="shared" si="38"/>
        <v>2400</v>
      </c>
      <c r="P466" s="3">
        <f t="shared" si="39"/>
        <v>0.4</v>
      </c>
      <c r="Q466" s="3" t="str">
        <v>High Profit</v>
      </c>
    </row>
    <row r="467" spans="1:17" x14ac:dyDescent="0.3">
      <c r="A467" t="s">
        <v>914</v>
      </c>
      <c r="B467" s="2">
        <v>45872</v>
      </c>
      <c r="C467" s="2" t="str">
        <f t="shared" si="35"/>
        <v>August</v>
      </c>
      <c r="D467" t="s">
        <v>36</v>
      </c>
      <c r="E467" t="s">
        <v>434</v>
      </c>
      <c r="F467">
        <v>4</v>
      </c>
      <c r="G467" t="s">
        <v>37</v>
      </c>
      <c r="H467" t="s">
        <v>8</v>
      </c>
      <c r="I467" t="s">
        <v>346</v>
      </c>
      <c r="J467" t="str">
        <f>_xlfn.XLOOKUP(E467, Product_Master!$A$2:$A$101, Product_Master!$C$2:$C$101)</f>
        <v>Accessories</v>
      </c>
      <c r="K467">
        <f>_xlfn.XLOOKUP(E467, Product_Master!$A$2:$A$101, Product_Master!$D$2:$D$101)</f>
        <v>9000</v>
      </c>
      <c r="L467">
        <f>_xlfn.XLOOKUP(E467, Product_Master!$A$2:$A$101, Product_Master!$E$2:$E$101)</f>
        <v>12000</v>
      </c>
      <c r="M467">
        <f t="shared" si="36"/>
        <v>48000</v>
      </c>
      <c r="N467">
        <f t="shared" si="37"/>
        <v>36000</v>
      </c>
      <c r="O467">
        <f t="shared" si="38"/>
        <v>12000</v>
      </c>
      <c r="P467" s="3">
        <f t="shared" si="39"/>
        <v>0.25</v>
      </c>
      <c r="Q467" s="3" t="str">
        <v>High Profit</v>
      </c>
    </row>
    <row r="468" spans="1:17" x14ac:dyDescent="0.3">
      <c r="A468" t="s">
        <v>915</v>
      </c>
      <c r="B468" s="2">
        <v>45944</v>
      </c>
      <c r="C468" s="2" t="str">
        <f t="shared" si="35"/>
        <v>October</v>
      </c>
      <c r="D468" t="s">
        <v>220</v>
      </c>
      <c r="E468" t="s">
        <v>376</v>
      </c>
      <c r="F468">
        <v>3</v>
      </c>
      <c r="G468" t="s">
        <v>10</v>
      </c>
      <c r="H468" t="s">
        <v>27</v>
      </c>
      <c r="I468" t="s">
        <v>353</v>
      </c>
      <c r="J468" t="str">
        <f>_xlfn.XLOOKUP(E468, Product_Master!$A$2:$A$101, Product_Master!$C$2:$C$101)</f>
        <v>Electronics</v>
      </c>
      <c r="K468">
        <f>_xlfn.XLOOKUP(E468, Product_Master!$A$2:$A$101, Product_Master!$D$2:$D$101)</f>
        <v>12000</v>
      </c>
      <c r="L468">
        <f>_xlfn.XLOOKUP(E468, Product_Master!$A$2:$A$101, Product_Master!$E$2:$E$101)</f>
        <v>15000</v>
      </c>
      <c r="M468">
        <f t="shared" si="36"/>
        <v>45000</v>
      </c>
      <c r="N468">
        <f t="shared" si="37"/>
        <v>36000</v>
      </c>
      <c r="O468">
        <f t="shared" si="38"/>
        <v>9000</v>
      </c>
      <c r="P468" s="3">
        <f t="shared" si="39"/>
        <v>0.2</v>
      </c>
      <c r="Q468" s="3" t="str">
        <v>Low Profit</v>
      </c>
    </row>
    <row r="469" spans="1:17" x14ac:dyDescent="0.3">
      <c r="A469" t="s">
        <v>916</v>
      </c>
      <c r="B469" s="2">
        <v>45903</v>
      </c>
      <c r="C469" s="2" t="str">
        <f t="shared" si="35"/>
        <v>September</v>
      </c>
      <c r="D469" t="s">
        <v>313</v>
      </c>
      <c r="E469" t="s">
        <v>417</v>
      </c>
      <c r="F469">
        <v>5</v>
      </c>
      <c r="G469" t="s">
        <v>4</v>
      </c>
      <c r="H469" t="s">
        <v>8</v>
      </c>
      <c r="I469" t="s">
        <v>335</v>
      </c>
      <c r="J469" t="str">
        <f>_xlfn.XLOOKUP(E469, Product_Master!$A$2:$A$101, Product_Master!$C$2:$C$101)</f>
        <v>Accessories</v>
      </c>
      <c r="K469">
        <f>_xlfn.XLOOKUP(E469, Product_Master!$A$2:$A$101, Product_Master!$D$2:$D$101)</f>
        <v>900</v>
      </c>
      <c r="L469">
        <f>_xlfn.XLOOKUP(E469, Product_Master!$A$2:$A$101, Product_Master!$E$2:$E$101)</f>
        <v>1500</v>
      </c>
      <c r="M469">
        <f t="shared" si="36"/>
        <v>7500</v>
      </c>
      <c r="N469">
        <f t="shared" si="37"/>
        <v>4500</v>
      </c>
      <c r="O469">
        <f t="shared" si="38"/>
        <v>3000</v>
      </c>
      <c r="P469" s="3">
        <f t="shared" si="39"/>
        <v>0.4</v>
      </c>
      <c r="Q469" s="3" t="str">
        <v>High Profit</v>
      </c>
    </row>
    <row r="470" spans="1:17" x14ac:dyDescent="0.3">
      <c r="A470" t="s">
        <v>917</v>
      </c>
      <c r="B470" s="2">
        <v>45836</v>
      </c>
      <c r="C470" s="2" t="str">
        <f t="shared" si="35"/>
        <v>June</v>
      </c>
      <c r="D470" t="s">
        <v>239</v>
      </c>
      <c r="E470" t="s">
        <v>437</v>
      </c>
      <c r="F470">
        <v>4</v>
      </c>
      <c r="G470" t="s">
        <v>22</v>
      </c>
      <c r="H470" t="s">
        <v>39</v>
      </c>
      <c r="I470" t="s">
        <v>344</v>
      </c>
      <c r="J470" t="str">
        <f>_xlfn.XLOOKUP(E470, Product_Master!$A$2:$A$101, Product_Master!$C$2:$C$101)</f>
        <v>Accessories</v>
      </c>
      <c r="K470">
        <f>_xlfn.XLOOKUP(E470, Product_Master!$A$2:$A$101, Product_Master!$D$2:$D$101)</f>
        <v>2000</v>
      </c>
      <c r="L470">
        <f>_xlfn.XLOOKUP(E470, Product_Master!$A$2:$A$101, Product_Master!$E$2:$E$101)</f>
        <v>3000</v>
      </c>
      <c r="M470">
        <f t="shared" si="36"/>
        <v>12000</v>
      </c>
      <c r="N470">
        <f t="shared" si="37"/>
        <v>8000</v>
      </c>
      <c r="O470">
        <f t="shared" si="38"/>
        <v>4000</v>
      </c>
      <c r="P470" s="3">
        <f t="shared" si="39"/>
        <v>0.33333333333333331</v>
      </c>
      <c r="Q470" s="3" t="str">
        <v>High Profit</v>
      </c>
    </row>
    <row r="471" spans="1:17" x14ac:dyDescent="0.3">
      <c r="A471" t="s">
        <v>918</v>
      </c>
      <c r="B471" s="2">
        <v>45744</v>
      </c>
      <c r="C471" s="2" t="str">
        <f t="shared" si="35"/>
        <v>March</v>
      </c>
      <c r="D471" t="s">
        <v>215</v>
      </c>
      <c r="E471" t="s">
        <v>386</v>
      </c>
      <c r="F471">
        <v>1</v>
      </c>
      <c r="G471" t="s">
        <v>45</v>
      </c>
      <c r="H471" t="s">
        <v>8</v>
      </c>
      <c r="I471" t="s">
        <v>335</v>
      </c>
      <c r="J471" t="str">
        <f>_xlfn.XLOOKUP(E471, Product_Master!$A$2:$A$101, Product_Master!$C$2:$C$101)</f>
        <v>Accessories</v>
      </c>
      <c r="K471">
        <f>_xlfn.XLOOKUP(E471, Product_Master!$A$2:$A$101, Product_Master!$D$2:$D$101)</f>
        <v>900</v>
      </c>
      <c r="L471">
        <f>_xlfn.XLOOKUP(E471, Product_Master!$A$2:$A$101, Product_Master!$E$2:$E$101)</f>
        <v>1500</v>
      </c>
      <c r="M471">
        <f t="shared" si="36"/>
        <v>1500</v>
      </c>
      <c r="N471">
        <f t="shared" si="37"/>
        <v>900</v>
      </c>
      <c r="O471">
        <f t="shared" si="38"/>
        <v>600</v>
      </c>
      <c r="P471" s="3">
        <f t="shared" si="39"/>
        <v>0.4</v>
      </c>
      <c r="Q471" s="3" t="str">
        <v>High Profit</v>
      </c>
    </row>
    <row r="472" spans="1:17" x14ac:dyDescent="0.3">
      <c r="A472" t="s">
        <v>919</v>
      </c>
      <c r="B472" s="2">
        <v>45817</v>
      </c>
      <c r="C472" s="2" t="str">
        <f t="shared" si="35"/>
        <v>June</v>
      </c>
      <c r="D472" t="s">
        <v>124</v>
      </c>
      <c r="E472" t="s">
        <v>439</v>
      </c>
      <c r="F472">
        <v>2</v>
      </c>
      <c r="G472" t="s">
        <v>10</v>
      </c>
      <c r="H472" t="s">
        <v>14</v>
      </c>
      <c r="I472" t="s">
        <v>353</v>
      </c>
      <c r="J472" t="str">
        <f>_xlfn.XLOOKUP(E472, Product_Master!$A$2:$A$101, Product_Master!$C$2:$C$101)</f>
        <v>Electronics</v>
      </c>
      <c r="K472">
        <f>_xlfn.XLOOKUP(E472, Product_Master!$A$2:$A$101, Product_Master!$D$2:$D$101)</f>
        <v>12000</v>
      </c>
      <c r="L472">
        <f>_xlfn.XLOOKUP(E472, Product_Master!$A$2:$A$101, Product_Master!$E$2:$E$101)</f>
        <v>15000</v>
      </c>
      <c r="M472">
        <f t="shared" si="36"/>
        <v>30000</v>
      </c>
      <c r="N472">
        <f t="shared" si="37"/>
        <v>24000</v>
      </c>
      <c r="O472">
        <f t="shared" si="38"/>
        <v>6000</v>
      </c>
      <c r="P472" s="3">
        <f t="shared" si="39"/>
        <v>0.2</v>
      </c>
      <c r="Q472" s="3" t="str">
        <v>Low Profit</v>
      </c>
    </row>
    <row r="473" spans="1:17" x14ac:dyDescent="0.3">
      <c r="A473" t="s">
        <v>920</v>
      </c>
      <c r="B473" s="2">
        <v>45697</v>
      </c>
      <c r="C473" s="2" t="str">
        <f t="shared" si="35"/>
        <v>February</v>
      </c>
      <c r="D473" t="s">
        <v>159</v>
      </c>
      <c r="E473" t="s">
        <v>385</v>
      </c>
      <c r="F473">
        <v>3</v>
      </c>
      <c r="G473" t="s">
        <v>45</v>
      </c>
      <c r="H473" t="s">
        <v>20</v>
      </c>
      <c r="I473" t="s">
        <v>340</v>
      </c>
      <c r="J473" t="str">
        <f>_xlfn.XLOOKUP(E473, Product_Master!$A$2:$A$101, Product_Master!$C$2:$C$101)</f>
        <v>Electronics</v>
      </c>
      <c r="K473">
        <f>_xlfn.XLOOKUP(E473, Product_Master!$A$2:$A$101, Product_Master!$D$2:$D$101)</f>
        <v>42000</v>
      </c>
      <c r="L473">
        <f>_xlfn.XLOOKUP(E473, Product_Master!$A$2:$A$101, Product_Master!$E$2:$E$101)</f>
        <v>50000</v>
      </c>
      <c r="M473">
        <f t="shared" si="36"/>
        <v>150000</v>
      </c>
      <c r="N473">
        <f t="shared" si="37"/>
        <v>126000</v>
      </c>
      <c r="O473">
        <f t="shared" si="38"/>
        <v>24000</v>
      </c>
      <c r="P473" s="3">
        <f t="shared" si="39"/>
        <v>0.16</v>
      </c>
      <c r="Q473" s="3" t="str">
        <v>Low Profit</v>
      </c>
    </row>
    <row r="474" spans="1:17" x14ac:dyDescent="0.3">
      <c r="A474" t="s">
        <v>921</v>
      </c>
      <c r="B474" s="2">
        <v>45921</v>
      </c>
      <c r="C474" s="2" t="str">
        <f t="shared" si="35"/>
        <v>September</v>
      </c>
      <c r="D474" t="s">
        <v>54</v>
      </c>
      <c r="E474" t="s">
        <v>374</v>
      </c>
      <c r="F474">
        <v>3</v>
      </c>
      <c r="G474" t="s">
        <v>45</v>
      </c>
      <c r="H474" t="s">
        <v>5</v>
      </c>
      <c r="I474" t="s">
        <v>346</v>
      </c>
      <c r="J474" t="str">
        <f>_xlfn.XLOOKUP(E474, Product_Master!$A$2:$A$101, Product_Master!$C$2:$C$101)</f>
        <v>Accessories</v>
      </c>
      <c r="K474">
        <f>_xlfn.XLOOKUP(E474, Product_Master!$A$2:$A$101, Product_Master!$D$2:$D$101)</f>
        <v>9000</v>
      </c>
      <c r="L474">
        <f>_xlfn.XLOOKUP(E474, Product_Master!$A$2:$A$101, Product_Master!$E$2:$E$101)</f>
        <v>12000</v>
      </c>
      <c r="M474">
        <f t="shared" si="36"/>
        <v>36000</v>
      </c>
      <c r="N474">
        <f t="shared" si="37"/>
        <v>27000</v>
      </c>
      <c r="O474">
        <f t="shared" si="38"/>
        <v>9000</v>
      </c>
      <c r="P474" s="3">
        <f t="shared" si="39"/>
        <v>0.25</v>
      </c>
      <c r="Q474" s="3" t="str">
        <v>High Profit</v>
      </c>
    </row>
    <row r="475" spans="1:17" x14ac:dyDescent="0.3">
      <c r="A475" t="s">
        <v>922</v>
      </c>
      <c r="B475" s="2">
        <v>45760</v>
      </c>
      <c r="C475" s="2" t="str">
        <f t="shared" si="35"/>
        <v>April</v>
      </c>
      <c r="D475" t="s">
        <v>193</v>
      </c>
      <c r="E475" t="s">
        <v>373</v>
      </c>
      <c r="F475">
        <v>2</v>
      </c>
      <c r="G475" t="s">
        <v>4</v>
      </c>
      <c r="H475" t="s">
        <v>8</v>
      </c>
      <c r="I475" t="s">
        <v>335</v>
      </c>
      <c r="J475" t="str">
        <f>_xlfn.XLOOKUP(E475, Product_Master!$A$2:$A$101, Product_Master!$C$2:$C$101)</f>
        <v>Accessories</v>
      </c>
      <c r="K475">
        <f>_xlfn.XLOOKUP(E475, Product_Master!$A$2:$A$101, Product_Master!$D$2:$D$101)</f>
        <v>900</v>
      </c>
      <c r="L475">
        <f>_xlfn.XLOOKUP(E475, Product_Master!$A$2:$A$101, Product_Master!$E$2:$E$101)</f>
        <v>1500</v>
      </c>
      <c r="M475">
        <f t="shared" si="36"/>
        <v>3000</v>
      </c>
      <c r="N475">
        <f t="shared" si="37"/>
        <v>1800</v>
      </c>
      <c r="O475">
        <f t="shared" si="38"/>
        <v>1200</v>
      </c>
      <c r="P475" s="3">
        <f t="shared" si="39"/>
        <v>0.4</v>
      </c>
      <c r="Q475" s="3" t="str">
        <v>High Profit</v>
      </c>
    </row>
    <row r="476" spans="1:17" x14ac:dyDescent="0.3">
      <c r="A476" t="s">
        <v>923</v>
      </c>
      <c r="B476" s="2">
        <v>46016</v>
      </c>
      <c r="C476" s="2" t="str">
        <f t="shared" si="35"/>
        <v>December</v>
      </c>
      <c r="D476" t="s">
        <v>309</v>
      </c>
      <c r="E476" t="s">
        <v>407</v>
      </c>
      <c r="F476">
        <v>5</v>
      </c>
      <c r="G476" t="s">
        <v>4</v>
      </c>
      <c r="H476" t="s">
        <v>39</v>
      </c>
      <c r="I476" t="s">
        <v>329</v>
      </c>
      <c r="J476" t="str">
        <f>_xlfn.XLOOKUP(E476, Product_Master!$A$2:$A$101, Product_Master!$C$2:$C$101)</f>
        <v>Electronics</v>
      </c>
      <c r="K476">
        <f>_xlfn.XLOOKUP(E476, Product_Master!$A$2:$A$101, Product_Master!$D$2:$D$101)</f>
        <v>20000</v>
      </c>
      <c r="L476">
        <f>_xlfn.XLOOKUP(E476, Product_Master!$A$2:$A$101, Product_Master!$E$2:$E$101)</f>
        <v>25000</v>
      </c>
      <c r="M476">
        <f t="shared" si="36"/>
        <v>125000</v>
      </c>
      <c r="N476">
        <f t="shared" si="37"/>
        <v>100000</v>
      </c>
      <c r="O476">
        <f t="shared" si="38"/>
        <v>25000</v>
      </c>
      <c r="P476" s="3">
        <f t="shared" si="39"/>
        <v>0.2</v>
      </c>
      <c r="Q476" s="3" t="str">
        <v>Low Profit</v>
      </c>
    </row>
    <row r="477" spans="1:17" x14ac:dyDescent="0.3">
      <c r="A477" t="s">
        <v>924</v>
      </c>
      <c r="B477" s="2">
        <v>45942</v>
      </c>
      <c r="C477" s="2" t="str">
        <f t="shared" si="35"/>
        <v>October</v>
      </c>
      <c r="D477" t="s">
        <v>129</v>
      </c>
      <c r="E477" t="s">
        <v>438</v>
      </c>
      <c r="F477">
        <v>1</v>
      </c>
      <c r="G477" t="s">
        <v>16</v>
      </c>
      <c r="H477" t="s">
        <v>20</v>
      </c>
      <c r="I477" t="s">
        <v>329</v>
      </c>
      <c r="J477" t="str">
        <f>_xlfn.XLOOKUP(E477, Product_Master!$A$2:$A$101, Product_Master!$C$2:$C$101)</f>
        <v>Electronics</v>
      </c>
      <c r="K477">
        <f>_xlfn.XLOOKUP(E477, Product_Master!$A$2:$A$101, Product_Master!$D$2:$D$101)</f>
        <v>20000</v>
      </c>
      <c r="L477">
        <f>_xlfn.XLOOKUP(E477, Product_Master!$A$2:$A$101, Product_Master!$E$2:$E$101)</f>
        <v>25000</v>
      </c>
      <c r="M477">
        <f t="shared" si="36"/>
        <v>25000</v>
      </c>
      <c r="N477">
        <f t="shared" si="37"/>
        <v>20000</v>
      </c>
      <c r="O477">
        <f t="shared" si="38"/>
        <v>5000</v>
      </c>
      <c r="P477" s="3">
        <f t="shared" si="39"/>
        <v>0.2</v>
      </c>
      <c r="Q477" s="3" t="str">
        <v>Low Profit</v>
      </c>
    </row>
    <row r="478" spans="1:17" x14ac:dyDescent="0.3">
      <c r="A478" t="s">
        <v>925</v>
      </c>
      <c r="B478" s="2">
        <v>45681</v>
      </c>
      <c r="C478" s="2" t="str">
        <f t="shared" si="35"/>
        <v>January</v>
      </c>
      <c r="D478" t="s">
        <v>113</v>
      </c>
      <c r="E478" t="s">
        <v>383</v>
      </c>
      <c r="F478">
        <v>2</v>
      </c>
      <c r="G478" t="s">
        <v>22</v>
      </c>
      <c r="H478" t="s">
        <v>20</v>
      </c>
      <c r="I478" t="s">
        <v>335</v>
      </c>
      <c r="J478" t="str">
        <f>_xlfn.XLOOKUP(E478, Product_Master!$A$2:$A$101, Product_Master!$C$2:$C$101)</f>
        <v>Accessories</v>
      </c>
      <c r="K478">
        <f>_xlfn.XLOOKUP(E478, Product_Master!$A$2:$A$101, Product_Master!$D$2:$D$101)</f>
        <v>900</v>
      </c>
      <c r="L478">
        <f>_xlfn.XLOOKUP(E478, Product_Master!$A$2:$A$101, Product_Master!$E$2:$E$101)</f>
        <v>1500</v>
      </c>
      <c r="M478">
        <f t="shared" si="36"/>
        <v>3000</v>
      </c>
      <c r="N478">
        <f t="shared" si="37"/>
        <v>1800</v>
      </c>
      <c r="O478">
        <f t="shared" si="38"/>
        <v>1200</v>
      </c>
      <c r="P478" s="3">
        <f t="shared" si="39"/>
        <v>0.4</v>
      </c>
      <c r="Q478" s="3" t="str">
        <v>High Profit</v>
      </c>
    </row>
    <row r="479" spans="1:17" x14ac:dyDescent="0.3">
      <c r="A479" t="s">
        <v>926</v>
      </c>
      <c r="B479" s="2">
        <v>45709</v>
      </c>
      <c r="C479" s="2" t="str">
        <f t="shared" si="35"/>
        <v>February</v>
      </c>
      <c r="D479" t="s">
        <v>268</v>
      </c>
      <c r="E479" t="s">
        <v>384</v>
      </c>
      <c r="F479">
        <v>1</v>
      </c>
      <c r="G479" t="s">
        <v>10</v>
      </c>
      <c r="H479" t="s">
        <v>17</v>
      </c>
      <c r="I479" t="s">
        <v>353</v>
      </c>
      <c r="J479" t="str">
        <f>_xlfn.XLOOKUP(E479, Product_Master!$A$2:$A$101, Product_Master!$C$2:$C$101)</f>
        <v>Electronics</v>
      </c>
      <c r="K479">
        <f>_xlfn.XLOOKUP(E479, Product_Master!$A$2:$A$101, Product_Master!$D$2:$D$101)</f>
        <v>12000</v>
      </c>
      <c r="L479">
        <f>_xlfn.XLOOKUP(E479, Product_Master!$A$2:$A$101, Product_Master!$E$2:$E$101)</f>
        <v>15000</v>
      </c>
      <c r="M479">
        <f t="shared" si="36"/>
        <v>15000</v>
      </c>
      <c r="N479">
        <f t="shared" si="37"/>
        <v>12000</v>
      </c>
      <c r="O479">
        <f t="shared" si="38"/>
        <v>3000</v>
      </c>
      <c r="P479" s="3">
        <f t="shared" si="39"/>
        <v>0.2</v>
      </c>
      <c r="Q479" s="3" t="str">
        <v>Low Profit</v>
      </c>
    </row>
    <row r="480" spans="1:17" x14ac:dyDescent="0.3">
      <c r="A480" t="s">
        <v>927</v>
      </c>
      <c r="B480" s="2">
        <v>45777</v>
      </c>
      <c r="C480" s="2" t="str">
        <f t="shared" si="35"/>
        <v>April</v>
      </c>
      <c r="D480" t="s">
        <v>179</v>
      </c>
      <c r="E480" t="s">
        <v>388</v>
      </c>
      <c r="F480">
        <v>3</v>
      </c>
      <c r="G480" t="s">
        <v>4</v>
      </c>
      <c r="H480" t="s">
        <v>27</v>
      </c>
      <c r="I480" t="s">
        <v>344</v>
      </c>
      <c r="J480" t="str">
        <f>_xlfn.XLOOKUP(E480, Product_Master!$A$2:$A$101, Product_Master!$C$2:$C$101)</f>
        <v>Accessories</v>
      </c>
      <c r="K480">
        <f>_xlfn.XLOOKUP(E480, Product_Master!$A$2:$A$101, Product_Master!$D$2:$D$101)</f>
        <v>2000</v>
      </c>
      <c r="L480">
        <f>_xlfn.XLOOKUP(E480, Product_Master!$A$2:$A$101, Product_Master!$E$2:$E$101)</f>
        <v>3000</v>
      </c>
      <c r="M480">
        <f t="shared" si="36"/>
        <v>9000</v>
      </c>
      <c r="N480">
        <f t="shared" si="37"/>
        <v>6000</v>
      </c>
      <c r="O480">
        <f t="shared" si="38"/>
        <v>3000</v>
      </c>
      <c r="P480" s="3">
        <f t="shared" si="39"/>
        <v>0.33333333333333331</v>
      </c>
      <c r="Q480" s="3" t="str">
        <v>High Profit</v>
      </c>
    </row>
    <row r="481" spans="1:17" x14ac:dyDescent="0.3">
      <c r="A481" t="s">
        <v>928</v>
      </c>
      <c r="B481" s="2">
        <v>45740</v>
      </c>
      <c r="C481" s="2" t="str">
        <f t="shared" si="35"/>
        <v>March</v>
      </c>
      <c r="D481" t="s">
        <v>78</v>
      </c>
      <c r="E481" t="s">
        <v>395</v>
      </c>
      <c r="F481">
        <v>2</v>
      </c>
      <c r="G481" t="s">
        <v>7</v>
      </c>
      <c r="H481" t="s">
        <v>39</v>
      </c>
      <c r="I481" t="s">
        <v>340</v>
      </c>
      <c r="J481" t="str">
        <f>_xlfn.XLOOKUP(E481, Product_Master!$A$2:$A$101, Product_Master!$C$2:$C$101)</f>
        <v>Electronics</v>
      </c>
      <c r="K481">
        <f>_xlfn.XLOOKUP(E481, Product_Master!$A$2:$A$101, Product_Master!$D$2:$D$101)</f>
        <v>42000</v>
      </c>
      <c r="L481">
        <f>_xlfn.XLOOKUP(E481, Product_Master!$A$2:$A$101, Product_Master!$E$2:$E$101)</f>
        <v>50000</v>
      </c>
      <c r="M481">
        <f t="shared" si="36"/>
        <v>100000</v>
      </c>
      <c r="N481">
        <f t="shared" si="37"/>
        <v>84000</v>
      </c>
      <c r="O481">
        <f t="shared" si="38"/>
        <v>16000</v>
      </c>
      <c r="P481" s="3">
        <f t="shared" si="39"/>
        <v>0.16</v>
      </c>
      <c r="Q481" s="3" t="str">
        <v>Low Profit</v>
      </c>
    </row>
    <row r="482" spans="1:17" x14ac:dyDescent="0.3">
      <c r="A482" t="s">
        <v>929</v>
      </c>
      <c r="B482" s="2">
        <v>45860</v>
      </c>
      <c r="C482" s="2" t="str">
        <f t="shared" si="35"/>
        <v>July</v>
      </c>
      <c r="D482" t="s">
        <v>269</v>
      </c>
      <c r="E482" t="s">
        <v>373</v>
      </c>
      <c r="F482">
        <v>3</v>
      </c>
      <c r="G482" t="s">
        <v>24</v>
      </c>
      <c r="H482" t="s">
        <v>39</v>
      </c>
      <c r="I482" t="s">
        <v>335</v>
      </c>
      <c r="J482" t="str">
        <f>_xlfn.XLOOKUP(E482, Product_Master!$A$2:$A$101, Product_Master!$C$2:$C$101)</f>
        <v>Accessories</v>
      </c>
      <c r="K482">
        <f>_xlfn.XLOOKUP(E482, Product_Master!$A$2:$A$101, Product_Master!$D$2:$D$101)</f>
        <v>900</v>
      </c>
      <c r="L482">
        <f>_xlfn.XLOOKUP(E482, Product_Master!$A$2:$A$101, Product_Master!$E$2:$E$101)</f>
        <v>1500</v>
      </c>
      <c r="M482">
        <f t="shared" si="36"/>
        <v>4500</v>
      </c>
      <c r="N482">
        <f t="shared" si="37"/>
        <v>2700</v>
      </c>
      <c r="O482">
        <f t="shared" si="38"/>
        <v>1800</v>
      </c>
      <c r="P482" s="3">
        <f t="shared" si="39"/>
        <v>0.4</v>
      </c>
      <c r="Q482" s="3" t="str">
        <v>High Profit</v>
      </c>
    </row>
    <row r="483" spans="1:17" x14ac:dyDescent="0.3">
      <c r="A483" t="s">
        <v>930</v>
      </c>
      <c r="B483" s="2">
        <v>45868</v>
      </c>
      <c r="C483" s="2" t="str">
        <f t="shared" si="35"/>
        <v>July</v>
      </c>
      <c r="D483" t="s">
        <v>286</v>
      </c>
      <c r="E483" t="s">
        <v>357</v>
      </c>
      <c r="F483">
        <v>4</v>
      </c>
      <c r="G483" t="s">
        <v>45</v>
      </c>
      <c r="H483" t="s">
        <v>27</v>
      </c>
      <c r="I483" t="s">
        <v>340</v>
      </c>
      <c r="J483" t="str">
        <f>_xlfn.XLOOKUP(E483, Product_Master!$A$2:$A$101, Product_Master!$C$2:$C$101)</f>
        <v>Electronics</v>
      </c>
      <c r="K483">
        <f>_xlfn.XLOOKUP(E483, Product_Master!$A$2:$A$101, Product_Master!$D$2:$D$101)</f>
        <v>42000</v>
      </c>
      <c r="L483">
        <f>_xlfn.XLOOKUP(E483, Product_Master!$A$2:$A$101, Product_Master!$E$2:$E$101)</f>
        <v>50000</v>
      </c>
      <c r="M483">
        <f t="shared" si="36"/>
        <v>200000</v>
      </c>
      <c r="N483">
        <f t="shared" si="37"/>
        <v>168000</v>
      </c>
      <c r="O483">
        <f t="shared" si="38"/>
        <v>32000</v>
      </c>
      <c r="P483" s="3">
        <f t="shared" si="39"/>
        <v>0.16</v>
      </c>
      <c r="Q483" s="3" t="str">
        <v>Low Profit</v>
      </c>
    </row>
    <row r="484" spans="1:17" x14ac:dyDescent="0.3">
      <c r="A484" t="s">
        <v>931</v>
      </c>
      <c r="B484" s="2">
        <v>45929</v>
      </c>
      <c r="C484" s="2" t="str">
        <f t="shared" si="35"/>
        <v>September</v>
      </c>
      <c r="D484" t="s">
        <v>210</v>
      </c>
      <c r="E484" t="s">
        <v>408</v>
      </c>
      <c r="F484">
        <v>2</v>
      </c>
      <c r="G484" t="s">
        <v>45</v>
      </c>
      <c r="H484" t="s">
        <v>27</v>
      </c>
      <c r="I484" t="s">
        <v>332</v>
      </c>
      <c r="J484" t="str">
        <f>_xlfn.XLOOKUP(E484, Product_Master!$A$2:$A$101, Product_Master!$C$2:$C$101)</f>
        <v>Accessories</v>
      </c>
      <c r="K484">
        <f>_xlfn.XLOOKUP(E484, Product_Master!$A$2:$A$101, Product_Master!$D$2:$D$101)</f>
        <v>500</v>
      </c>
      <c r="L484">
        <f>_xlfn.XLOOKUP(E484, Product_Master!$A$2:$A$101, Product_Master!$E$2:$E$101)</f>
        <v>800</v>
      </c>
      <c r="M484">
        <f t="shared" si="36"/>
        <v>1600</v>
      </c>
      <c r="N484">
        <f t="shared" si="37"/>
        <v>1000</v>
      </c>
      <c r="O484">
        <f t="shared" si="38"/>
        <v>600</v>
      </c>
      <c r="P484" s="3">
        <f t="shared" si="39"/>
        <v>0.375</v>
      </c>
      <c r="Q484" s="3" t="str">
        <v>High Profit</v>
      </c>
    </row>
    <row r="485" spans="1:17" x14ac:dyDescent="0.3">
      <c r="A485" t="s">
        <v>932</v>
      </c>
      <c r="B485" s="2">
        <v>45971</v>
      </c>
      <c r="C485" s="2" t="str">
        <f t="shared" si="35"/>
        <v>November</v>
      </c>
      <c r="D485" t="s">
        <v>36</v>
      </c>
      <c r="E485" t="s">
        <v>422</v>
      </c>
      <c r="F485">
        <v>4</v>
      </c>
      <c r="G485" t="s">
        <v>37</v>
      </c>
      <c r="H485" t="s">
        <v>8</v>
      </c>
      <c r="I485" t="s">
        <v>332</v>
      </c>
      <c r="J485" t="str">
        <f>_xlfn.XLOOKUP(E485, Product_Master!$A$2:$A$101, Product_Master!$C$2:$C$101)</f>
        <v>Accessories</v>
      </c>
      <c r="K485">
        <f>_xlfn.XLOOKUP(E485, Product_Master!$A$2:$A$101, Product_Master!$D$2:$D$101)</f>
        <v>500</v>
      </c>
      <c r="L485">
        <f>_xlfn.XLOOKUP(E485, Product_Master!$A$2:$A$101, Product_Master!$E$2:$E$101)</f>
        <v>800</v>
      </c>
      <c r="M485">
        <f t="shared" si="36"/>
        <v>3200</v>
      </c>
      <c r="N485">
        <f t="shared" si="37"/>
        <v>2000</v>
      </c>
      <c r="O485">
        <f t="shared" si="38"/>
        <v>1200</v>
      </c>
      <c r="P485" s="3">
        <f t="shared" si="39"/>
        <v>0.375</v>
      </c>
      <c r="Q485" s="3" t="str">
        <v>High Profit</v>
      </c>
    </row>
    <row r="486" spans="1:17" x14ac:dyDescent="0.3">
      <c r="A486" t="s">
        <v>933</v>
      </c>
      <c r="B486" s="2">
        <v>45712</v>
      </c>
      <c r="C486" s="2" t="str">
        <f t="shared" si="35"/>
        <v>February</v>
      </c>
      <c r="D486" t="s">
        <v>301</v>
      </c>
      <c r="E486" t="s">
        <v>391</v>
      </c>
      <c r="F486">
        <v>2</v>
      </c>
      <c r="G486" t="s">
        <v>22</v>
      </c>
      <c r="H486" t="s">
        <v>5</v>
      </c>
      <c r="I486" t="s">
        <v>332</v>
      </c>
      <c r="J486" t="str">
        <f>_xlfn.XLOOKUP(E486, Product_Master!$A$2:$A$101, Product_Master!$C$2:$C$101)</f>
        <v>Accessories</v>
      </c>
      <c r="K486">
        <f>_xlfn.XLOOKUP(E486, Product_Master!$A$2:$A$101, Product_Master!$D$2:$D$101)</f>
        <v>500</v>
      </c>
      <c r="L486">
        <f>_xlfn.XLOOKUP(E486, Product_Master!$A$2:$A$101, Product_Master!$E$2:$E$101)</f>
        <v>800</v>
      </c>
      <c r="M486">
        <f t="shared" si="36"/>
        <v>1600</v>
      </c>
      <c r="N486">
        <f t="shared" si="37"/>
        <v>1000</v>
      </c>
      <c r="O486">
        <f t="shared" si="38"/>
        <v>600</v>
      </c>
      <c r="P486" s="3">
        <f t="shared" si="39"/>
        <v>0.375</v>
      </c>
      <c r="Q486" s="3" t="str">
        <v>High Profit</v>
      </c>
    </row>
    <row r="487" spans="1:17" x14ac:dyDescent="0.3">
      <c r="A487" t="s">
        <v>934</v>
      </c>
      <c r="B487" s="2">
        <v>45688</v>
      </c>
      <c r="C487" s="2" t="str">
        <f t="shared" si="35"/>
        <v>January</v>
      </c>
      <c r="D487" t="s">
        <v>95</v>
      </c>
      <c r="E487" t="s">
        <v>406</v>
      </c>
      <c r="F487">
        <v>2</v>
      </c>
      <c r="G487" t="s">
        <v>24</v>
      </c>
      <c r="H487" t="s">
        <v>5</v>
      </c>
      <c r="I487" t="s">
        <v>344</v>
      </c>
      <c r="J487" t="str">
        <f>_xlfn.XLOOKUP(E487, Product_Master!$A$2:$A$101, Product_Master!$C$2:$C$101)</f>
        <v>Accessories</v>
      </c>
      <c r="K487">
        <f>_xlfn.XLOOKUP(E487, Product_Master!$A$2:$A$101, Product_Master!$D$2:$D$101)</f>
        <v>2000</v>
      </c>
      <c r="L487">
        <f>_xlfn.XLOOKUP(E487, Product_Master!$A$2:$A$101, Product_Master!$E$2:$E$101)</f>
        <v>3000</v>
      </c>
      <c r="M487">
        <f t="shared" si="36"/>
        <v>6000</v>
      </c>
      <c r="N487">
        <f t="shared" si="37"/>
        <v>4000</v>
      </c>
      <c r="O487">
        <f t="shared" si="38"/>
        <v>2000</v>
      </c>
      <c r="P487" s="3">
        <f t="shared" si="39"/>
        <v>0.33333333333333331</v>
      </c>
      <c r="Q487" s="3" t="str">
        <v>High Profit</v>
      </c>
    </row>
    <row r="488" spans="1:17" x14ac:dyDescent="0.3">
      <c r="A488" t="s">
        <v>935</v>
      </c>
      <c r="B488" s="2">
        <v>45953</v>
      </c>
      <c r="C488" s="2" t="str">
        <f t="shared" si="35"/>
        <v>October</v>
      </c>
      <c r="D488" t="s">
        <v>261</v>
      </c>
      <c r="E488" t="s">
        <v>347</v>
      </c>
      <c r="F488">
        <v>4</v>
      </c>
      <c r="G488" t="s">
        <v>12</v>
      </c>
      <c r="H488" t="s">
        <v>31</v>
      </c>
      <c r="I488" t="s">
        <v>335</v>
      </c>
      <c r="J488" t="str">
        <f>_xlfn.XLOOKUP(E488, Product_Master!$A$2:$A$101, Product_Master!$C$2:$C$101)</f>
        <v>Accessories</v>
      </c>
      <c r="K488">
        <f>_xlfn.XLOOKUP(E488, Product_Master!$A$2:$A$101, Product_Master!$D$2:$D$101)</f>
        <v>900</v>
      </c>
      <c r="L488">
        <f>_xlfn.XLOOKUP(E488, Product_Master!$A$2:$A$101, Product_Master!$E$2:$E$101)</f>
        <v>1500</v>
      </c>
      <c r="M488">
        <f t="shared" si="36"/>
        <v>6000</v>
      </c>
      <c r="N488">
        <f t="shared" si="37"/>
        <v>3600</v>
      </c>
      <c r="O488">
        <f t="shared" si="38"/>
        <v>2400</v>
      </c>
      <c r="P488" s="3">
        <f t="shared" si="39"/>
        <v>0.4</v>
      </c>
      <c r="Q488" s="3" t="str">
        <v>High Profit</v>
      </c>
    </row>
    <row r="489" spans="1:17" x14ac:dyDescent="0.3">
      <c r="A489" t="s">
        <v>936</v>
      </c>
      <c r="B489" s="2">
        <v>45694</v>
      </c>
      <c r="C489" s="2" t="str">
        <f t="shared" si="35"/>
        <v>February</v>
      </c>
      <c r="D489" t="s">
        <v>43</v>
      </c>
      <c r="E489" t="s">
        <v>403</v>
      </c>
      <c r="F489">
        <v>1</v>
      </c>
      <c r="G489" t="s">
        <v>24</v>
      </c>
      <c r="H489" t="s">
        <v>31</v>
      </c>
      <c r="I489" t="s">
        <v>353</v>
      </c>
      <c r="J489" t="str">
        <f>_xlfn.XLOOKUP(E489, Product_Master!$A$2:$A$101, Product_Master!$C$2:$C$101)</f>
        <v>Electronics</v>
      </c>
      <c r="K489">
        <f>_xlfn.XLOOKUP(E489, Product_Master!$A$2:$A$101, Product_Master!$D$2:$D$101)</f>
        <v>12000</v>
      </c>
      <c r="L489">
        <f>_xlfn.XLOOKUP(E489, Product_Master!$A$2:$A$101, Product_Master!$E$2:$E$101)</f>
        <v>15000</v>
      </c>
      <c r="M489">
        <f t="shared" si="36"/>
        <v>15000</v>
      </c>
      <c r="N489">
        <f t="shared" si="37"/>
        <v>12000</v>
      </c>
      <c r="O489">
        <f t="shared" si="38"/>
        <v>3000</v>
      </c>
      <c r="P489" s="3">
        <f t="shared" si="39"/>
        <v>0.2</v>
      </c>
      <c r="Q489" s="3" t="str">
        <v>Low Profit</v>
      </c>
    </row>
    <row r="490" spans="1:17" x14ac:dyDescent="0.3">
      <c r="A490" t="s">
        <v>937</v>
      </c>
      <c r="B490" s="2">
        <v>46006</v>
      </c>
      <c r="C490" s="2" t="str">
        <f t="shared" si="35"/>
        <v>December</v>
      </c>
      <c r="D490" t="s">
        <v>459</v>
      </c>
      <c r="E490" t="s">
        <v>379</v>
      </c>
      <c r="F490">
        <v>2</v>
      </c>
      <c r="G490" t="s">
        <v>1454</v>
      </c>
      <c r="H490" t="s">
        <v>1455</v>
      </c>
      <c r="I490" t="s">
        <v>346</v>
      </c>
      <c r="J490" t="str">
        <f>_xlfn.XLOOKUP(E490, Product_Master!$A$2:$A$101, Product_Master!$C$2:$C$101)</f>
        <v>Accessories</v>
      </c>
      <c r="K490">
        <f>_xlfn.XLOOKUP(E490, Product_Master!$A$2:$A$101, Product_Master!$D$2:$D$101)</f>
        <v>9000</v>
      </c>
      <c r="L490">
        <f>_xlfn.XLOOKUP(E490, Product_Master!$A$2:$A$101, Product_Master!$E$2:$E$101)</f>
        <v>12000</v>
      </c>
      <c r="M490">
        <f t="shared" si="36"/>
        <v>24000</v>
      </c>
      <c r="N490">
        <f t="shared" si="37"/>
        <v>18000</v>
      </c>
      <c r="O490">
        <f t="shared" si="38"/>
        <v>6000</v>
      </c>
      <c r="P490" s="3">
        <f t="shared" si="39"/>
        <v>0.25</v>
      </c>
      <c r="Q490" s="3" t="str">
        <v>High Profit</v>
      </c>
    </row>
    <row r="491" spans="1:17" x14ac:dyDescent="0.3">
      <c r="A491" t="s">
        <v>938</v>
      </c>
      <c r="B491" s="2">
        <v>45965</v>
      </c>
      <c r="C491" s="2" t="str">
        <f t="shared" si="35"/>
        <v>November</v>
      </c>
      <c r="D491" t="s">
        <v>102</v>
      </c>
      <c r="E491" t="s">
        <v>435</v>
      </c>
      <c r="F491">
        <v>2</v>
      </c>
      <c r="G491" t="s">
        <v>19</v>
      </c>
      <c r="H491" t="s">
        <v>20</v>
      </c>
      <c r="I491" t="s">
        <v>346</v>
      </c>
      <c r="J491" t="str">
        <f>_xlfn.XLOOKUP(E491, Product_Master!$A$2:$A$101, Product_Master!$C$2:$C$101)</f>
        <v>Accessories</v>
      </c>
      <c r="K491">
        <f>_xlfn.XLOOKUP(E491, Product_Master!$A$2:$A$101, Product_Master!$D$2:$D$101)</f>
        <v>9000</v>
      </c>
      <c r="L491">
        <f>_xlfn.XLOOKUP(E491, Product_Master!$A$2:$A$101, Product_Master!$E$2:$E$101)</f>
        <v>12000</v>
      </c>
      <c r="M491">
        <f t="shared" si="36"/>
        <v>24000</v>
      </c>
      <c r="N491">
        <f t="shared" si="37"/>
        <v>18000</v>
      </c>
      <c r="O491">
        <f t="shared" si="38"/>
        <v>6000</v>
      </c>
      <c r="P491" s="3">
        <f t="shared" si="39"/>
        <v>0.25</v>
      </c>
      <c r="Q491" s="3" t="str">
        <v>High Profit</v>
      </c>
    </row>
    <row r="492" spans="1:17" x14ac:dyDescent="0.3">
      <c r="A492" t="s">
        <v>939</v>
      </c>
      <c r="B492" s="2">
        <v>45775</v>
      </c>
      <c r="C492" s="2" t="str">
        <f t="shared" si="35"/>
        <v>April</v>
      </c>
      <c r="D492" t="s">
        <v>176</v>
      </c>
      <c r="E492" t="s">
        <v>362</v>
      </c>
      <c r="F492">
        <v>4</v>
      </c>
      <c r="G492" t="s">
        <v>45</v>
      </c>
      <c r="H492" t="s">
        <v>20</v>
      </c>
      <c r="I492" t="s">
        <v>332</v>
      </c>
      <c r="J492" t="str">
        <f>_xlfn.XLOOKUP(E492, Product_Master!$A$2:$A$101, Product_Master!$C$2:$C$101)</f>
        <v>Accessories</v>
      </c>
      <c r="K492">
        <f>_xlfn.XLOOKUP(E492, Product_Master!$A$2:$A$101, Product_Master!$D$2:$D$101)</f>
        <v>500</v>
      </c>
      <c r="L492">
        <f>_xlfn.XLOOKUP(E492, Product_Master!$A$2:$A$101, Product_Master!$E$2:$E$101)</f>
        <v>800</v>
      </c>
      <c r="M492">
        <f t="shared" si="36"/>
        <v>3200</v>
      </c>
      <c r="N492">
        <f t="shared" si="37"/>
        <v>2000</v>
      </c>
      <c r="O492">
        <f t="shared" si="38"/>
        <v>1200</v>
      </c>
      <c r="P492" s="3">
        <f t="shared" si="39"/>
        <v>0.375</v>
      </c>
      <c r="Q492" s="3" t="str">
        <v>High Profit</v>
      </c>
    </row>
    <row r="493" spans="1:17" x14ac:dyDescent="0.3">
      <c r="A493" t="s">
        <v>940</v>
      </c>
      <c r="B493" s="2">
        <v>45719</v>
      </c>
      <c r="C493" s="2" t="str">
        <f t="shared" si="35"/>
        <v>March</v>
      </c>
      <c r="D493" t="s">
        <v>102</v>
      </c>
      <c r="E493" t="s">
        <v>441</v>
      </c>
      <c r="F493">
        <v>3</v>
      </c>
      <c r="G493" t="s">
        <v>19</v>
      </c>
      <c r="H493" t="s">
        <v>20</v>
      </c>
      <c r="I493" t="s">
        <v>346</v>
      </c>
      <c r="J493" t="str">
        <f>_xlfn.XLOOKUP(E493, Product_Master!$A$2:$A$101, Product_Master!$C$2:$C$101)</f>
        <v>Accessories</v>
      </c>
      <c r="K493">
        <f>_xlfn.XLOOKUP(E493, Product_Master!$A$2:$A$101, Product_Master!$D$2:$D$101)</f>
        <v>9000</v>
      </c>
      <c r="L493">
        <f>_xlfn.XLOOKUP(E493, Product_Master!$A$2:$A$101, Product_Master!$E$2:$E$101)</f>
        <v>12000</v>
      </c>
      <c r="M493">
        <f t="shared" si="36"/>
        <v>36000</v>
      </c>
      <c r="N493">
        <f t="shared" si="37"/>
        <v>27000</v>
      </c>
      <c r="O493">
        <f t="shared" si="38"/>
        <v>9000</v>
      </c>
      <c r="P493" s="3">
        <f t="shared" si="39"/>
        <v>0.25</v>
      </c>
      <c r="Q493" s="3" t="str">
        <v>High Profit</v>
      </c>
    </row>
    <row r="494" spans="1:17" x14ac:dyDescent="0.3">
      <c r="A494" t="s">
        <v>941</v>
      </c>
      <c r="B494" s="2">
        <v>45707</v>
      </c>
      <c r="C494" s="2" t="str">
        <f t="shared" si="35"/>
        <v>February</v>
      </c>
      <c r="D494" t="s">
        <v>459</v>
      </c>
      <c r="E494" t="s">
        <v>400</v>
      </c>
      <c r="F494">
        <v>1</v>
      </c>
      <c r="G494" t="s">
        <v>1454</v>
      </c>
      <c r="H494" t="s">
        <v>1455</v>
      </c>
      <c r="I494" t="s">
        <v>335</v>
      </c>
      <c r="J494" t="str">
        <f>_xlfn.XLOOKUP(E494, Product_Master!$A$2:$A$101, Product_Master!$C$2:$C$101)</f>
        <v>Accessories</v>
      </c>
      <c r="K494">
        <f>_xlfn.XLOOKUP(E494, Product_Master!$A$2:$A$101, Product_Master!$D$2:$D$101)</f>
        <v>900</v>
      </c>
      <c r="L494">
        <f>_xlfn.XLOOKUP(E494, Product_Master!$A$2:$A$101, Product_Master!$E$2:$E$101)</f>
        <v>1500</v>
      </c>
      <c r="M494">
        <f t="shared" si="36"/>
        <v>1500</v>
      </c>
      <c r="N494">
        <f t="shared" si="37"/>
        <v>900</v>
      </c>
      <c r="O494">
        <f t="shared" si="38"/>
        <v>600</v>
      </c>
      <c r="P494" s="3">
        <f t="shared" si="39"/>
        <v>0.4</v>
      </c>
      <c r="Q494" s="3" t="str">
        <v>High Profit</v>
      </c>
    </row>
    <row r="495" spans="1:17" x14ac:dyDescent="0.3">
      <c r="A495" t="s">
        <v>942</v>
      </c>
      <c r="B495" s="2">
        <v>45957</v>
      </c>
      <c r="C495" s="2" t="str">
        <f t="shared" si="35"/>
        <v>October</v>
      </c>
      <c r="D495" t="s">
        <v>107</v>
      </c>
      <c r="E495" t="s">
        <v>422</v>
      </c>
      <c r="F495">
        <v>5</v>
      </c>
      <c r="G495" t="s">
        <v>37</v>
      </c>
      <c r="H495" t="s">
        <v>31</v>
      </c>
      <c r="I495" t="s">
        <v>332</v>
      </c>
      <c r="J495" t="str">
        <f>_xlfn.XLOOKUP(E495, Product_Master!$A$2:$A$101, Product_Master!$C$2:$C$101)</f>
        <v>Accessories</v>
      </c>
      <c r="K495">
        <f>_xlfn.XLOOKUP(E495, Product_Master!$A$2:$A$101, Product_Master!$D$2:$D$101)</f>
        <v>500</v>
      </c>
      <c r="L495">
        <f>_xlfn.XLOOKUP(E495, Product_Master!$A$2:$A$101, Product_Master!$E$2:$E$101)</f>
        <v>800</v>
      </c>
      <c r="M495">
        <f t="shared" si="36"/>
        <v>4000</v>
      </c>
      <c r="N495">
        <f t="shared" si="37"/>
        <v>2500</v>
      </c>
      <c r="O495">
        <f t="shared" si="38"/>
        <v>1500</v>
      </c>
      <c r="P495" s="3">
        <f t="shared" si="39"/>
        <v>0.375</v>
      </c>
      <c r="Q495" s="3" t="str">
        <v>High Profit</v>
      </c>
    </row>
    <row r="496" spans="1:17" x14ac:dyDescent="0.3">
      <c r="A496" t="s">
        <v>943</v>
      </c>
      <c r="B496" s="2">
        <v>45894</v>
      </c>
      <c r="C496" s="2" t="str">
        <f t="shared" si="35"/>
        <v>August</v>
      </c>
      <c r="D496" t="s">
        <v>88</v>
      </c>
      <c r="E496" t="s">
        <v>412</v>
      </c>
      <c r="F496">
        <v>5</v>
      </c>
      <c r="G496" t="s">
        <v>45</v>
      </c>
      <c r="H496" t="s">
        <v>14</v>
      </c>
      <c r="I496" t="s">
        <v>346</v>
      </c>
      <c r="J496" t="str">
        <f>_xlfn.XLOOKUP(E496, Product_Master!$A$2:$A$101, Product_Master!$C$2:$C$101)</f>
        <v>Accessories</v>
      </c>
      <c r="K496">
        <f>_xlfn.XLOOKUP(E496, Product_Master!$A$2:$A$101, Product_Master!$D$2:$D$101)</f>
        <v>9000</v>
      </c>
      <c r="L496">
        <f>_xlfn.XLOOKUP(E496, Product_Master!$A$2:$A$101, Product_Master!$E$2:$E$101)</f>
        <v>12000</v>
      </c>
      <c r="M496">
        <f t="shared" si="36"/>
        <v>60000</v>
      </c>
      <c r="N496">
        <f t="shared" si="37"/>
        <v>45000</v>
      </c>
      <c r="O496">
        <f t="shared" si="38"/>
        <v>15000</v>
      </c>
      <c r="P496" s="3">
        <f t="shared" si="39"/>
        <v>0.25</v>
      </c>
      <c r="Q496" s="3" t="str">
        <v>High Profit</v>
      </c>
    </row>
    <row r="497" spans="1:17" x14ac:dyDescent="0.3">
      <c r="A497" t="s">
        <v>944</v>
      </c>
      <c r="B497" s="2">
        <v>45849</v>
      </c>
      <c r="C497" s="2" t="str">
        <f t="shared" si="35"/>
        <v>July</v>
      </c>
      <c r="D497" t="s">
        <v>57</v>
      </c>
      <c r="E497" t="s">
        <v>402</v>
      </c>
      <c r="F497">
        <v>1</v>
      </c>
      <c r="G497" t="s">
        <v>19</v>
      </c>
      <c r="H497" t="s">
        <v>14</v>
      </c>
      <c r="I497" t="s">
        <v>332</v>
      </c>
      <c r="J497" t="str">
        <f>_xlfn.XLOOKUP(E497, Product_Master!$A$2:$A$101, Product_Master!$C$2:$C$101)</f>
        <v>Accessories</v>
      </c>
      <c r="K497">
        <f>_xlfn.XLOOKUP(E497, Product_Master!$A$2:$A$101, Product_Master!$D$2:$D$101)</f>
        <v>500</v>
      </c>
      <c r="L497">
        <f>_xlfn.XLOOKUP(E497, Product_Master!$A$2:$A$101, Product_Master!$E$2:$E$101)</f>
        <v>800</v>
      </c>
      <c r="M497">
        <f t="shared" si="36"/>
        <v>800</v>
      </c>
      <c r="N497">
        <f t="shared" si="37"/>
        <v>500</v>
      </c>
      <c r="O497">
        <f t="shared" si="38"/>
        <v>300</v>
      </c>
      <c r="P497" s="3">
        <f t="shared" si="39"/>
        <v>0.375</v>
      </c>
      <c r="Q497" s="3" t="str">
        <v>High Profit</v>
      </c>
    </row>
    <row r="498" spans="1:17" x14ac:dyDescent="0.3">
      <c r="A498" t="s">
        <v>945</v>
      </c>
      <c r="B498" s="2">
        <v>45857</v>
      </c>
      <c r="C498" s="2" t="str">
        <f t="shared" si="35"/>
        <v>July</v>
      </c>
      <c r="D498" t="s">
        <v>66</v>
      </c>
      <c r="E498" t="s">
        <v>432</v>
      </c>
      <c r="F498">
        <v>4</v>
      </c>
      <c r="G498" t="s">
        <v>24</v>
      </c>
      <c r="H498" t="s">
        <v>27</v>
      </c>
      <c r="I498" t="s">
        <v>344</v>
      </c>
      <c r="J498" t="str">
        <f>_xlfn.XLOOKUP(E498, Product_Master!$A$2:$A$101, Product_Master!$C$2:$C$101)</f>
        <v>Accessories</v>
      </c>
      <c r="K498">
        <f>_xlfn.XLOOKUP(E498, Product_Master!$A$2:$A$101, Product_Master!$D$2:$D$101)</f>
        <v>2000</v>
      </c>
      <c r="L498">
        <f>_xlfn.XLOOKUP(E498, Product_Master!$A$2:$A$101, Product_Master!$E$2:$E$101)</f>
        <v>3000</v>
      </c>
      <c r="M498">
        <f t="shared" si="36"/>
        <v>12000</v>
      </c>
      <c r="N498">
        <f t="shared" si="37"/>
        <v>8000</v>
      </c>
      <c r="O498">
        <f t="shared" si="38"/>
        <v>4000</v>
      </c>
      <c r="P498" s="3">
        <f t="shared" si="39"/>
        <v>0.33333333333333331</v>
      </c>
      <c r="Q498" s="3" t="str">
        <v>High Profit</v>
      </c>
    </row>
    <row r="499" spans="1:17" x14ac:dyDescent="0.3">
      <c r="A499" t="s">
        <v>946</v>
      </c>
      <c r="B499" s="2">
        <v>45751</v>
      </c>
      <c r="C499" s="2" t="str">
        <f t="shared" si="35"/>
        <v>April</v>
      </c>
      <c r="D499" t="s">
        <v>30</v>
      </c>
      <c r="E499" t="s">
        <v>422</v>
      </c>
      <c r="F499">
        <v>5</v>
      </c>
      <c r="G499" t="s">
        <v>24</v>
      </c>
      <c r="H499" t="s">
        <v>31</v>
      </c>
      <c r="I499" t="s">
        <v>332</v>
      </c>
      <c r="J499" t="str">
        <f>_xlfn.XLOOKUP(E499, Product_Master!$A$2:$A$101, Product_Master!$C$2:$C$101)</f>
        <v>Accessories</v>
      </c>
      <c r="K499">
        <f>_xlfn.XLOOKUP(E499, Product_Master!$A$2:$A$101, Product_Master!$D$2:$D$101)</f>
        <v>500</v>
      </c>
      <c r="L499">
        <f>_xlfn.XLOOKUP(E499, Product_Master!$A$2:$A$101, Product_Master!$E$2:$E$101)</f>
        <v>800</v>
      </c>
      <c r="M499">
        <f t="shared" si="36"/>
        <v>4000</v>
      </c>
      <c r="N499">
        <f t="shared" si="37"/>
        <v>2500</v>
      </c>
      <c r="O499">
        <f t="shared" si="38"/>
        <v>1500</v>
      </c>
      <c r="P499" s="3">
        <f t="shared" si="39"/>
        <v>0.375</v>
      </c>
      <c r="Q499" s="3" t="str">
        <v>High Profit</v>
      </c>
    </row>
    <row r="500" spans="1:17" x14ac:dyDescent="0.3">
      <c r="A500" t="s">
        <v>947</v>
      </c>
      <c r="B500" s="2">
        <v>45807</v>
      </c>
      <c r="C500" s="2" t="str">
        <f t="shared" si="35"/>
        <v>May</v>
      </c>
      <c r="D500" t="s">
        <v>235</v>
      </c>
      <c r="E500" t="s">
        <v>361</v>
      </c>
      <c r="F500">
        <v>2</v>
      </c>
      <c r="G500" t="s">
        <v>19</v>
      </c>
      <c r="H500" t="s">
        <v>14</v>
      </c>
      <c r="I500" t="s">
        <v>344</v>
      </c>
      <c r="J500" t="str">
        <f>_xlfn.XLOOKUP(E500, Product_Master!$A$2:$A$101, Product_Master!$C$2:$C$101)</f>
        <v>Accessories</v>
      </c>
      <c r="K500">
        <f>_xlfn.XLOOKUP(E500, Product_Master!$A$2:$A$101, Product_Master!$D$2:$D$101)</f>
        <v>2000</v>
      </c>
      <c r="L500">
        <f>_xlfn.XLOOKUP(E500, Product_Master!$A$2:$A$101, Product_Master!$E$2:$E$101)</f>
        <v>3000</v>
      </c>
      <c r="M500">
        <f t="shared" si="36"/>
        <v>6000</v>
      </c>
      <c r="N500">
        <f t="shared" si="37"/>
        <v>4000</v>
      </c>
      <c r="O500">
        <f t="shared" si="38"/>
        <v>2000</v>
      </c>
      <c r="P500" s="3">
        <f t="shared" si="39"/>
        <v>0.33333333333333331</v>
      </c>
      <c r="Q500" s="3" t="str">
        <v>High Profit</v>
      </c>
    </row>
    <row r="501" spans="1:17" x14ac:dyDescent="0.3">
      <c r="A501" t="s">
        <v>948</v>
      </c>
      <c r="B501" s="2">
        <v>45834</v>
      </c>
      <c r="C501" s="2" t="str">
        <f t="shared" si="35"/>
        <v>June</v>
      </c>
      <c r="D501" t="s">
        <v>311</v>
      </c>
      <c r="E501" t="s">
        <v>417</v>
      </c>
      <c r="F501">
        <v>4</v>
      </c>
      <c r="G501" t="s">
        <v>47</v>
      </c>
      <c r="H501" t="s">
        <v>8</v>
      </c>
      <c r="I501" t="s">
        <v>335</v>
      </c>
      <c r="J501" t="str">
        <f>_xlfn.XLOOKUP(E501, Product_Master!$A$2:$A$101, Product_Master!$C$2:$C$101)</f>
        <v>Accessories</v>
      </c>
      <c r="K501">
        <f>_xlfn.XLOOKUP(E501, Product_Master!$A$2:$A$101, Product_Master!$D$2:$D$101)</f>
        <v>900</v>
      </c>
      <c r="L501">
        <f>_xlfn.XLOOKUP(E501, Product_Master!$A$2:$A$101, Product_Master!$E$2:$E$101)</f>
        <v>1500</v>
      </c>
      <c r="M501">
        <f t="shared" si="36"/>
        <v>6000</v>
      </c>
      <c r="N501">
        <f t="shared" si="37"/>
        <v>3600</v>
      </c>
      <c r="O501">
        <f t="shared" si="38"/>
        <v>2400</v>
      </c>
      <c r="P501" s="3">
        <f t="shared" si="39"/>
        <v>0.4</v>
      </c>
      <c r="Q501" s="3" t="str">
        <v>High Profit</v>
      </c>
    </row>
    <row r="502" spans="1:17" x14ac:dyDescent="0.3">
      <c r="A502" t="s">
        <v>949</v>
      </c>
      <c r="B502" s="2">
        <v>45690</v>
      </c>
      <c r="C502" s="2" t="str">
        <f t="shared" si="35"/>
        <v>February</v>
      </c>
      <c r="D502" t="s">
        <v>179</v>
      </c>
      <c r="E502" t="s">
        <v>361</v>
      </c>
      <c r="F502">
        <v>4</v>
      </c>
      <c r="G502" t="s">
        <v>4</v>
      </c>
      <c r="H502" t="s">
        <v>27</v>
      </c>
      <c r="I502" t="s">
        <v>344</v>
      </c>
      <c r="J502" t="str">
        <f>_xlfn.XLOOKUP(E502, Product_Master!$A$2:$A$101, Product_Master!$C$2:$C$101)</f>
        <v>Accessories</v>
      </c>
      <c r="K502">
        <f>_xlfn.XLOOKUP(E502, Product_Master!$A$2:$A$101, Product_Master!$D$2:$D$101)</f>
        <v>2000</v>
      </c>
      <c r="L502">
        <f>_xlfn.XLOOKUP(E502, Product_Master!$A$2:$A$101, Product_Master!$E$2:$E$101)</f>
        <v>3000</v>
      </c>
      <c r="M502">
        <f t="shared" si="36"/>
        <v>12000</v>
      </c>
      <c r="N502">
        <f t="shared" si="37"/>
        <v>8000</v>
      </c>
      <c r="O502">
        <f t="shared" si="38"/>
        <v>4000</v>
      </c>
      <c r="P502" s="3">
        <f t="shared" si="39"/>
        <v>0.33333333333333331</v>
      </c>
      <c r="Q502" s="3" t="str">
        <v>High Profit</v>
      </c>
    </row>
    <row r="503" spans="1:17" x14ac:dyDescent="0.3">
      <c r="A503" t="s">
        <v>950</v>
      </c>
      <c r="B503" s="2">
        <v>45680</v>
      </c>
      <c r="C503" s="2" t="str">
        <f t="shared" si="35"/>
        <v>January</v>
      </c>
      <c r="D503" t="s">
        <v>307</v>
      </c>
      <c r="E503" t="s">
        <v>398</v>
      </c>
      <c r="F503">
        <v>3</v>
      </c>
      <c r="G503" t="s">
        <v>22</v>
      </c>
      <c r="H503" t="s">
        <v>5</v>
      </c>
      <c r="I503" t="s">
        <v>344</v>
      </c>
      <c r="J503" t="str">
        <f>_xlfn.XLOOKUP(E503, Product_Master!$A$2:$A$101, Product_Master!$C$2:$C$101)</f>
        <v>Accessories</v>
      </c>
      <c r="K503">
        <f>_xlfn.XLOOKUP(E503, Product_Master!$A$2:$A$101, Product_Master!$D$2:$D$101)</f>
        <v>2000</v>
      </c>
      <c r="L503">
        <f>_xlfn.XLOOKUP(E503, Product_Master!$A$2:$A$101, Product_Master!$E$2:$E$101)</f>
        <v>3000</v>
      </c>
      <c r="M503">
        <f t="shared" si="36"/>
        <v>9000</v>
      </c>
      <c r="N503">
        <f t="shared" si="37"/>
        <v>6000</v>
      </c>
      <c r="O503">
        <f t="shared" si="38"/>
        <v>3000</v>
      </c>
      <c r="P503" s="3">
        <f t="shared" si="39"/>
        <v>0.33333333333333331</v>
      </c>
      <c r="Q503" s="3" t="str">
        <v>High Profit</v>
      </c>
    </row>
    <row r="504" spans="1:17" x14ac:dyDescent="0.3">
      <c r="A504" t="s">
        <v>951</v>
      </c>
      <c r="B504" s="2">
        <v>45885</v>
      </c>
      <c r="C504" s="2" t="str">
        <f t="shared" si="35"/>
        <v>August</v>
      </c>
      <c r="D504" t="s">
        <v>119</v>
      </c>
      <c r="E504" t="s">
        <v>360</v>
      </c>
      <c r="F504">
        <v>3</v>
      </c>
      <c r="G504" t="s">
        <v>24</v>
      </c>
      <c r="H504" t="s">
        <v>14</v>
      </c>
      <c r="I504" t="s">
        <v>340</v>
      </c>
      <c r="J504" t="str">
        <f>_xlfn.XLOOKUP(E504, Product_Master!$A$2:$A$101, Product_Master!$C$2:$C$101)</f>
        <v>Electronics</v>
      </c>
      <c r="K504">
        <f>_xlfn.XLOOKUP(E504, Product_Master!$A$2:$A$101, Product_Master!$D$2:$D$101)</f>
        <v>42000</v>
      </c>
      <c r="L504">
        <f>_xlfn.XLOOKUP(E504, Product_Master!$A$2:$A$101, Product_Master!$E$2:$E$101)</f>
        <v>50000</v>
      </c>
      <c r="M504">
        <f t="shared" si="36"/>
        <v>150000</v>
      </c>
      <c r="N504">
        <f t="shared" si="37"/>
        <v>126000</v>
      </c>
      <c r="O504">
        <f t="shared" si="38"/>
        <v>24000</v>
      </c>
      <c r="P504" s="3">
        <f t="shared" si="39"/>
        <v>0.16</v>
      </c>
      <c r="Q504" s="3" t="str">
        <v>Low Profit</v>
      </c>
    </row>
    <row r="505" spans="1:17" x14ac:dyDescent="0.3">
      <c r="A505" t="s">
        <v>952</v>
      </c>
      <c r="B505" s="2">
        <v>45833</v>
      </c>
      <c r="C505" s="2" t="str">
        <f t="shared" si="35"/>
        <v>June</v>
      </c>
      <c r="D505" t="s">
        <v>18</v>
      </c>
      <c r="E505" t="s">
        <v>387</v>
      </c>
      <c r="F505">
        <v>2</v>
      </c>
      <c r="G505" t="s">
        <v>19</v>
      </c>
      <c r="H505" t="s">
        <v>20</v>
      </c>
      <c r="I505" t="s">
        <v>332</v>
      </c>
      <c r="J505" t="str">
        <f>_xlfn.XLOOKUP(E505, Product_Master!$A$2:$A$101, Product_Master!$C$2:$C$101)</f>
        <v>Accessories</v>
      </c>
      <c r="K505">
        <f>_xlfn.XLOOKUP(E505, Product_Master!$A$2:$A$101, Product_Master!$D$2:$D$101)</f>
        <v>500</v>
      </c>
      <c r="L505">
        <f>_xlfn.XLOOKUP(E505, Product_Master!$A$2:$A$101, Product_Master!$E$2:$E$101)</f>
        <v>800</v>
      </c>
      <c r="M505">
        <f t="shared" si="36"/>
        <v>1600</v>
      </c>
      <c r="N505">
        <f t="shared" si="37"/>
        <v>1000</v>
      </c>
      <c r="O505">
        <f t="shared" si="38"/>
        <v>600</v>
      </c>
      <c r="P505" s="3">
        <f t="shared" si="39"/>
        <v>0.375</v>
      </c>
      <c r="Q505" s="3" t="str">
        <v>High Profit</v>
      </c>
    </row>
    <row r="506" spans="1:17" x14ac:dyDescent="0.3">
      <c r="A506" t="s">
        <v>953</v>
      </c>
      <c r="B506" s="2">
        <v>45939</v>
      </c>
      <c r="C506" s="2" t="str">
        <f t="shared" si="35"/>
        <v>October</v>
      </c>
      <c r="D506" t="s">
        <v>219</v>
      </c>
      <c r="E506" t="s">
        <v>426</v>
      </c>
      <c r="F506">
        <v>5</v>
      </c>
      <c r="G506" t="s">
        <v>7</v>
      </c>
      <c r="H506" t="s">
        <v>14</v>
      </c>
      <c r="I506" t="s">
        <v>337</v>
      </c>
      <c r="J506" t="str">
        <f>_xlfn.XLOOKUP(E506, Product_Master!$A$2:$A$101, Product_Master!$C$2:$C$101)</f>
        <v>Electronics</v>
      </c>
      <c r="K506">
        <f>_xlfn.XLOOKUP(E506, Product_Master!$A$2:$A$101, Product_Master!$D$2:$D$101)</f>
        <v>15000</v>
      </c>
      <c r="L506">
        <f>_xlfn.XLOOKUP(E506, Product_Master!$A$2:$A$101, Product_Master!$E$2:$E$101)</f>
        <v>18000</v>
      </c>
      <c r="M506">
        <f t="shared" si="36"/>
        <v>90000</v>
      </c>
      <c r="N506">
        <f t="shared" si="37"/>
        <v>75000</v>
      </c>
      <c r="O506">
        <f t="shared" si="38"/>
        <v>15000</v>
      </c>
      <c r="P506" s="3">
        <f t="shared" si="39"/>
        <v>0.16666666666666666</v>
      </c>
      <c r="Q506" s="3" t="str">
        <v>Low Profit</v>
      </c>
    </row>
    <row r="507" spans="1:17" x14ac:dyDescent="0.3">
      <c r="A507" t="s">
        <v>954</v>
      </c>
      <c r="B507" s="2">
        <v>45769</v>
      </c>
      <c r="C507" s="2" t="str">
        <f t="shared" si="35"/>
        <v>April</v>
      </c>
      <c r="D507" t="s">
        <v>322</v>
      </c>
      <c r="E507" t="s">
        <v>354</v>
      </c>
      <c r="F507">
        <v>3</v>
      </c>
      <c r="G507" t="s">
        <v>29</v>
      </c>
      <c r="H507" t="s">
        <v>17</v>
      </c>
      <c r="I507" t="s">
        <v>329</v>
      </c>
      <c r="J507" t="str">
        <f>_xlfn.XLOOKUP(E507, Product_Master!$A$2:$A$101, Product_Master!$C$2:$C$101)</f>
        <v>Electronics</v>
      </c>
      <c r="K507">
        <f>_xlfn.XLOOKUP(E507, Product_Master!$A$2:$A$101, Product_Master!$D$2:$D$101)</f>
        <v>20000</v>
      </c>
      <c r="L507">
        <f>_xlfn.XLOOKUP(E507, Product_Master!$A$2:$A$101, Product_Master!$E$2:$E$101)</f>
        <v>25000</v>
      </c>
      <c r="M507">
        <f t="shared" si="36"/>
        <v>75000</v>
      </c>
      <c r="N507">
        <f t="shared" si="37"/>
        <v>60000</v>
      </c>
      <c r="O507">
        <f t="shared" si="38"/>
        <v>15000</v>
      </c>
      <c r="P507" s="3">
        <f t="shared" si="39"/>
        <v>0.2</v>
      </c>
      <c r="Q507" s="3" t="str">
        <v>Low Profit</v>
      </c>
    </row>
    <row r="508" spans="1:17" x14ac:dyDescent="0.3">
      <c r="A508" t="s">
        <v>955</v>
      </c>
      <c r="B508" s="2">
        <v>45928</v>
      </c>
      <c r="C508" s="2" t="str">
        <f t="shared" si="35"/>
        <v>September</v>
      </c>
      <c r="D508" t="s">
        <v>137</v>
      </c>
      <c r="E508" t="s">
        <v>379</v>
      </c>
      <c r="F508">
        <v>2</v>
      </c>
      <c r="G508" t="s">
        <v>4</v>
      </c>
      <c r="H508" t="s">
        <v>5</v>
      </c>
      <c r="I508" t="s">
        <v>346</v>
      </c>
      <c r="J508" t="str">
        <f>_xlfn.XLOOKUP(E508, Product_Master!$A$2:$A$101, Product_Master!$C$2:$C$101)</f>
        <v>Accessories</v>
      </c>
      <c r="K508">
        <f>_xlfn.XLOOKUP(E508, Product_Master!$A$2:$A$101, Product_Master!$D$2:$D$101)</f>
        <v>9000</v>
      </c>
      <c r="L508">
        <f>_xlfn.XLOOKUP(E508, Product_Master!$A$2:$A$101, Product_Master!$E$2:$E$101)</f>
        <v>12000</v>
      </c>
      <c r="M508">
        <f t="shared" si="36"/>
        <v>24000</v>
      </c>
      <c r="N508">
        <f t="shared" si="37"/>
        <v>18000</v>
      </c>
      <c r="O508">
        <f t="shared" si="38"/>
        <v>6000</v>
      </c>
      <c r="P508" s="3">
        <f t="shared" si="39"/>
        <v>0.25</v>
      </c>
      <c r="Q508" s="3" t="str">
        <v>High Profit</v>
      </c>
    </row>
    <row r="509" spans="1:17" x14ac:dyDescent="0.3">
      <c r="A509" t="s">
        <v>956</v>
      </c>
      <c r="B509" s="2">
        <v>45973</v>
      </c>
      <c r="C509" s="2" t="str">
        <f t="shared" si="35"/>
        <v>November</v>
      </c>
      <c r="D509" t="s">
        <v>94</v>
      </c>
      <c r="E509" t="s">
        <v>435</v>
      </c>
      <c r="F509">
        <v>2</v>
      </c>
      <c r="G509" t="s">
        <v>7</v>
      </c>
      <c r="H509" t="s">
        <v>17</v>
      </c>
      <c r="I509" t="s">
        <v>346</v>
      </c>
      <c r="J509" t="str">
        <f>_xlfn.XLOOKUP(E509, Product_Master!$A$2:$A$101, Product_Master!$C$2:$C$101)</f>
        <v>Accessories</v>
      </c>
      <c r="K509">
        <f>_xlfn.XLOOKUP(E509, Product_Master!$A$2:$A$101, Product_Master!$D$2:$D$101)</f>
        <v>9000</v>
      </c>
      <c r="L509">
        <f>_xlfn.XLOOKUP(E509, Product_Master!$A$2:$A$101, Product_Master!$E$2:$E$101)</f>
        <v>12000</v>
      </c>
      <c r="M509">
        <f t="shared" si="36"/>
        <v>24000</v>
      </c>
      <c r="N509">
        <f t="shared" si="37"/>
        <v>18000</v>
      </c>
      <c r="O509">
        <f t="shared" si="38"/>
        <v>6000</v>
      </c>
      <c r="P509" s="3">
        <f t="shared" si="39"/>
        <v>0.25</v>
      </c>
      <c r="Q509" s="3" t="str">
        <v>High Profit</v>
      </c>
    </row>
    <row r="510" spans="1:17" x14ac:dyDescent="0.3">
      <c r="A510" t="s">
        <v>957</v>
      </c>
      <c r="B510" s="2">
        <v>45810</v>
      </c>
      <c r="C510" s="2" t="str">
        <f t="shared" si="35"/>
        <v>June</v>
      </c>
      <c r="D510" t="s">
        <v>69</v>
      </c>
      <c r="E510" t="s">
        <v>375</v>
      </c>
      <c r="F510">
        <v>2</v>
      </c>
      <c r="G510" t="s">
        <v>45</v>
      </c>
      <c r="H510" t="s">
        <v>8</v>
      </c>
      <c r="I510" t="s">
        <v>329</v>
      </c>
      <c r="J510" t="str">
        <f>_xlfn.XLOOKUP(E510, Product_Master!$A$2:$A$101, Product_Master!$C$2:$C$101)</f>
        <v>Electronics</v>
      </c>
      <c r="K510">
        <f>_xlfn.XLOOKUP(E510, Product_Master!$A$2:$A$101, Product_Master!$D$2:$D$101)</f>
        <v>20000</v>
      </c>
      <c r="L510">
        <f>_xlfn.XLOOKUP(E510, Product_Master!$A$2:$A$101, Product_Master!$E$2:$E$101)</f>
        <v>25000</v>
      </c>
      <c r="M510">
        <f t="shared" si="36"/>
        <v>50000</v>
      </c>
      <c r="N510">
        <f t="shared" si="37"/>
        <v>40000</v>
      </c>
      <c r="O510">
        <f t="shared" si="38"/>
        <v>10000</v>
      </c>
      <c r="P510" s="3">
        <f t="shared" si="39"/>
        <v>0.2</v>
      </c>
      <c r="Q510" s="3" t="str">
        <v>Low Profit</v>
      </c>
    </row>
    <row r="511" spans="1:17" x14ac:dyDescent="0.3">
      <c r="A511" t="s">
        <v>958</v>
      </c>
      <c r="B511" s="2">
        <v>45828</v>
      </c>
      <c r="C511" s="2" t="str">
        <f t="shared" si="35"/>
        <v>June</v>
      </c>
      <c r="D511" t="s">
        <v>152</v>
      </c>
      <c r="E511" t="s">
        <v>416</v>
      </c>
      <c r="F511">
        <v>2</v>
      </c>
      <c r="G511" t="s">
        <v>29</v>
      </c>
      <c r="H511" t="s">
        <v>5</v>
      </c>
      <c r="I511" t="s">
        <v>340</v>
      </c>
      <c r="J511" t="str">
        <f>_xlfn.XLOOKUP(E511, Product_Master!$A$2:$A$101, Product_Master!$C$2:$C$101)</f>
        <v>Electronics</v>
      </c>
      <c r="K511">
        <f>_xlfn.XLOOKUP(E511, Product_Master!$A$2:$A$101, Product_Master!$D$2:$D$101)</f>
        <v>42000</v>
      </c>
      <c r="L511">
        <f>_xlfn.XLOOKUP(E511, Product_Master!$A$2:$A$101, Product_Master!$E$2:$E$101)</f>
        <v>50000</v>
      </c>
      <c r="M511">
        <f t="shared" si="36"/>
        <v>100000</v>
      </c>
      <c r="N511">
        <f t="shared" si="37"/>
        <v>84000</v>
      </c>
      <c r="O511">
        <f t="shared" si="38"/>
        <v>16000</v>
      </c>
      <c r="P511" s="3">
        <f t="shared" si="39"/>
        <v>0.16</v>
      </c>
      <c r="Q511" s="3" t="str">
        <v>Low Profit</v>
      </c>
    </row>
    <row r="512" spans="1:17" x14ac:dyDescent="0.3">
      <c r="A512" t="s">
        <v>959</v>
      </c>
      <c r="B512" s="2">
        <v>45821</v>
      </c>
      <c r="C512" s="2" t="str">
        <f t="shared" si="35"/>
        <v>June</v>
      </c>
      <c r="D512" t="s">
        <v>11</v>
      </c>
      <c r="E512" t="s">
        <v>387</v>
      </c>
      <c r="F512">
        <v>1</v>
      </c>
      <c r="G512" t="s">
        <v>12</v>
      </c>
      <c r="H512" t="s">
        <v>8</v>
      </c>
      <c r="I512" t="s">
        <v>332</v>
      </c>
      <c r="J512" t="str">
        <f>_xlfn.XLOOKUP(E512, Product_Master!$A$2:$A$101, Product_Master!$C$2:$C$101)</f>
        <v>Accessories</v>
      </c>
      <c r="K512">
        <f>_xlfn.XLOOKUP(E512, Product_Master!$A$2:$A$101, Product_Master!$D$2:$D$101)</f>
        <v>500</v>
      </c>
      <c r="L512">
        <f>_xlfn.XLOOKUP(E512, Product_Master!$A$2:$A$101, Product_Master!$E$2:$E$101)</f>
        <v>800</v>
      </c>
      <c r="M512">
        <f t="shared" si="36"/>
        <v>800</v>
      </c>
      <c r="N512">
        <f t="shared" si="37"/>
        <v>500</v>
      </c>
      <c r="O512">
        <f t="shared" si="38"/>
        <v>300</v>
      </c>
      <c r="P512" s="3">
        <f t="shared" si="39"/>
        <v>0.375</v>
      </c>
      <c r="Q512" s="3" t="str">
        <v>High Profit</v>
      </c>
    </row>
    <row r="513" spans="1:17" x14ac:dyDescent="0.3">
      <c r="A513" t="s">
        <v>960</v>
      </c>
      <c r="B513" s="2">
        <v>45731</v>
      </c>
      <c r="C513" s="2" t="str">
        <f t="shared" si="35"/>
        <v>March</v>
      </c>
      <c r="D513" t="s">
        <v>86</v>
      </c>
      <c r="E513" t="s">
        <v>407</v>
      </c>
      <c r="F513">
        <v>1</v>
      </c>
      <c r="G513" t="s">
        <v>19</v>
      </c>
      <c r="H513" t="s">
        <v>39</v>
      </c>
      <c r="I513" t="s">
        <v>329</v>
      </c>
      <c r="J513" t="str">
        <f>_xlfn.XLOOKUP(E513, Product_Master!$A$2:$A$101, Product_Master!$C$2:$C$101)</f>
        <v>Electronics</v>
      </c>
      <c r="K513">
        <f>_xlfn.XLOOKUP(E513, Product_Master!$A$2:$A$101, Product_Master!$D$2:$D$101)</f>
        <v>20000</v>
      </c>
      <c r="L513">
        <f>_xlfn.XLOOKUP(E513, Product_Master!$A$2:$A$101, Product_Master!$E$2:$E$101)</f>
        <v>25000</v>
      </c>
      <c r="M513">
        <f t="shared" si="36"/>
        <v>25000</v>
      </c>
      <c r="N513">
        <f t="shared" si="37"/>
        <v>20000</v>
      </c>
      <c r="O513">
        <f t="shared" si="38"/>
        <v>5000</v>
      </c>
      <c r="P513" s="3">
        <f t="shared" si="39"/>
        <v>0.2</v>
      </c>
      <c r="Q513" s="3" t="str">
        <v>Low Profit</v>
      </c>
    </row>
    <row r="514" spans="1:17" x14ac:dyDescent="0.3">
      <c r="A514" t="s">
        <v>961</v>
      </c>
      <c r="B514" s="2">
        <v>45903</v>
      </c>
      <c r="C514" s="2" t="str">
        <f t="shared" si="35"/>
        <v>September</v>
      </c>
      <c r="D514" t="s">
        <v>286</v>
      </c>
      <c r="E514" t="s">
        <v>394</v>
      </c>
      <c r="F514">
        <v>4</v>
      </c>
      <c r="G514" t="s">
        <v>45</v>
      </c>
      <c r="H514" t="s">
        <v>27</v>
      </c>
      <c r="I514" t="s">
        <v>332</v>
      </c>
      <c r="J514" t="str">
        <f>_xlfn.XLOOKUP(E514, Product_Master!$A$2:$A$101, Product_Master!$C$2:$C$101)</f>
        <v>Accessories</v>
      </c>
      <c r="K514">
        <f>_xlfn.XLOOKUP(E514, Product_Master!$A$2:$A$101, Product_Master!$D$2:$D$101)</f>
        <v>500</v>
      </c>
      <c r="L514">
        <f>_xlfn.XLOOKUP(E514, Product_Master!$A$2:$A$101, Product_Master!$E$2:$E$101)</f>
        <v>800</v>
      </c>
      <c r="M514">
        <f t="shared" si="36"/>
        <v>3200</v>
      </c>
      <c r="N514">
        <f t="shared" si="37"/>
        <v>2000</v>
      </c>
      <c r="O514">
        <f t="shared" si="38"/>
        <v>1200</v>
      </c>
      <c r="P514" s="3">
        <f t="shared" si="39"/>
        <v>0.375</v>
      </c>
      <c r="Q514" s="3" t="str">
        <v>High Profit</v>
      </c>
    </row>
    <row r="515" spans="1:17" x14ac:dyDescent="0.3">
      <c r="A515" t="s">
        <v>962</v>
      </c>
      <c r="B515" s="2">
        <v>45703</v>
      </c>
      <c r="C515" s="2" t="str">
        <f t="shared" ref="C515:C578" si="40">TEXT(B515,"MMMM")</f>
        <v>February</v>
      </c>
      <c r="D515" t="s">
        <v>111</v>
      </c>
      <c r="E515" t="s">
        <v>366</v>
      </c>
      <c r="F515">
        <v>3</v>
      </c>
      <c r="G515" t="s">
        <v>10</v>
      </c>
      <c r="H515" t="s">
        <v>31</v>
      </c>
      <c r="I515" t="s">
        <v>340</v>
      </c>
      <c r="J515" t="str">
        <f>_xlfn.XLOOKUP(E515, Product_Master!$A$2:$A$101, Product_Master!$C$2:$C$101)</f>
        <v>Electronics</v>
      </c>
      <c r="K515">
        <f>_xlfn.XLOOKUP(E515, Product_Master!$A$2:$A$101, Product_Master!$D$2:$D$101)</f>
        <v>42000</v>
      </c>
      <c r="L515">
        <f>_xlfn.XLOOKUP(E515, Product_Master!$A$2:$A$101, Product_Master!$E$2:$E$101)</f>
        <v>50000</v>
      </c>
      <c r="M515">
        <f t="shared" ref="M515:M578" si="41">F515*L515</f>
        <v>150000</v>
      </c>
      <c r="N515">
        <f t="shared" ref="N515:N578" si="42">F515*K515</f>
        <v>126000</v>
      </c>
      <c r="O515">
        <f t="shared" ref="O515:O578" si="43">M515-N515</f>
        <v>24000</v>
      </c>
      <c r="P515" s="3">
        <f t="shared" ref="P515:P578" si="44">O515/M515</f>
        <v>0.16</v>
      </c>
      <c r="Q515" s="3" t="str">
        <v>Low Profit</v>
      </c>
    </row>
    <row r="516" spans="1:17" x14ac:dyDescent="0.3">
      <c r="A516" t="s">
        <v>963</v>
      </c>
      <c r="B516" s="2">
        <v>45768</v>
      </c>
      <c r="C516" s="2" t="str">
        <f t="shared" si="40"/>
        <v>April</v>
      </c>
      <c r="D516" t="s">
        <v>112</v>
      </c>
      <c r="E516" t="s">
        <v>428</v>
      </c>
      <c r="F516">
        <v>3</v>
      </c>
      <c r="G516" t="s">
        <v>29</v>
      </c>
      <c r="H516" t="s">
        <v>14</v>
      </c>
      <c r="I516" t="s">
        <v>335</v>
      </c>
      <c r="J516" t="str">
        <f>_xlfn.XLOOKUP(E516, Product_Master!$A$2:$A$101, Product_Master!$C$2:$C$101)</f>
        <v>Accessories</v>
      </c>
      <c r="K516">
        <f>_xlfn.XLOOKUP(E516, Product_Master!$A$2:$A$101, Product_Master!$D$2:$D$101)</f>
        <v>900</v>
      </c>
      <c r="L516">
        <f>_xlfn.XLOOKUP(E516, Product_Master!$A$2:$A$101, Product_Master!$E$2:$E$101)</f>
        <v>1500</v>
      </c>
      <c r="M516">
        <f t="shared" si="41"/>
        <v>4500</v>
      </c>
      <c r="N516">
        <f t="shared" si="42"/>
        <v>2700</v>
      </c>
      <c r="O516">
        <f t="shared" si="43"/>
        <v>1800</v>
      </c>
      <c r="P516" s="3">
        <f t="shared" si="44"/>
        <v>0.4</v>
      </c>
      <c r="Q516" s="3" t="str">
        <v>High Profit</v>
      </c>
    </row>
    <row r="517" spans="1:17" x14ac:dyDescent="0.3">
      <c r="A517" t="s">
        <v>964</v>
      </c>
      <c r="B517" s="2">
        <v>45972</v>
      </c>
      <c r="C517" s="2" t="str">
        <f t="shared" si="40"/>
        <v>November</v>
      </c>
      <c r="D517" t="s">
        <v>119</v>
      </c>
      <c r="E517" t="s">
        <v>338</v>
      </c>
      <c r="F517">
        <v>1</v>
      </c>
      <c r="G517" t="s">
        <v>24</v>
      </c>
      <c r="H517" t="s">
        <v>14</v>
      </c>
      <c r="I517" t="s">
        <v>332</v>
      </c>
      <c r="J517" t="str">
        <f>_xlfn.XLOOKUP(E517, Product_Master!$A$2:$A$101, Product_Master!$C$2:$C$101)</f>
        <v>Accessories</v>
      </c>
      <c r="K517">
        <f>_xlfn.XLOOKUP(E517, Product_Master!$A$2:$A$101, Product_Master!$D$2:$D$101)</f>
        <v>500</v>
      </c>
      <c r="L517">
        <f>_xlfn.XLOOKUP(E517, Product_Master!$A$2:$A$101, Product_Master!$E$2:$E$101)</f>
        <v>800</v>
      </c>
      <c r="M517">
        <f t="shared" si="41"/>
        <v>800</v>
      </c>
      <c r="N517">
        <f t="shared" si="42"/>
        <v>500</v>
      </c>
      <c r="O517">
        <f t="shared" si="43"/>
        <v>300</v>
      </c>
      <c r="P517" s="3">
        <f t="shared" si="44"/>
        <v>0.375</v>
      </c>
      <c r="Q517" s="3" t="str">
        <v>High Profit</v>
      </c>
    </row>
    <row r="518" spans="1:17" x14ac:dyDescent="0.3">
      <c r="A518" t="s">
        <v>965</v>
      </c>
      <c r="B518" s="2">
        <v>45865</v>
      </c>
      <c r="C518" s="2" t="str">
        <f t="shared" si="40"/>
        <v>July</v>
      </c>
      <c r="D518" t="s">
        <v>175</v>
      </c>
      <c r="E518" t="s">
        <v>388</v>
      </c>
      <c r="F518">
        <v>2</v>
      </c>
      <c r="G518" t="s">
        <v>45</v>
      </c>
      <c r="H518" t="s">
        <v>1455</v>
      </c>
      <c r="I518" t="s">
        <v>344</v>
      </c>
      <c r="J518" t="str">
        <f>_xlfn.XLOOKUP(E518, Product_Master!$A$2:$A$101, Product_Master!$C$2:$C$101)</f>
        <v>Accessories</v>
      </c>
      <c r="K518">
        <f>_xlfn.XLOOKUP(E518, Product_Master!$A$2:$A$101, Product_Master!$D$2:$D$101)</f>
        <v>2000</v>
      </c>
      <c r="L518">
        <f>_xlfn.XLOOKUP(E518, Product_Master!$A$2:$A$101, Product_Master!$E$2:$E$101)</f>
        <v>3000</v>
      </c>
      <c r="M518">
        <f t="shared" si="41"/>
        <v>6000</v>
      </c>
      <c r="N518">
        <f t="shared" si="42"/>
        <v>4000</v>
      </c>
      <c r="O518">
        <f t="shared" si="43"/>
        <v>2000</v>
      </c>
      <c r="P518" s="3">
        <f t="shared" si="44"/>
        <v>0.33333333333333331</v>
      </c>
      <c r="Q518" s="3" t="str">
        <v>High Profit</v>
      </c>
    </row>
    <row r="519" spans="1:17" x14ac:dyDescent="0.3">
      <c r="A519" t="s">
        <v>966</v>
      </c>
      <c r="B519" s="2">
        <v>45827</v>
      </c>
      <c r="C519" s="2" t="str">
        <f t="shared" si="40"/>
        <v>June</v>
      </c>
      <c r="D519" t="s">
        <v>272</v>
      </c>
      <c r="E519" t="s">
        <v>397</v>
      </c>
      <c r="F519">
        <v>3</v>
      </c>
      <c r="G519" t="s">
        <v>7</v>
      </c>
      <c r="H519" t="s">
        <v>17</v>
      </c>
      <c r="I519" t="s">
        <v>344</v>
      </c>
      <c r="J519" t="str">
        <f>_xlfn.XLOOKUP(E519, Product_Master!$A$2:$A$101, Product_Master!$C$2:$C$101)</f>
        <v>Accessories</v>
      </c>
      <c r="K519">
        <f>_xlfn.XLOOKUP(E519, Product_Master!$A$2:$A$101, Product_Master!$D$2:$D$101)</f>
        <v>2000</v>
      </c>
      <c r="L519">
        <f>_xlfn.XLOOKUP(E519, Product_Master!$A$2:$A$101, Product_Master!$E$2:$E$101)</f>
        <v>3000</v>
      </c>
      <c r="M519">
        <f t="shared" si="41"/>
        <v>9000</v>
      </c>
      <c r="N519">
        <f t="shared" si="42"/>
        <v>6000</v>
      </c>
      <c r="O519">
        <f t="shared" si="43"/>
        <v>3000</v>
      </c>
      <c r="P519" s="3">
        <f t="shared" si="44"/>
        <v>0.33333333333333331</v>
      </c>
      <c r="Q519" s="3" t="str">
        <v>High Profit</v>
      </c>
    </row>
    <row r="520" spans="1:17" x14ac:dyDescent="0.3">
      <c r="A520" t="s">
        <v>967</v>
      </c>
      <c r="B520" s="2">
        <v>45807</v>
      </c>
      <c r="C520" s="2" t="str">
        <f t="shared" si="40"/>
        <v>May</v>
      </c>
      <c r="D520" t="s">
        <v>236</v>
      </c>
      <c r="E520" t="s">
        <v>405</v>
      </c>
      <c r="F520">
        <v>4</v>
      </c>
      <c r="G520" t="s">
        <v>47</v>
      </c>
      <c r="H520" t="s">
        <v>1455</v>
      </c>
      <c r="I520" t="s">
        <v>332</v>
      </c>
      <c r="J520" t="str">
        <f>_xlfn.XLOOKUP(E520, Product_Master!$A$2:$A$101, Product_Master!$C$2:$C$101)</f>
        <v>Accessories</v>
      </c>
      <c r="K520">
        <f>_xlfn.XLOOKUP(E520, Product_Master!$A$2:$A$101, Product_Master!$D$2:$D$101)</f>
        <v>500</v>
      </c>
      <c r="L520">
        <f>_xlfn.XLOOKUP(E520, Product_Master!$A$2:$A$101, Product_Master!$E$2:$E$101)</f>
        <v>800</v>
      </c>
      <c r="M520">
        <f t="shared" si="41"/>
        <v>3200</v>
      </c>
      <c r="N520">
        <f t="shared" si="42"/>
        <v>2000</v>
      </c>
      <c r="O520">
        <f t="shared" si="43"/>
        <v>1200</v>
      </c>
      <c r="P520" s="3">
        <f t="shared" si="44"/>
        <v>0.375</v>
      </c>
      <c r="Q520" s="3" t="str">
        <v>High Profit</v>
      </c>
    </row>
    <row r="521" spans="1:17" x14ac:dyDescent="0.3">
      <c r="A521" t="s">
        <v>968</v>
      </c>
      <c r="B521" s="2">
        <v>45955</v>
      </c>
      <c r="C521" s="2" t="str">
        <f t="shared" si="40"/>
        <v>October</v>
      </c>
      <c r="D521" t="s">
        <v>99</v>
      </c>
      <c r="E521" t="s">
        <v>379</v>
      </c>
      <c r="F521">
        <v>3</v>
      </c>
      <c r="G521" t="s">
        <v>45</v>
      </c>
      <c r="H521" t="s">
        <v>39</v>
      </c>
      <c r="I521" t="s">
        <v>346</v>
      </c>
      <c r="J521" t="str">
        <f>_xlfn.XLOOKUP(E521, Product_Master!$A$2:$A$101, Product_Master!$C$2:$C$101)</f>
        <v>Accessories</v>
      </c>
      <c r="K521">
        <f>_xlfn.XLOOKUP(E521, Product_Master!$A$2:$A$101, Product_Master!$D$2:$D$101)</f>
        <v>9000</v>
      </c>
      <c r="L521">
        <f>_xlfn.XLOOKUP(E521, Product_Master!$A$2:$A$101, Product_Master!$E$2:$E$101)</f>
        <v>12000</v>
      </c>
      <c r="M521">
        <f t="shared" si="41"/>
        <v>36000</v>
      </c>
      <c r="N521">
        <f t="shared" si="42"/>
        <v>27000</v>
      </c>
      <c r="O521">
        <f t="shared" si="43"/>
        <v>9000</v>
      </c>
      <c r="P521" s="3">
        <f t="shared" si="44"/>
        <v>0.25</v>
      </c>
      <c r="Q521" s="3" t="str">
        <v>High Profit</v>
      </c>
    </row>
    <row r="522" spans="1:17" x14ac:dyDescent="0.3">
      <c r="A522" t="s">
        <v>969</v>
      </c>
      <c r="B522" s="2">
        <v>45692</v>
      </c>
      <c r="C522" s="2" t="str">
        <f t="shared" si="40"/>
        <v>February</v>
      </c>
      <c r="D522" t="s">
        <v>211</v>
      </c>
      <c r="E522" t="s">
        <v>362</v>
      </c>
      <c r="F522">
        <v>2</v>
      </c>
      <c r="G522" t="s">
        <v>29</v>
      </c>
      <c r="H522" t="s">
        <v>20</v>
      </c>
      <c r="I522" t="s">
        <v>332</v>
      </c>
      <c r="J522" t="str">
        <f>_xlfn.XLOOKUP(E522, Product_Master!$A$2:$A$101, Product_Master!$C$2:$C$101)</f>
        <v>Accessories</v>
      </c>
      <c r="K522">
        <f>_xlfn.XLOOKUP(E522, Product_Master!$A$2:$A$101, Product_Master!$D$2:$D$101)</f>
        <v>500</v>
      </c>
      <c r="L522">
        <f>_xlfn.XLOOKUP(E522, Product_Master!$A$2:$A$101, Product_Master!$E$2:$E$101)</f>
        <v>800</v>
      </c>
      <c r="M522">
        <f t="shared" si="41"/>
        <v>1600</v>
      </c>
      <c r="N522">
        <f t="shared" si="42"/>
        <v>1000</v>
      </c>
      <c r="O522">
        <f t="shared" si="43"/>
        <v>600</v>
      </c>
      <c r="P522" s="3">
        <f t="shared" si="44"/>
        <v>0.375</v>
      </c>
      <c r="Q522" s="3" t="str">
        <v>High Profit</v>
      </c>
    </row>
    <row r="523" spans="1:17" x14ac:dyDescent="0.3">
      <c r="A523" t="s">
        <v>970</v>
      </c>
      <c r="B523" s="2">
        <v>45857</v>
      </c>
      <c r="C523" s="2" t="str">
        <f t="shared" si="40"/>
        <v>July</v>
      </c>
      <c r="D523" t="s">
        <v>55</v>
      </c>
      <c r="E523" t="s">
        <v>363</v>
      </c>
      <c r="F523">
        <v>5</v>
      </c>
      <c r="G523" t="s">
        <v>37</v>
      </c>
      <c r="H523" t="s">
        <v>8</v>
      </c>
      <c r="I523" t="s">
        <v>346</v>
      </c>
      <c r="J523" t="str">
        <f>_xlfn.XLOOKUP(E523, Product_Master!$A$2:$A$101, Product_Master!$C$2:$C$101)</f>
        <v>Accessories</v>
      </c>
      <c r="K523">
        <f>_xlfn.XLOOKUP(E523, Product_Master!$A$2:$A$101, Product_Master!$D$2:$D$101)</f>
        <v>9000</v>
      </c>
      <c r="L523">
        <f>_xlfn.XLOOKUP(E523, Product_Master!$A$2:$A$101, Product_Master!$E$2:$E$101)</f>
        <v>12000</v>
      </c>
      <c r="M523">
        <f t="shared" si="41"/>
        <v>60000</v>
      </c>
      <c r="N523">
        <f t="shared" si="42"/>
        <v>45000</v>
      </c>
      <c r="O523">
        <f t="shared" si="43"/>
        <v>15000</v>
      </c>
      <c r="P523" s="3">
        <f t="shared" si="44"/>
        <v>0.25</v>
      </c>
      <c r="Q523" s="3" t="str">
        <v>High Profit</v>
      </c>
    </row>
    <row r="524" spans="1:17" x14ac:dyDescent="0.3">
      <c r="A524" t="s">
        <v>971</v>
      </c>
      <c r="B524" s="2">
        <v>45837</v>
      </c>
      <c r="C524" s="2" t="str">
        <f t="shared" si="40"/>
        <v>June</v>
      </c>
      <c r="D524" t="s">
        <v>25</v>
      </c>
      <c r="E524" t="s">
        <v>406</v>
      </c>
      <c r="F524">
        <v>4</v>
      </c>
      <c r="G524" t="s">
        <v>10</v>
      </c>
      <c r="H524" t="s">
        <v>8</v>
      </c>
      <c r="I524" t="s">
        <v>344</v>
      </c>
      <c r="J524" t="str">
        <f>_xlfn.XLOOKUP(E524, Product_Master!$A$2:$A$101, Product_Master!$C$2:$C$101)</f>
        <v>Accessories</v>
      </c>
      <c r="K524">
        <f>_xlfn.XLOOKUP(E524, Product_Master!$A$2:$A$101, Product_Master!$D$2:$D$101)</f>
        <v>2000</v>
      </c>
      <c r="L524">
        <f>_xlfn.XLOOKUP(E524, Product_Master!$A$2:$A$101, Product_Master!$E$2:$E$101)</f>
        <v>3000</v>
      </c>
      <c r="M524">
        <f t="shared" si="41"/>
        <v>12000</v>
      </c>
      <c r="N524">
        <f t="shared" si="42"/>
        <v>8000</v>
      </c>
      <c r="O524">
        <f t="shared" si="43"/>
        <v>4000</v>
      </c>
      <c r="P524" s="3">
        <f t="shared" si="44"/>
        <v>0.33333333333333331</v>
      </c>
      <c r="Q524" s="3" t="str">
        <v>High Profit</v>
      </c>
    </row>
    <row r="525" spans="1:17" x14ac:dyDescent="0.3">
      <c r="A525" t="s">
        <v>972</v>
      </c>
      <c r="B525" s="2">
        <v>45735</v>
      </c>
      <c r="C525" s="2" t="str">
        <f t="shared" si="40"/>
        <v>March</v>
      </c>
      <c r="D525" t="s">
        <v>75</v>
      </c>
      <c r="E525" t="s">
        <v>436</v>
      </c>
      <c r="F525">
        <v>4</v>
      </c>
      <c r="G525" t="s">
        <v>29</v>
      </c>
      <c r="H525" t="s">
        <v>31</v>
      </c>
      <c r="I525" t="s">
        <v>353</v>
      </c>
      <c r="J525" t="str">
        <f>_xlfn.XLOOKUP(E525, Product_Master!$A$2:$A$101, Product_Master!$C$2:$C$101)</f>
        <v>Electronics</v>
      </c>
      <c r="K525">
        <f>_xlfn.XLOOKUP(E525, Product_Master!$A$2:$A$101, Product_Master!$D$2:$D$101)</f>
        <v>12000</v>
      </c>
      <c r="L525">
        <f>_xlfn.XLOOKUP(E525, Product_Master!$A$2:$A$101, Product_Master!$E$2:$E$101)</f>
        <v>15000</v>
      </c>
      <c r="M525">
        <f t="shared" si="41"/>
        <v>60000</v>
      </c>
      <c r="N525">
        <f t="shared" si="42"/>
        <v>48000</v>
      </c>
      <c r="O525">
        <f t="shared" si="43"/>
        <v>12000</v>
      </c>
      <c r="P525" s="3">
        <f t="shared" si="44"/>
        <v>0.2</v>
      </c>
      <c r="Q525" s="3" t="str">
        <v>Low Profit</v>
      </c>
    </row>
    <row r="526" spans="1:17" x14ac:dyDescent="0.3">
      <c r="A526" t="s">
        <v>973</v>
      </c>
      <c r="B526" s="2">
        <v>45956</v>
      </c>
      <c r="C526" s="2" t="str">
        <f t="shared" si="40"/>
        <v>October</v>
      </c>
      <c r="D526" t="s">
        <v>49</v>
      </c>
      <c r="E526" t="s">
        <v>430</v>
      </c>
      <c r="F526">
        <v>5</v>
      </c>
      <c r="G526" t="s">
        <v>19</v>
      </c>
      <c r="H526" t="s">
        <v>31</v>
      </c>
      <c r="I526" t="s">
        <v>346</v>
      </c>
      <c r="J526" t="str">
        <f>_xlfn.XLOOKUP(E526, Product_Master!$A$2:$A$101, Product_Master!$C$2:$C$101)</f>
        <v>Accessories</v>
      </c>
      <c r="K526">
        <f>_xlfn.XLOOKUP(E526, Product_Master!$A$2:$A$101, Product_Master!$D$2:$D$101)</f>
        <v>9000</v>
      </c>
      <c r="L526">
        <f>_xlfn.XLOOKUP(E526, Product_Master!$A$2:$A$101, Product_Master!$E$2:$E$101)</f>
        <v>12000</v>
      </c>
      <c r="M526">
        <f t="shared" si="41"/>
        <v>60000</v>
      </c>
      <c r="N526">
        <f t="shared" si="42"/>
        <v>45000</v>
      </c>
      <c r="O526">
        <f t="shared" si="43"/>
        <v>15000</v>
      </c>
      <c r="P526" s="3">
        <f t="shared" si="44"/>
        <v>0.25</v>
      </c>
      <c r="Q526" s="3" t="str">
        <v>High Profit</v>
      </c>
    </row>
    <row r="527" spans="1:17" x14ac:dyDescent="0.3">
      <c r="A527" t="s">
        <v>974</v>
      </c>
      <c r="B527" s="2">
        <v>45837</v>
      </c>
      <c r="C527" s="2" t="str">
        <f t="shared" si="40"/>
        <v>June</v>
      </c>
      <c r="D527" t="s">
        <v>30</v>
      </c>
      <c r="E527" t="s">
        <v>352</v>
      </c>
      <c r="F527">
        <v>1</v>
      </c>
      <c r="G527" t="s">
        <v>24</v>
      </c>
      <c r="H527" t="s">
        <v>31</v>
      </c>
      <c r="I527" t="s">
        <v>353</v>
      </c>
      <c r="J527" t="str">
        <f>_xlfn.XLOOKUP(E527, Product_Master!$A$2:$A$101, Product_Master!$C$2:$C$101)</f>
        <v>Electronics</v>
      </c>
      <c r="K527">
        <f>_xlfn.XLOOKUP(E527, Product_Master!$A$2:$A$101, Product_Master!$D$2:$D$101)</f>
        <v>12000</v>
      </c>
      <c r="L527">
        <f>_xlfn.XLOOKUP(E527, Product_Master!$A$2:$A$101, Product_Master!$E$2:$E$101)</f>
        <v>15000</v>
      </c>
      <c r="M527">
        <f t="shared" si="41"/>
        <v>15000</v>
      </c>
      <c r="N527">
        <f t="shared" si="42"/>
        <v>12000</v>
      </c>
      <c r="O527">
        <f t="shared" si="43"/>
        <v>3000</v>
      </c>
      <c r="P527" s="3">
        <f t="shared" si="44"/>
        <v>0.2</v>
      </c>
      <c r="Q527" s="3" t="str">
        <v>Low Profit</v>
      </c>
    </row>
    <row r="528" spans="1:17" x14ac:dyDescent="0.3">
      <c r="A528" t="s">
        <v>975</v>
      </c>
      <c r="B528" s="2">
        <v>45681</v>
      </c>
      <c r="C528" s="2" t="str">
        <f t="shared" si="40"/>
        <v>January</v>
      </c>
      <c r="D528" t="s">
        <v>152</v>
      </c>
      <c r="E528" t="s">
        <v>406</v>
      </c>
      <c r="F528">
        <v>5</v>
      </c>
      <c r="G528" t="s">
        <v>29</v>
      </c>
      <c r="H528" t="s">
        <v>5</v>
      </c>
      <c r="I528" t="s">
        <v>344</v>
      </c>
      <c r="J528" t="str">
        <f>_xlfn.XLOOKUP(E528, Product_Master!$A$2:$A$101, Product_Master!$C$2:$C$101)</f>
        <v>Accessories</v>
      </c>
      <c r="K528">
        <f>_xlfn.XLOOKUP(E528, Product_Master!$A$2:$A$101, Product_Master!$D$2:$D$101)</f>
        <v>2000</v>
      </c>
      <c r="L528">
        <f>_xlfn.XLOOKUP(E528, Product_Master!$A$2:$A$101, Product_Master!$E$2:$E$101)</f>
        <v>3000</v>
      </c>
      <c r="M528">
        <f t="shared" si="41"/>
        <v>15000</v>
      </c>
      <c r="N528">
        <f t="shared" si="42"/>
        <v>10000</v>
      </c>
      <c r="O528">
        <f t="shared" si="43"/>
        <v>5000</v>
      </c>
      <c r="P528" s="3">
        <f t="shared" si="44"/>
        <v>0.33333333333333331</v>
      </c>
      <c r="Q528" s="3" t="str">
        <v>High Profit</v>
      </c>
    </row>
    <row r="529" spans="1:17" x14ac:dyDescent="0.3">
      <c r="A529" t="s">
        <v>976</v>
      </c>
      <c r="B529" s="2">
        <v>45661</v>
      </c>
      <c r="C529" s="2" t="str">
        <f t="shared" si="40"/>
        <v>January</v>
      </c>
      <c r="D529" t="s">
        <v>273</v>
      </c>
      <c r="E529" t="s">
        <v>440</v>
      </c>
      <c r="F529">
        <v>2</v>
      </c>
      <c r="G529" t="s">
        <v>24</v>
      </c>
      <c r="H529" t="s">
        <v>1455</v>
      </c>
      <c r="I529" t="s">
        <v>346</v>
      </c>
      <c r="J529" t="str">
        <f>_xlfn.XLOOKUP(E529, Product_Master!$A$2:$A$101, Product_Master!$C$2:$C$101)</f>
        <v>Accessories</v>
      </c>
      <c r="K529">
        <f>_xlfn.XLOOKUP(E529, Product_Master!$A$2:$A$101, Product_Master!$D$2:$D$101)</f>
        <v>9000</v>
      </c>
      <c r="L529">
        <f>_xlfn.XLOOKUP(E529, Product_Master!$A$2:$A$101, Product_Master!$E$2:$E$101)</f>
        <v>12000</v>
      </c>
      <c r="M529">
        <f t="shared" si="41"/>
        <v>24000</v>
      </c>
      <c r="N529">
        <f t="shared" si="42"/>
        <v>18000</v>
      </c>
      <c r="O529">
        <f t="shared" si="43"/>
        <v>6000</v>
      </c>
      <c r="P529" s="3">
        <f t="shared" si="44"/>
        <v>0.25</v>
      </c>
      <c r="Q529" s="3" t="str">
        <v>High Profit</v>
      </c>
    </row>
    <row r="530" spans="1:17" x14ac:dyDescent="0.3">
      <c r="A530" t="s">
        <v>977</v>
      </c>
      <c r="B530" s="2">
        <v>45761</v>
      </c>
      <c r="C530" s="2" t="str">
        <f t="shared" si="40"/>
        <v>April</v>
      </c>
      <c r="D530" t="s">
        <v>70</v>
      </c>
      <c r="E530" t="s">
        <v>409</v>
      </c>
      <c r="F530">
        <v>4</v>
      </c>
      <c r="G530" t="s">
        <v>22</v>
      </c>
      <c r="H530" t="s">
        <v>14</v>
      </c>
      <c r="I530" t="s">
        <v>340</v>
      </c>
      <c r="J530" t="str">
        <f>_xlfn.XLOOKUP(E530, Product_Master!$A$2:$A$101, Product_Master!$C$2:$C$101)</f>
        <v>Electronics</v>
      </c>
      <c r="K530">
        <f>_xlfn.XLOOKUP(E530, Product_Master!$A$2:$A$101, Product_Master!$D$2:$D$101)</f>
        <v>42000</v>
      </c>
      <c r="L530">
        <f>_xlfn.XLOOKUP(E530, Product_Master!$A$2:$A$101, Product_Master!$E$2:$E$101)</f>
        <v>50000</v>
      </c>
      <c r="M530">
        <f t="shared" si="41"/>
        <v>200000</v>
      </c>
      <c r="N530">
        <f t="shared" si="42"/>
        <v>168000</v>
      </c>
      <c r="O530">
        <f t="shared" si="43"/>
        <v>32000</v>
      </c>
      <c r="P530" s="3">
        <f t="shared" si="44"/>
        <v>0.16</v>
      </c>
      <c r="Q530" s="3" t="str">
        <v>Low Profit</v>
      </c>
    </row>
    <row r="531" spans="1:17" x14ac:dyDescent="0.3">
      <c r="A531" t="s">
        <v>978</v>
      </c>
      <c r="B531" s="2">
        <v>45931</v>
      </c>
      <c r="C531" s="2" t="str">
        <f t="shared" si="40"/>
        <v>October</v>
      </c>
      <c r="D531" t="s">
        <v>317</v>
      </c>
      <c r="E531" t="s">
        <v>435</v>
      </c>
      <c r="F531">
        <v>2</v>
      </c>
      <c r="G531" t="s">
        <v>12</v>
      </c>
      <c r="H531" t="s">
        <v>14</v>
      </c>
      <c r="I531" t="s">
        <v>346</v>
      </c>
      <c r="J531" t="str">
        <f>_xlfn.XLOOKUP(E531, Product_Master!$A$2:$A$101, Product_Master!$C$2:$C$101)</f>
        <v>Accessories</v>
      </c>
      <c r="K531">
        <f>_xlfn.XLOOKUP(E531, Product_Master!$A$2:$A$101, Product_Master!$D$2:$D$101)</f>
        <v>9000</v>
      </c>
      <c r="L531">
        <f>_xlfn.XLOOKUP(E531, Product_Master!$A$2:$A$101, Product_Master!$E$2:$E$101)</f>
        <v>12000</v>
      </c>
      <c r="M531">
        <f t="shared" si="41"/>
        <v>24000</v>
      </c>
      <c r="N531">
        <f t="shared" si="42"/>
        <v>18000</v>
      </c>
      <c r="O531">
        <f t="shared" si="43"/>
        <v>6000</v>
      </c>
      <c r="P531" s="3">
        <f t="shared" si="44"/>
        <v>0.25</v>
      </c>
      <c r="Q531" s="3" t="str">
        <v>High Profit</v>
      </c>
    </row>
    <row r="532" spans="1:17" x14ac:dyDescent="0.3">
      <c r="A532" t="s">
        <v>979</v>
      </c>
      <c r="B532" s="2">
        <v>45721</v>
      </c>
      <c r="C532" s="2" t="str">
        <f t="shared" si="40"/>
        <v>March</v>
      </c>
      <c r="D532" t="s">
        <v>251</v>
      </c>
      <c r="E532" t="s">
        <v>413</v>
      </c>
      <c r="F532">
        <v>3</v>
      </c>
      <c r="G532" t="s">
        <v>4</v>
      </c>
      <c r="H532" t="s">
        <v>5</v>
      </c>
      <c r="I532" t="s">
        <v>340</v>
      </c>
      <c r="J532" t="str">
        <f>_xlfn.XLOOKUP(E532, Product_Master!$A$2:$A$101, Product_Master!$C$2:$C$101)</f>
        <v>Electronics</v>
      </c>
      <c r="K532">
        <f>_xlfn.XLOOKUP(E532, Product_Master!$A$2:$A$101, Product_Master!$D$2:$D$101)</f>
        <v>42000</v>
      </c>
      <c r="L532">
        <f>_xlfn.XLOOKUP(E532, Product_Master!$A$2:$A$101, Product_Master!$E$2:$E$101)</f>
        <v>50000</v>
      </c>
      <c r="M532">
        <f t="shared" si="41"/>
        <v>150000</v>
      </c>
      <c r="N532">
        <f t="shared" si="42"/>
        <v>126000</v>
      </c>
      <c r="O532">
        <f t="shared" si="43"/>
        <v>24000</v>
      </c>
      <c r="P532" s="3">
        <f t="shared" si="44"/>
        <v>0.16</v>
      </c>
      <c r="Q532" s="3" t="str">
        <v>Low Profit</v>
      </c>
    </row>
    <row r="533" spans="1:17" x14ac:dyDescent="0.3">
      <c r="A533" t="s">
        <v>980</v>
      </c>
      <c r="B533" s="2">
        <v>45843</v>
      </c>
      <c r="C533" s="2" t="str">
        <f t="shared" si="40"/>
        <v>July</v>
      </c>
      <c r="D533" t="s">
        <v>283</v>
      </c>
      <c r="E533" t="s">
        <v>369</v>
      </c>
      <c r="F533">
        <v>2</v>
      </c>
      <c r="G533" t="s">
        <v>29</v>
      </c>
      <c r="H533" t="s">
        <v>8</v>
      </c>
      <c r="I533" t="s">
        <v>329</v>
      </c>
      <c r="J533" t="str">
        <f>_xlfn.XLOOKUP(E533, Product_Master!$A$2:$A$101, Product_Master!$C$2:$C$101)</f>
        <v>Electronics</v>
      </c>
      <c r="K533">
        <f>_xlfn.XLOOKUP(E533, Product_Master!$A$2:$A$101, Product_Master!$D$2:$D$101)</f>
        <v>20000</v>
      </c>
      <c r="L533">
        <f>_xlfn.XLOOKUP(E533, Product_Master!$A$2:$A$101, Product_Master!$E$2:$E$101)</f>
        <v>25000</v>
      </c>
      <c r="M533">
        <f t="shared" si="41"/>
        <v>50000</v>
      </c>
      <c r="N533">
        <f t="shared" si="42"/>
        <v>40000</v>
      </c>
      <c r="O533">
        <f t="shared" si="43"/>
        <v>10000</v>
      </c>
      <c r="P533" s="3">
        <f t="shared" si="44"/>
        <v>0.2</v>
      </c>
      <c r="Q533" s="3" t="str">
        <v>Low Profit</v>
      </c>
    </row>
    <row r="534" spans="1:17" x14ac:dyDescent="0.3">
      <c r="A534" t="s">
        <v>981</v>
      </c>
      <c r="B534" s="2">
        <v>45802</v>
      </c>
      <c r="C534" s="2" t="str">
        <f t="shared" si="40"/>
        <v>May</v>
      </c>
      <c r="D534" t="s">
        <v>459</v>
      </c>
      <c r="E534" t="s">
        <v>425</v>
      </c>
      <c r="F534">
        <v>5</v>
      </c>
      <c r="G534" t="s">
        <v>1454</v>
      </c>
      <c r="H534" t="s">
        <v>1455</v>
      </c>
      <c r="I534" t="s">
        <v>337</v>
      </c>
      <c r="J534" t="str">
        <f>_xlfn.XLOOKUP(E534, Product_Master!$A$2:$A$101, Product_Master!$C$2:$C$101)</f>
        <v>Electronics</v>
      </c>
      <c r="K534">
        <f>_xlfn.XLOOKUP(E534, Product_Master!$A$2:$A$101, Product_Master!$D$2:$D$101)</f>
        <v>15000</v>
      </c>
      <c r="L534">
        <f>_xlfn.XLOOKUP(E534, Product_Master!$A$2:$A$101, Product_Master!$E$2:$E$101)</f>
        <v>18000</v>
      </c>
      <c r="M534">
        <f t="shared" si="41"/>
        <v>90000</v>
      </c>
      <c r="N534">
        <f t="shared" si="42"/>
        <v>75000</v>
      </c>
      <c r="O534">
        <f t="shared" si="43"/>
        <v>15000</v>
      </c>
      <c r="P534" s="3">
        <f t="shared" si="44"/>
        <v>0.16666666666666666</v>
      </c>
      <c r="Q534" s="3" t="str">
        <v>Low Profit</v>
      </c>
    </row>
    <row r="535" spans="1:17" x14ac:dyDescent="0.3">
      <c r="A535" t="s">
        <v>982</v>
      </c>
      <c r="B535" s="2">
        <v>45828</v>
      </c>
      <c r="C535" s="2" t="str">
        <f t="shared" si="40"/>
        <v>June</v>
      </c>
      <c r="D535" t="s">
        <v>161</v>
      </c>
      <c r="E535" t="s">
        <v>417</v>
      </c>
      <c r="F535">
        <v>4</v>
      </c>
      <c r="G535" t="s">
        <v>45</v>
      </c>
      <c r="H535" t="s">
        <v>31</v>
      </c>
      <c r="I535" t="s">
        <v>335</v>
      </c>
      <c r="J535" t="str">
        <f>_xlfn.XLOOKUP(E535, Product_Master!$A$2:$A$101, Product_Master!$C$2:$C$101)</f>
        <v>Accessories</v>
      </c>
      <c r="K535">
        <f>_xlfn.XLOOKUP(E535, Product_Master!$A$2:$A$101, Product_Master!$D$2:$D$101)</f>
        <v>900</v>
      </c>
      <c r="L535">
        <f>_xlfn.XLOOKUP(E535, Product_Master!$A$2:$A$101, Product_Master!$E$2:$E$101)</f>
        <v>1500</v>
      </c>
      <c r="M535">
        <f t="shared" si="41"/>
        <v>6000</v>
      </c>
      <c r="N535">
        <f t="shared" si="42"/>
        <v>3600</v>
      </c>
      <c r="O535">
        <f t="shared" si="43"/>
        <v>2400</v>
      </c>
      <c r="P535" s="3">
        <f t="shared" si="44"/>
        <v>0.4</v>
      </c>
      <c r="Q535" s="3" t="str">
        <v>High Profit</v>
      </c>
    </row>
    <row r="536" spans="1:17" x14ac:dyDescent="0.3">
      <c r="A536" t="s">
        <v>983</v>
      </c>
      <c r="B536" s="2">
        <v>45695</v>
      </c>
      <c r="C536" s="2" t="str">
        <f t="shared" si="40"/>
        <v>February</v>
      </c>
      <c r="D536" t="s">
        <v>156</v>
      </c>
      <c r="E536" t="s">
        <v>439</v>
      </c>
      <c r="F536">
        <v>4</v>
      </c>
      <c r="G536" t="s">
        <v>4</v>
      </c>
      <c r="H536" t="s">
        <v>20</v>
      </c>
      <c r="I536" t="s">
        <v>353</v>
      </c>
      <c r="J536" t="str">
        <f>_xlfn.XLOOKUP(E536, Product_Master!$A$2:$A$101, Product_Master!$C$2:$C$101)</f>
        <v>Electronics</v>
      </c>
      <c r="K536">
        <f>_xlfn.XLOOKUP(E536, Product_Master!$A$2:$A$101, Product_Master!$D$2:$D$101)</f>
        <v>12000</v>
      </c>
      <c r="L536">
        <f>_xlfn.XLOOKUP(E536, Product_Master!$A$2:$A$101, Product_Master!$E$2:$E$101)</f>
        <v>15000</v>
      </c>
      <c r="M536">
        <f t="shared" si="41"/>
        <v>60000</v>
      </c>
      <c r="N536">
        <f t="shared" si="42"/>
        <v>48000</v>
      </c>
      <c r="O536">
        <f t="shared" si="43"/>
        <v>12000</v>
      </c>
      <c r="P536" s="3">
        <f t="shared" si="44"/>
        <v>0.2</v>
      </c>
      <c r="Q536" s="3" t="str">
        <v>Low Profit</v>
      </c>
    </row>
    <row r="537" spans="1:17" x14ac:dyDescent="0.3">
      <c r="A537" t="s">
        <v>984</v>
      </c>
      <c r="B537" s="2">
        <v>45681</v>
      </c>
      <c r="C537" s="2" t="str">
        <f t="shared" si="40"/>
        <v>January</v>
      </c>
      <c r="D537" t="s">
        <v>18</v>
      </c>
      <c r="E537" t="s">
        <v>443</v>
      </c>
      <c r="F537">
        <v>1</v>
      </c>
      <c r="G537" t="s">
        <v>19</v>
      </c>
      <c r="H537" t="s">
        <v>20</v>
      </c>
      <c r="I537" t="s">
        <v>344</v>
      </c>
      <c r="J537" t="str">
        <f>_xlfn.XLOOKUP(E537, Product_Master!$A$2:$A$101, Product_Master!$C$2:$C$101)</f>
        <v>Accessories</v>
      </c>
      <c r="K537">
        <f>_xlfn.XLOOKUP(E537, Product_Master!$A$2:$A$101, Product_Master!$D$2:$D$101)</f>
        <v>2000</v>
      </c>
      <c r="L537">
        <f>_xlfn.XLOOKUP(E537, Product_Master!$A$2:$A$101, Product_Master!$E$2:$E$101)</f>
        <v>3000</v>
      </c>
      <c r="M537">
        <f t="shared" si="41"/>
        <v>3000</v>
      </c>
      <c r="N537">
        <f t="shared" si="42"/>
        <v>2000</v>
      </c>
      <c r="O537">
        <f t="shared" si="43"/>
        <v>1000</v>
      </c>
      <c r="P537" s="3">
        <f t="shared" si="44"/>
        <v>0.33333333333333331</v>
      </c>
      <c r="Q537" s="3" t="str">
        <v>High Profit</v>
      </c>
    </row>
    <row r="538" spans="1:17" x14ac:dyDescent="0.3">
      <c r="A538" t="s">
        <v>985</v>
      </c>
      <c r="B538" s="2">
        <v>45932</v>
      </c>
      <c r="C538" s="2" t="str">
        <f t="shared" si="40"/>
        <v>October</v>
      </c>
      <c r="D538" t="s">
        <v>153</v>
      </c>
      <c r="E538" t="s">
        <v>429</v>
      </c>
      <c r="F538">
        <v>3</v>
      </c>
      <c r="G538" t="s">
        <v>4</v>
      </c>
      <c r="H538" t="s">
        <v>27</v>
      </c>
      <c r="I538" t="s">
        <v>340</v>
      </c>
      <c r="J538" t="str">
        <f>_xlfn.XLOOKUP(E538, Product_Master!$A$2:$A$101, Product_Master!$C$2:$C$101)</f>
        <v>Electronics</v>
      </c>
      <c r="K538">
        <f>_xlfn.XLOOKUP(E538, Product_Master!$A$2:$A$101, Product_Master!$D$2:$D$101)</f>
        <v>42000</v>
      </c>
      <c r="L538">
        <f>_xlfn.XLOOKUP(E538, Product_Master!$A$2:$A$101, Product_Master!$E$2:$E$101)</f>
        <v>50000</v>
      </c>
      <c r="M538">
        <f t="shared" si="41"/>
        <v>150000</v>
      </c>
      <c r="N538">
        <f t="shared" si="42"/>
        <v>126000</v>
      </c>
      <c r="O538">
        <f t="shared" si="43"/>
        <v>24000</v>
      </c>
      <c r="P538" s="3">
        <f t="shared" si="44"/>
        <v>0.16</v>
      </c>
      <c r="Q538" s="3" t="str">
        <v>Low Profit</v>
      </c>
    </row>
    <row r="539" spans="1:17" x14ac:dyDescent="0.3">
      <c r="A539" t="s">
        <v>986</v>
      </c>
      <c r="B539" s="2">
        <v>45988</v>
      </c>
      <c r="C539" s="2" t="str">
        <f t="shared" si="40"/>
        <v>November</v>
      </c>
      <c r="D539" t="s">
        <v>241</v>
      </c>
      <c r="E539" t="s">
        <v>412</v>
      </c>
      <c r="F539">
        <v>1</v>
      </c>
      <c r="G539" t="s">
        <v>4</v>
      </c>
      <c r="H539" t="s">
        <v>20</v>
      </c>
      <c r="I539" t="s">
        <v>346</v>
      </c>
      <c r="J539" t="str">
        <f>_xlfn.XLOOKUP(E539, Product_Master!$A$2:$A$101, Product_Master!$C$2:$C$101)</f>
        <v>Accessories</v>
      </c>
      <c r="K539">
        <f>_xlfn.XLOOKUP(E539, Product_Master!$A$2:$A$101, Product_Master!$D$2:$D$101)</f>
        <v>9000</v>
      </c>
      <c r="L539">
        <f>_xlfn.XLOOKUP(E539, Product_Master!$A$2:$A$101, Product_Master!$E$2:$E$101)</f>
        <v>12000</v>
      </c>
      <c r="M539">
        <f t="shared" si="41"/>
        <v>12000</v>
      </c>
      <c r="N539">
        <f t="shared" si="42"/>
        <v>9000</v>
      </c>
      <c r="O539">
        <f t="shared" si="43"/>
        <v>3000</v>
      </c>
      <c r="P539" s="3">
        <f t="shared" si="44"/>
        <v>0.25</v>
      </c>
      <c r="Q539" s="3" t="str">
        <v>High Profit</v>
      </c>
    </row>
    <row r="540" spans="1:17" x14ac:dyDescent="0.3">
      <c r="A540" t="s">
        <v>987</v>
      </c>
      <c r="B540" s="2">
        <v>45822</v>
      </c>
      <c r="C540" s="2" t="str">
        <f t="shared" si="40"/>
        <v>June</v>
      </c>
      <c r="D540" t="s">
        <v>173</v>
      </c>
      <c r="E540" t="s">
        <v>435</v>
      </c>
      <c r="F540">
        <v>1</v>
      </c>
      <c r="G540" t="s">
        <v>24</v>
      </c>
      <c r="H540" t="s">
        <v>31</v>
      </c>
      <c r="I540" t="s">
        <v>346</v>
      </c>
      <c r="J540" t="str">
        <f>_xlfn.XLOOKUP(E540, Product_Master!$A$2:$A$101, Product_Master!$C$2:$C$101)</f>
        <v>Accessories</v>
      </c>
      <c r="K540">
        <f>_xlfn.XLOOKUP(E540, Product_Master!$A$2:$A$101, Product_Master!$D$2:$D$101)</f>
        <v>9000</v>
      </c>
      <c r="L540">
        <f>_xlfn.XLOOKUP(E540, Product_Master!$A$2:$A$101, Product_Master!$E$2:$E$101)</f>
        <v>12000</v>
      </c>
      <c r="M540">
        <f t="shared" si="41"/>
        <v>12000</v>
      </c>
      <c r="N540">
        <f t="shared" si="42"/>
        <v>9000</v>
      </c>
      <c r="O540">
        <f t="shared" si="43"/>
        <v>3000</v>
      </c>
      <c r="P540" s="3">
        <f t="shared" si="44"/>
        <v>0.25</v>
      </c>
      <c r="Q540" s="3" t="str">
        <v>High Profit</v>
      </c>
    </row>
    <row r="541" spans="1:17" x14ac:dyDescent="0.3">
      <c r="A541" t="s">
        <v>988</v>
      </c>
      <c r="B541" s="2">
        <v>45905</v>
      </c>
      <c r="C541" s="2" t="str">
        <f t="shared" si="40"/>
        <v>September</v>
      </c>
      <c r="D541" t="s">
        <v>290</v>
      </c>
      <c r="E541" t="s">
        <v>434</v>
      </c>
      <c r="F541">
        <v>5</v>
      </c>
      <c r="G541" t="s">
        <v>16</v>
      </c>
      <c r="H541" t="s">
        <v>27</v>
      </c>
      <c r="I541" t="s">
        <v>346</v>
      </c>
      <c r="J541" t="str">
        <f>_xlfn.XLOOKUP(E541, Product_Master!$A$2:$A$101, Product_Master!$C$2:$C$101)</f>
        <v>Accessories</v>
      </c>
      <c r="K541">
        <f>_xlfn.XLOOKUP(E541, Product_Master!$A$2:$A$101, Product_Master!$D$2:$D$101)</f>
        <v>9000</v>
      </c>
      <c r="L541">
        <f>_xlfn.XLOOKUP(E541, Product_Master!$A$2:$A$101, Product_Master!$E$2:$E$101)</f>
        <v>12000</v>
      </c>
      <c r="M541">
        <f t="shared" si="41"/>
        <v>60000</v>
      </c>
      <c r="N541">
        <f t="shared" si="42"/>
        <v>45000</v>
      </c>
      <c r="O541">
        <f t="shared" si="43"/>
        <v>15000</v>
      </c>
      <c r="P541" s="3">
        <f t="shared" si="44"/>
        <v>0.25</v>
      </c>
      <c r="Q541" s="3" t="str">
        <v>High Profit</v>
      </c>
    </row>
    <row r="542" spans="1:17" x14ac:dyDescent="0.3">
      <c r="A542" t="s">
        <v>989</v>
      </c>
      <c r="B542" s="2">
        <v>45712</v>
      </c>
      <c r="C542" s="2" t="str">
        <f t="shared" si="40"/>
        <v>February</v>
      </c>
      <c r="D542" t="s">
        <v>40</v>
      </c>
      <c r="E542" t="s">
        <v>418</v>
      </c>
      <c r="F542">
        <v>5</v>
      </c>
      <c r="G542" t="s">
        <v>4</v>
      </c>
      <c r="H542" t="s">
        <v>20</v>
      </c>
      <c r="I542" t="s">
        <v>329</v>
      </c>
      <c r="J542" t="str">
        <f>_xlfn.XLOOKUP(E542, Product_Master!$A$2:$A$101, Product_Master!$C$2:$C$101)</f>
        <v>Electronics</v>
      </c>
      <c r="K542">
        <f>_xlfn.XLOOKUP(E542, Product_Master!$A$2:$A$101, Product_Master!$D$2:$D$101)</f>
        <v>20000</v>
      </c>
      <c r="L542">
        <f>_xlfn.XLOOKUP(E542, Product_Master!$A$2:$A$101, Product_Master!$E$2:$E$101)</f>
        <v>25000</v>
      </c>
      <c r="M542">
        <f t="shared" si="41"/>
        <v>125000</v>
      </c>
      <c r="N542">
        <f t="shared" si="42"/>
        <v>100000</v>
      </c>
      <c r="O542">
        <f t="shared" si="43"/>
        <v>25000</v>
      </c>
      <c r="P542" s="3">
        <f t="shared" si="44"/>
        <v>0.2</v>
      </c>
      <c r="Q542" s="3" t="str">
        <v>Low Profit</v>
      </c>
    </row>
    <row r="543" spans="1:17" x14ac:dyDescent="0.3">
      <c r="A543" t="s">
        <v>990</v>
      </c>
      <c r="B543" s="2">
        <v>45766</v>
      </c>
      <c r="C543" s="2" t="str">
        <f t="shared" si="40"/>
        <v>April</v>
      </c>
      <c r="D543" t="s">
        <v>284</v>
      </c>
      <c r="E543" t="s">
        <v>416</v>
      </c>
      <c r="F543">
        <v>3</v>
      </c>
      <c r="G543" t="s">
        <v>7</v>
      </c>
      <c r="H543" t="s">
        <v>5</v>
      </c>
      <c r="I543" t="s">
        <v>340</v>
      </c>
      <c r="J543" t="str">
        <f>_xlfn.XLOOKUP(E543, Product_Master!$A$2:$A$101, Product_Master!$C$2:$C$101)</f>
        <v>Electronics</v>
      </c>
      <c r="K543">
        <f>_xlfn.XLOOKUP(E543, Product_Master!$A$2:$A$101, Product_Master!$D$2:$D$101)</f>
        <v>42000</v>
      </c>
      <c r="L543">
        <f>_xlfn.XLOOKUP(E543, Product_Master!$A$2:$A$101, Product_Master!$E$2:$E$101)</f>
        <v>50000</v>
      </c>
      <c r="M543">
        <f t="shared" si="41"/>
        <v>150000</v>
      </c>
      <c r="N543">
        <f t="shared" si="42"/>
        <v>126000</v>
      </c>
      <c r="O543">
        <f t="shared" si="43"/>
        <v>24000</v>
      </c>
      <c r="P543" s="3">
        <f t="shared" si="44"/>
        <v>0.16</v>
      </c>
      <c r="Q543" s="3" t="str">
        <v>Low Profit</v>
      </c>
    </row>
    <row r="544" spans="1:17" x14ac:dyDescent="0.3">
      <c r="A544" t="s">
        <v>991</v>
      </c>
      <c r="B544" s="2">
        <v>45832</v>
      </c>
      <c r="C544" s="2" t="str">
        <f t="shared" si="40"/>
        <v>June</v>
      </c>
      <c r="D544" t="s">
        <v>182</v>
      </c>
      <c r="E544" t="s">
        <v>394</v>
      </c>
      <c r="F544">
        <v>2</v>
      </c>
      <c r="G544" t="s">
        <v>37</v>
      </c>
      <c r="H544" t="s">
        <v>8</v>
      </c>
      <c r="I544" t="s">
        <v>332</v>
      </c>
      <c r="J544" t="str">
        <f>_xlfn.XLOOKUP(E544, Product_Master!$A$2:$A$101, Product_Master!$C$2:$C$101)</f>
        <v>Accessories</v>
      </c>
      <c r="K544">
        <f>_xlfn.XLOOKUP(E544, Product_Master!$A$2:$A$101, Product_Master!$D$2:$D$101)</f>
        <v>500</v>
      </c>
      <c r="L544">
        <f>_xlfn.XLOOKUP(E544, Product_Master!$A$2:$A$101, Product_Master!$E$2:$E$101)</f>
        <v>800</v>
      </c>
      <c r="M544">
        <f t="shared" si="41"/>
        <v>1600</v>
      </c>
      <c r="N544">
        <f t="shared" si="42"/>
        <v>1000</v>
      </c>
      <c r="O544">
        <f t="shared" si="43"/>
        <v>600</v>
      </c>
      <c r="P544" s="3">
        <f t="shared" si="44"/>
        <v>0.375</v>
      </c>
      <c r="Q544" s="3" t="str">
        <v>High Profit</v>
      </c>
    </row>
    <row r="545" spans="1:17" x14ac:dyDescent="0.3">
      <c r="A545" t="s">
        <v>992</v>
      </c>
      <c r="B545" s="2">
        <v>45851</v>
      </c>
      <c r="C545" s="2" t="str">
        <f t="shared" si="40"/>
        <v>July</v>
      </c>
      <c r="D545" t="s">
        <v>80</v>
      </c>
      <c r="E545" t="s">
        <v>379</v>
      </c>
      <c r="F545">
        <v>5</v>
      </c>
      <c r="G545" t="s">
        <v>37</v>
      </c>
      <c r="H545" t="s">
        <v>27</v>
      </c>
      <c r="I545" t="s">
        <v>346</v>
      </c>
      <c r="J545" t="str">
        <f>_xlfn.XLOOKUP(E545, Product_Master!$A$2:$A$101, Product_Master!$C$2:$C$101)</f>
        <v>Accessories</v>
      </c>
      <c r="K545">
        <f>_xlfn.XLOOKUP(E545, Product_Master!$A$2:$A$101, Product_Master!$D$2:$D$101)</f>
        <v>9000</v>
      </c>
      <c r="L545">
        <f>_xlfn.XLOOKUP(E545, Product_Master!$A$2:$A$101, Product_Master!$E$2:$E$101)</f>
        <v>12000</v>
      </c>
      <c r="M545">
        <f t="shared" si="41"/>
        <v>60000</v>
      </c>
      <c r="N545">
        <f t="shared" si="42"/>
        <v>45000</v>
      </c>
      <c r="O545">
        <f t="shared" si="43"/>
        <v>15000</v>
      </c>
      <c r="P545" s="3">
        <f t="shared" si="44"/>
        <v>0.25</v>
      </c>
      <c r="Q545" s="3" t="str">
        <v>High Profit</v>
      </c>
    </row>
    <row r="546" spans="1:17" x14ac:dyDescent="0.3">
      <c r="A546" t="s">
        <v>993</v>
      </c>
      <c r="B546" s="2">
        <v>45952</v>
      </c>
      <c r="C546" s="2" t="str">
        <f t="shared" si="40"/>
        <v>October</v>
      </c>
      <c r="D546" t="s">
        <v>247</v>
      </c>
      <c r="E546" t="s">
        <v>351</v>
      </c>
      <c r="F546">
        <v>4</v>
      </c>
      <c r="G546" t="s">
        <v>7</v>
      </c>
      <c r="H546" t="s">
        <v>1455</v>
      </c>
      <c r="I546" t="s">
        <v>332</v>
      </c>
      <c r="J546" t="str">
        <f>_xlfn.XLOOKUP(E546, Product_Master!$A$2:$A$101, Product_Master!$C$2:$C$101)</f>
        <v>Accessories</v>
      </c>
      <c r="K546">
        <f>_xlfn.XLOOKUP(E546, Product_Master!$A$2:$A$101, Product_Master!$D$2:$D$101)</f>
        <v>500</v>
      </c>
      <c r="L546">
        <f>_xlfn.XLOOKUP(E546, Product_Master!$A$2:$A$101, Product_Master!$E$2:$E$101)</f>
        <v>800</v>
      </c>
      <c r="M546">
        <f t="shared" si="41"/>
        <v>3200</v>
      </c>
      <c r="N546">
        <f t="shared" si="42"/>
        <v>2000</v>
      </c>
      <c r="O546">
        <f t="shared" si="43"/>
        <v>1200</v>
      </c>
      <c r="P546" s="3">
        <f t="shared" si="44"/>
        <v>0.375</v>
      </c>
      <c r="Q546" s="3" t="str">
        <v>High Profit</v>
      </c>
    </row>
    <row r="547" spans="1:17" x14ac:dyDescent="0.3">
      <c r="A547" t="s">
        <v>994</v>
      </c>
      <c r="B547" s="2">
        <v>45765</v>
      </c>
      <c r="C547" s="2" t="str">
        <f t="shared" si="40"/>
        <v>April</v>
      </c>
      <c r="D547" t="s">
        <v>58</v>
      </c>
      <c r="E547" t="s">
        <v>398</v>
      </c>
      <c r="F547">
        <v>3</v>
      </c>
      <c r="G547" t="s">
        <v>45</v>
      </c>
      <c r="H547" t="s">
        <v>14</v>
      </c>
      <c r="I547" t="s">
        <v>344</v>
      </c>
      <c r="J547" t="str">
        <f>_xlfn.XLOOKUP(E547, Product_Master!$A$2:$A$101, Product_Master!$C$2:$C$101)</f>
        <v>Accessories</v>
      </c>
      <c r="K547">
        <f>_xlfn.XLOOKUP(E547, Product_Master!$A$2:$A$101, Product_Master!$D$2:$D$101)</f>
        <v>2000</v>
      </c>
      <c r="L547">
        <f>_xlfn.XLOOKUP(E547, Product_Master!$A$2:$A$101, Product_Master!$E$2:$E$101)</f>
        <v>3000</v>
      </c>
      <c r="M547">
        <f t="shared" si="41"/>
        <v>9000</v>
      </c>
      <c r="N547">
        <f t="shared" si="42"/>
        <v>6000</v>
      </c>
      <c r="O547">
        <f t="shared" si="43"/>
        <v>3000</v>
      </c>
      <c r="P547" s="3">
        <f t="shared" si="44"/>
        <v>0.33333333333333331</v>
      </c>
      <c r="Q547" s="3" t="str">
        <v>High Profit</v>
      </c>
    </row>
    <row r="548" spans="1:17" x14ac:dyDescent="0.3">
      <c r="A548" t="s">
        <v>995</v>
      </c>
      <c r="B548" s="2">
        <v>45879</v>
      </c>
      <c r="C548" s="2" t="str">
        <f t="shared" si="40"/>
        <v>August</v>
      </c>
      <c r="D548" t="s">
        <v>51</v>
      </c>
      <c r="E548" t="s">
        <v>386</v>
      </c>
      <c r="F548">
        <v>4</v>
      </c>
      <c r="G548" t="s">
        <v>7</v>
      </c>
      <c r="H548" t="s">
        <v>27</v>
      </c>
      <c r="I548" t="s">
        <v>335</v>
      </c>
      <c r="J548" t="str">
        <f>_xlfn.XLOOKUP(E548, Product_Master!$A$2:$A$101, Product_Master!$C$2:$C$101)</f>
        <v>Accessories</v>
      </c>
      <c r="K548">
        <f>_xlfn.XLOOKUP(E548, Product_Master!$A$2:$A$101, Product_Master!$D$2:$D$101)</f>
        <v>900</v>
      </c>
      <c r="L548">
        <f>_xlfn.XLOOKUP(E548, Product_Master!$A$2:$A$101, Product_Master!$E$2:$E$101)</f>
        <v>1500</v>
      </c>
      <c r="M548">
        <f t="shared" si="41"/>
        <v>6000</v>
      </c>
      <c r="N548">
        <f t="shared" si="42"/>
        <v>3600</v>
      </c>
      <c r="O548">
        <f t="shared" si="43"/>
        <v>2400</v>
      </c>
      <c r="P548" s="3">
        <f t="shared" si="44"/>
        <v>0.4</v>
      </c>
      <c r="Q548" s="3" t="str">
        <v>High Profit</v>
      </c>
    </row>
    <row r="549" spans="1:17" x14ac:dyDescent="0.3">
      <c r="A549" t="s">
        <v>996</v>
      </c>
      <c r="B549" s="2">
        <v>45896</v>
      </c>
      <c r="C549" s="2" t="str">
        <f t="shared" si="40"/>
        <v>August</v>
      </c>
      <c r="D549" t="s">
        <v>145</v>
      </c>
      <c r="E549" t="s">
        <v>402</v>
      </c>
      <c r="F549">
        <v>3</v>
      </c>
      <c r="G549" t="s">
        <v>45</v>
      </c>
      <c r="H549" t="s">
        <v>17</v>
      </c>
      <c r="I549" t="s">
        <v>332</v>
      </c>
      <c r="J549" t="str">
        <f>_xlfn.XLOOKUP(E549, Product_Master!$A$2:$A$101, Product_Master!$C$2:$C$101)</f>
        <v>Accessories</v>
      </c>
      <c r="K549">
        <f>_xlfn.XLOOKUP(E549, Product_Master!$A$2:$A$101, Product_Master!$D$2:$D$101)</f>
        <v>500</v>
      </c>
      <c r="L549">
        <f>_xlfn.XLOOKUP(E549, Product_Master!$A$2:$A$101, Product_Master!$E$2:$E$101)</f>
        <v>800</v>
      </c>
      <c r="M549">
        <f t="shared" si="41"/>
        <v>2400</v>
      </c>
      <c r="N549">
        <f t="shared" si="42"/>
        <v>1500</v>
      </c>
      <c r="O549">
        <f t="shared" si="43"/>
        <v>900</v>
      </c>
      <c r="P549" s="3">
        <f t="shared" si="44"/>
        <v>0.375</v>
      </c>
      <c r="Q549" s="3" t="str">
        <v>High Profit</v>
      </c>
    </row>
    <row r="550" spans="1:17" x14ac:dyDescent="0.3">
      <c r="A550" t="s">
        <v>997</v>
      </c>
      <c r="B550" s="2">
        <v>46009</v>
      </c>
      <c r="C550" s="2" t="str">
        <f t="shared" si="40"/>
        <v>December</v>
      </c>
      <c r="D550" t="s">
        <v>177</v>
      </c>
      <c r="E550" t="s">
        <v>416</v>
      </c>
      <c r="F550">
        <v>2</v>
      </c>
      <c r="G550" t="s">
        <v>22</v>
      </c>
      <c r="H550" t="s">
        <v>27</v>
      </c>
      <c r="I550" t="s">
        <v>340</v>
      </c>
      <c r="J550" t="str">
        <f>_xlfn.XLOOKUP(E550, Product_Master!$A$2:$A$101, Product_Master!$C$2:$C$101)</f>
        <v>Electronics</v>
      </c>
      <c r="K550">
        <f>_xlfn.XLOOKUP(E550, Product_Master!$A$2:$A$101, Product_Master!$D$2:$D$101)</f>
        <v>42000</v>
      </c>
      <c r="L550">
        <f>_xlfn.XLOOKUP(E550, Product_Master!$A$2:$A$101, Product_Master!$E$2:$E$101)</f>
        <v>50000</v>
      </c>
      <c r="M550">
        <f t="shared" si="41"/>
        <v>100000</v>
      </c>
      <c r="N550">
        <f t="shared" si="42"/>
        <v>84000</v>
      </c>
      <c r="O550">
        <f t="shared" si="43"/>
        <v>16000</v>
      </c>
      <c r="P550" s="3">
        <f t="shared" si="44"/>
        <v>0.16</v>
      </c>
      <c r="Q550" s="3" t="str">
        <v>Low Profit</v>
      </c>
    </row>
    <row r="551" spans="1:17" x14ac:dyDescent="0.3">
      <c r="A551" t="s">
        <v>998</v>
      </c>
      <c r="B551" s="2">
        <v>45720</v>
      </c>
      <c r="C551" s="2" t="str">
        <f t="shared" si="40"/>
        <v>March</v>
      </c>
      <c r="D551" t="s">
        <v>164</v>
      </c>
      <c r="E551" t="s">
        <v>364</v>
      </c>
      <c r="F551">
        <v>3</v>
      </c>
      <c r="G551" t="s">
        <v>45</v>
      </c>
      <c r="H551" t="s">
        <v>14</v>
      </c>
      <c r="I551" t="s">
        <v>346</v>
      </c>
      <c r="J551" t="str">
        <f>_xlfn.XLOOKUP(E551, Product_Master!$A$2:$A$101, Product_Master!$C$2:$C$101)</f>
        <v>Accessories</v>
      </c>
      <c r="K551">
        <f>_xlfn.XLOOKUP(E551, Product_Master!$A$2:$A$101, Product_Master!$D$2:$D$101)</f>
        <v>9000</v>
      </c>
      <c r="L551">
        <f>_xlfn.XLOOKUP(E551, Product_Master!$A$2:$A$101, Product_Master!$E$2:$E$101)</f>
        <v>12000</v>
      </c>
      <c r="M551">
        <f t="shared" si="41"/>
        <v>36000</v>
      </c>
      <c r="N551">
        <f t="shared" si="42"/>
        <v>27000</v>
      </c>
      <c r="O551">
        <f t="shared" si="43"/>
        <v>9000</v>
      </c>
      <c r="P551" s="3">
        <f t="shared" si="44"/>
        <v>0.25</v>
      </c>
      <c r="Q551" s="3" t="str">
        <v>High Profit</v>
      </c>
    </row>
    <row r="552" spans="1:17" x14ac:dyDescent="0.3">
      <c r="A552" t="s">
        <v>999</v>
      </c>
      <c r="B552" s="2">
        <v>46006</v>
      </c>
      <c r="C552" s="2" t="str">
        <f t="shared" si="40"/>
        <v>December</v>
      </c>
      <c r="D552" t="s">
        <v>156</v>
      </c>
      <c r="E552" t="s">
        <v>363</v>
      </c>
      <c r="F552">
        <v>4</v>
      </c>
      <c r="G552" t="s">
        <v>4</v>
      </c>
      <c r="H552" t="s">
        <v>20</v>
      </c>
      <c r="I552" t="s">
        <v>346</v>
      </c>
      <c r="J552" t="str">
        <f>_xlfn.XLOOKUP(E552, Product_Master!$A$2:$A$101, Product_Master!$C$2:$C$101)</f>
        <v>Accessories</v>
      </c>
      <c r="K552">
        <f>_xlfn.XLOOKUP(E552, Product_Master!$A$2:$A$101, Product_Master!$D$2:$D$101)</f>
        <v>9000</v>
      </c>
      <c r="L552">
        <f>_xlfn.XLOOKUP(E552, Product_Master!$A$2:$A$101, Product_Master!$E$2:$E$101)</f>
        <v>12000</v>
      </c>
      <c r="M552">
        <f t="shared" si="41"/>
        <v>48000</v>
      </c>
      <c r="N552">
        <f t="shared" si="42"/>
        <v>36000</v>
      </c>
      <c r="O552">
        <f t="shared" si="43"/>
        <v>12000</v>
      </c>
      <c r="P552" s="3">
        <f t="shared" si="44"/>
        <v>0.25</v>
      </c>
      <c r="Q552" s="3" t="str">
        <v>High Profit</v>
      </c>
    </row>
    <row r="553" spans="1:17" x14ac:dyDescent="0.3">
      <c r="A553" t="s">
        <v>1000</v>
      </c>
      <c r="B553" s="2">
        <v>45794</v>
      </c>
      <c r="C553" s="2" t="str">
        <f t="shared" si="40"/>
        <v>May</v>
      </c>
      <c r="D553" t="s">
        <v>127</v>
      </c>
      <c r="E553" t="s">
        <v>402</v>
      </c>
      <c r="F553">
        <v>2</v>
      </c>
      <c r="G553" t="s">
        <v>37</v>
      </c>
      <c r="H553" t="s">
        <v>17</v>
      </c>
      <c r="I553" t="s">
        <v>332</v>
      </c>
      <c r="J553" t="str">
        <f>_xlfn.XLOOKUP(E553, Product_Master!$A$2:$A$101, Product_Master!$C$2:$C$101)</f>
        <v>Accessories</v>
      </c>
      <c r="K553">
        <f>_xlfn.XLOOKUP(E553, Product_Master!$A$2:$A$101, Product_Master!$D$2:$D$101)</f>
        <v>500</v>
      </c>
      <c r="L553">
        <f>_xlfn.XLOOKUP(E553, Product_Master!$A$2:$A$101, Product_Master!$E$2:$E$101)</f>
        <v>800</v>
      </c>
      <c r="M553">
        <f t="shared" si="41"/>
        <v>1600</v>
      </c>
      <c r="N553">
        <f t="shared" si="42"/>
        <v>1000</v>
      </c>
      <c r="O553">
        <f t="shared" si="43"/>
        <v>600</v>
      </c>
      <c r="P553" s="3">
        <f t="shared" si="44"/>
        <v>0.375</v>
      </c>
      <c r="Q553" s="3" t="str">
        <v>High Profit</v>
      </c>
    </row>
    <row r="554" spans="1:17" x14ac:dyDescent="0.3">
      <c r="A554" t="s">
        <v>1001</v>
      </c>
      <c r="B554" s="2">
        <v>45688</v>
      </c>
      <c r="C554" s="2" t="str">
        <f t="shared" si="40"/>
        <v>January</v>
      </c>
      <c r="D554" t="s">
        <v>30</v>
      </c>
      <c r="E554" t="s">
        <v>422</v>
      </c>
      <c r="F554">
        <v>2</v>
      </c>
      <c r="G554" t="s">
        <v>24</v>
      </c>
      <c r="H554" t="s">
        <v>31</v>
      </c>
      <c r="I554" t="s">
        <v>332</v>
      </c>
      <c r="J554" t="str">
        <f>_xlfn.XLOOKUP(E554, Product_Master!$A$2:$A$101, Product_Master!$C$2:$C$101)</f>
        <v>Accessories</v>
      </c>
      <c r="K554">
        <f>_xlfn.XLOOKUP(E554, Product_Master!$A$2:$A$101, Product_Master!$D$2:$D$101)</f>
        <v>500</v>
      </c>
      <c r="L554">
        <f>_xlfn.XLOOKUP(E554, Product_Master!$A$2:$A$101, Product_Master!$E$2:$E$101)</f>
        <v>800</v>
      </c>
      <c r="M554">
        <f t="shared" si="41"/>
        <v>1600</v>
      </c>
      <c r="N554">
        <f t="shared" si="42"/>
        <v>1000</v>
      </c>
      <c r="O554">
        <f t="shared" si="43"/>
        <v>600</v>
      </c>
      <c r="P554" s="3">
        <f t="shared" si="44"/>
        <v>0.375</v>
      </c>
      <c r="Q554" s="3" t="str">
        <v>High Profit</v>
      </c>
    </row>
    <row r="555" spans="1:17" x14ac:dyDescent="0.3">
      <c r="A555" t="s">
        <v>1002</v>
      </c>
      <c r="B555" s="2">
        <v>45731</v>
      </c>
      <c r="C555" s="2" t="str">
        <f t="shared" si="40"/>
        <v>March</v>
      </c>
      <c r="D555" t="s">
        <v>148</v>
      </c>
      <c r="E555" t="s">
        <v>375</v>
      </c>
      <c r="F555">
        <v>2</v>
      </c>
      <c r="G555" t="s">
        <v>4</v>
      </c>
      <c r="H555" t="s">
        <v>5</v>
      </c>
      <c r="I555" t="s">
        <v>329</v>
      </c>
      <c r="J555" t="str">
        <f>_xlfn.XLOOKUP(E555, Product_Master!$A$2:$A$101, Product_Master!$C$2:$C$101)</f>
        <v>Electronics</v>
      </c>
      <c r="K555">
        <f>_xlfn.XLOOKUP(E555, Product_Master!$A$2:$A$101, Product_Master!$D$2:$D$101)</f>
        <v>20000</v>
      </c>
      <c r="L555">
        <f>_xlfn.XLOOKUP(E555, Product_Master!$A$2:$A$101, Product_Master!$E$2:$E$101)</f>
        <v>25000</v>
      </c>
      <c r="M555">
        <f t="shared" si="41"/>
        <v>50000</v>
      </c>
      <c r="N555">
        <f t="shared" si="42"/>
        <v>40000</v>
      </c>
      <c r="O555">
        <f t="shared" si="43"/>
        <v>10000</v>
      </c>
      <c r="P555" s="3">
        <f t="shared" si="44"/>
        <v>0.2</v>
      </c>
      <c r="Q555" s="3" t="str">
        <v>Low Profit</v>
      </c>
    </row>
    <row r="556" spans="1:17" x14ac:dyDescent="0.3">
      <c r="A556" t="s">
        <v>1003</v>
      </c>
      <c r="B556" s="2">
        <v>45930</v>
      </c>
      <c r="C556" s="2" t="str">
        <f t="shared" si="40"/>
        <v>September</v>
      </c>
      <c r="D556" t="s">
        <v>163</v>
      </c>
      <c r="E556" t="s">
        <v>339</v>
      </c>
      <c r="F556">
        <v>2</v>
      </c>
      <c r="G556" t="s">
        <v>24</v>
      </c>
      <c r="H556" t="s">
        <v>31</v>
      </c>
      <c r="I556" t="s">
        <v>340</v>
      </c>
      <c r="J556" t="str">
        <f>_xlfn.XLOOKUP(E556, Product_Master!$A$2:$A$101, Product_Master!$C$2:$C$101)</f>
        <v>Electronics</v>
      </c>
      <c r="K556">
        <f>_xlfn.XLOOKUP(E556, Product_Master!$A$2:$A$101, Product_Master!$D$2:$D$101)</f>
        <v>42000</v>
      </c>
      <c r="L556">
        <f>_xlfn.XLOOKUP(E556, Product_Master!$A$2:$A$101, Product_Master!$E$2:$E$101)</f>
        <v>50000</v>
      </c>
      <c r="M556">
        <f t="shared" si="41"/>
        <v>100000</v>
      </c>
      <c r="N556">
        <f t="shared" si="42"/>
        <v>84000</v>
      </c>
      <c r="O556">
        <f t="shared" si="43"/>
        <v>16000</v>
      </c>
      <c r="P556" s="3">
        <f t="shared" si="44"/>
        <v>0.16</v>
      </c>
      <c r="Q556" s="3" t="str">
        <v>Low Profit</v>
      </c>
    </row>
    <row r="557" spans="1:17" x14ac:dyDescent="0.3">
      <c r="A557" t="s">
        <v>1004</v>
      </c>
      <c r="B557" s="2">
        <v>45698</v>
      </c>
      <c r="C557" s="2" t="str">
        <f t="shared" si="40"/>
        <v>February</v>
      </c>
      <c r="D557" t="s">
        <v>294</v>
      </c>
      <c r="E557" t="s">
        <v>384</v>
      </c>
      <c r="F557">
        <v>5</v>
      </c>
      <c r="G557" t="s">
        <v>4</v>
      </c>
      <c r="H557" t="s">
        <v>27</v>
      </c>
      <c r="I557" t="s">
        <v>353</v>
      </c>
      <c r="J557" t="str">
        <f>_xlfn.XLOOKUP(E557, Product_Master!$A$2:$A$101, Product_Master!$C$2:$C$101)</f>
        <v>Electronics</v>
      </c>
      <c r="K557">
        <f>_xlfn.XLOOKUP(E557, Product_Master!$A$2:$A$101, Product_Master!$D$2:$D$101)</f>
        <v>12000</v>
      </c>
      <c r="L557">
        <f>_xlfn.XLOOKUP(E557, Product_Master!$A$2:$A$101, Product_Master!$E$2:$E$101)</f>
        <v>15000</v>
      </c>
      <c r="M557">
        <f t="shared" si="41"/>
        <v>75000</v>
      </c>
      <c r="N557">
        <f t="shared" si="42"/>
        <v>60000</v>
      </c>
      <c r="O557">
        <f t="shared" si="43"/>
        <v>15000</v>
      </c>
      <c r="P557" s="3">
        <f t="shared" si="44"/>
        <v>0.2</v>
      </c>
      <c r="Q557" s="3" t="str">
        <v>Low Profit</v>
      </c>
    </row>
    <row r="558" spans="1:17" x14ac:dyDescent="0.3">
      <c r="A558" t="s">
        <v>1005</v>
      </c>
      <c r="B558" s="2">
        <v>45850</v>
      </c>
      <c r="C558" s="2" t="str">
        <f t="shared" si="40"/>
        <v>July</v>
      </c>
      <c r="D558" t="s">
        <v>92</v>
      </c>
      <c r="E558" t="s">
        <v>352</v>
      </c>
      <c r="F558">
        <v>1</v>
      </c>
      <c r="G558" t="s">
        <v>24</v>
      </c>
      <c r="H558" t="s">
        <v>17</v>
      </c>
      <c r="I558" t="s">
        <v>353</v>
      </c>
      <c r="J558" t="str">
        <f>_xlfn.XLOOKUP(E558, Product_Master!$A$2:$A$101, Product_Master!$C$2:$C$101)</f>
        <v>Electronics</v>
      </c>
      <c r="K558">
        <f>_xlfn.XLOOKUP(E558, Product_Master!$A$2:$A$101, Product_Master!$D$2:$D$101)</f>
        <v>12000</v>
      </c>
      <c r="L558">
        <f>_xlfn.XLOOKUP(E558, Product_Master!$A$2:$A$101, Product_Master!$E$2:$E$101)</f>
        <v>15000</v>
      </c>
      <c r="M558">
        <f t="shared" si="41"/>
        <v>15000</v>
      </c>
      <c r="N558">
        <f t="shared" si="42"/>
        <v>12000</v>
      </c>
      <c r="O558">
        <f t="shared" si="43"/>
        <v>3000</v>
      </c>
      <c r="P558" s="3">
        <f t="shared" si="44"/>
        <v>0.2</v>
      </c>
      <c r="Q558" s="3" t="str">
        <v>Low Profit</v>
      </c>
    </row>
    <row r="559" spans="1:17" x14ac:dyDescent="0.3">
      <c r="A559" t="s">
        <v>1006</v>
      </c>
      <c r="B559" s="2">
        <v>45937</v>
      </c>
      <c r="C559" s="2" t="str">
        <f t="shared" si="40"/>
        <v>October</v>
      </c>
      <c r="D559" t="s">
        <v>42</v>
      </c>
      <c r="E559" t="s">
        <v>425</v>
      </c>
      <c r="F559">
        <v>1</v>
      </c>
      <c r="G559" t="s">
        <v>10</v>
      </c>
      <c r="H559" t="s">
        <v>27</v>
      </c>
      <c r="I559" t="s">
        <v>337</v>
      </c>
      <c r="J559" t="str">
        <f>_xlfn.XLOOKUP(E559, Product_Master!$A$2:$A$101, Product_Master!$C$2:$C$101)</f>
        <v>Electronics</v>
      </c>
      <c r="K559">
        <f>_xlfn.XLOOKUP(E559, Product_Master!$A$2:$A$101, Product_Master!$D$2:$D$101)</f>
        <v>15000</v>
      </c>
      <c r="L559">
        <f>_xlfn.XLOOKUP(E559, Product_Master!$A$2:$A$101, Product_Master!$E$2:$E$101)</f>
        <v>18000</v>
      </c>
      <c r="M559">
        <f t="shared" si="41"/>
        <v>18000</v>
      </c>
      <c r="N559">
        <f t="shared" si="42"/>
        <v>15000</v>
      </c>
      <c r="O559">
        <f t="shared" si="43"/>
        <v>3000</v>
      </c>
      <c r="P559" s="3">
        <f t="shared" si="44"/>
        <v>0.16666666666666666</v>
      </c>
      <c r="Q559" s="3" t="str">
        <v>Low Profit</v>
      </c>
    </row>
    <row r="560" spans="1:17" x14ac:dyDescent="0.3">
      <c r="A560" t="s">
        <v>1007</v>
      </c>
      <c r="B560" s="2">
        <v>45730</v>
      </c>
      <c r="C560" s="2" t="str">
        <f t="shared" si="40"/>
        <v>March</v>
      </c>
      <c r="D560" t="s">
        <v>84</v>
      </c>
      <c r="E560" t="s">
        <v>331</v>
      </c>
      <c r="F560">
        <v>4</v>
      </c>
      <c r="G560" t="s">
        <v>22</v>
      </c>
      <c r="H560" t="s">
        <v>17</v>
      </c>
      <c r="I560" t="s">
        <v>332</v>
      </c>
      <c r="J560" t="str">
        <f>_xlfn.XLOOKUP(E560, Product_Master!$A$2:$A$101, Product_Master!$C$2:$C$101)</f>
        <v>Accessories</v>
      </c>
      <c r="K560">
        <f>_xlfn.XLOOKUP(E560, Product_Master!$A$2:$A$101, Product_Master!$D$2:$D$101)</f>
        <v>500</v>
      </c>
      <c r="L560">
        <f>_xlfn.XLOOKUP(E560, Product_Master!$A$2:$A$101, Product_Master!$E$2:$E$101)</f>
        <v>800</v>
      </c>
      <c r="M560">
        <f t="shared" si="41"/>
        <v>3200</v>
      </c>
      <c r="N560">
        <f t="shared" si="42"/>
        <v>2000</v>
      </c>
      <c r="O560">
        <f t="shared" si="43"/>
        <v>1200</v>
      </c>
      <c r="P560" s="3">
        <f t="shared" si="44"/>
        <v>0.375</v>
      </c>
      <c r="Q560" s="3" t="str">
        <v>High Profit</v>
      </c>
    </row>
    <row r="561" spans="1:17" x14ac:dyDescent="0.3">
      <c r="A561" t="s">
        <v>1008</v>
      </c>
      <c r="B561" s="2">
        <v>45667</v>
      </c>
      <c r="C561" s="2" t="str">
        <f t="shared" si="40"/>
        <v>January</v>
      </c>
      <c r="D561" t="s">
        <v>172</v>
      </c>
      <c r="E561" t="s">
        <v>406</v>
      </c>
      <c r="F561">
        <v>5</v>
      </c>
      <c r="G561" t="s">
        <v>10</v>
      </c>
      <c r="H561" t="s">
        <v>39</v>
      </c>
      <c r="I561" t="s">
        <v>344</v>
      </c>
      <c r="J561" t="str">
        <f>_xlfn.XLOOKUP(E561, Product_Master!$A$2:$A$101, Product_Master!$C$2:$C$101)</f>
        <v>Accessories</v>
      </c>
      <c r="K561">
        <f>_xlfn.XLOOKUP(E561, Product_Master!$A$2:$A$101, Product_Master!$D$2:$D$101)</f>
        <v>2000</v>
      </c>
      <c r="L561">
        <f>_xlfn.XLOOKUP(E561, Product_Master!$A$2:$A$101, Product_Master!$E$2:$E$101)</f>
        <v>3000</v>
      </c>
      <c r="M561">
        <f t="shared" si="41"/>
        <v>15000</v>
      </c>
      <c r="N561">
        <f t="shared" si="42"/>
        <v>10000</v>
      </c>
      <c r="O561">
        <f t="shared" si="43"/>
        <v>5000</v>
      </c>
      <c r="P561" s="3">
        <f t="shared" si="44"/>
        <v>0.33333333333333331</v>
      </c>
      <c r="Q561" s="3" t="str">
        <v>High Profit</v>
      </c>
    </row>
    <row r="562" spans="1:17" x14ac:dyDescent="0.3">
      <c r="A562" t="s">
        <v>1009</v>
      </c>
      <c r="B562" s="2">
        <v>45805</v>
      </c>
      <c r="C562" s="2" t="str">
        <f t="shared" si="40"/>
        <v>May</v>
      </c>
      <c r="D562" t="s">
        <v>291</v>
      </c>
      <c r="E562" t="s">
        <v>351</v>
      </c>
      <c r="F562">
        <v>5</v>
      </c>
      <c r="G562" t="s">
        <v>19</v>
      </c>
      <c r="H562" t="s">
        <v>31</v>
      </c>
      <c r="I562" t="s">
        <v>332</v>
      </c>
      <c r="J562" t="str">
        <f>_xlfn.XLOOKUP(E562, Product_Master!$A$2:$A$101, Product_Master!$C$2:$C$101)</f>
        <v>Accessories</v>
      </c>
      <c r="K562">
        <f>_xlfn.XLOOKUP(E562, Product_Master!$A$2:$A$101, Product_Master!$D$2:$D$101)</f>
        <v>500</v>
      </c>
      <c r="L562">
        <f>_xlfn.XLOOKUP(E562, Product_Master!$A$2:$A$101, Product_Master!$E$2:$E$101)</f>
        <v>800</v>
      </c>
      <c r="M562">
        <f t="shared" si="41"/>
        <v>4000</v>
      </c>
      <c r="N562">
        <f t="shared" si="42"/>
        <v>2500</v>
      </c>
      <c r="O562">
        <f t="shared" si="43"/>
        <v>1500</v>
      </c>
      <c r="P562" s="3">
        <f t="shared" si="44"/>
        <v>0.375</v>
      </c>
      <c r="Q562" s="3" t="str">
        <v>High Profit</v>
      </c>
    </row>
    <row r="563" spans="1:17" x14ac:dyDescent="0.3">
      <c r="A563" t="s">
        <v>1010</v>
      </c>
      <c r="B563" s="2">
        <v>45814</v>
      </c>
      <c r="C563" s="2" t="str">
        <f t="shared" si="40"/>
        <v>June</v>
      </c>
      <c r="D563" t="s">
        <v>77</v>
      </c>
      <c r="E563" t="s">
        <v>397</v>
      </c>
      <c r="F563">
        <v>2</v>
      </c>
      <c r="G563" t="s">
        <v>37</v>
      </c>
      <c r="H563" t="s">
        <v>31</v>
      </c>
      <c r="I563" t="s">
        <v>344</v>
      </c>
      <c r="J563" t="str">
        <f>_xlfn.XLOOKUP(E563, Product_Master!$A$2:$A$101, Product_Master!$C$2:$C$101)</f>
        <v>Accessories</v>
      </c>
      <c r="K563">
        <f>_xlfn.XLOOKUP(E563, Product_Master!$A$2:$A$101, Product_Master!$D$2:$D$101)</f>
        <v>2000</v>
      </c>
      <c r="L563">
        <f>_xlfn.XLOOKUP(E563, Product_Master!$A$2:$A$101, Product_Master!$E$2:$E$101)</f>
        <v>3000</v>
      </c>
      <c r="M563">
        <f t="shared" si="41"/>
        <v>6000</v>
      </c>
      <c r="N563">
        <f t="shared" si="42"/>
        <v>4000</v>
      </c>
      <c r="O563">
        <f t="shared" si="43"/>
        <v>2000</v>
      </c>
      <c r="P563" s="3">
        <f t="shared" si="44"/>
        <v>0.33333333333333331</v>
      </c>
      <c r="Q563" s="3" t="str">
        <v>High Profit</v>
      </c>
    </row>
    <row r="564" spans="1:17" x14ac:dyDescent="0.3">
      <c r="A564" t="s">
        <v>1011</v>
      </c>
      <c r="B564" s="2">
        <v>45913</v>
      </c>
      <c r="C564" s="2" t="str">
        <f t="shared" si="40"/>
        <v>September</v>
      </c>
      <c r="D564" t="s">
        <v>62</v>
      </c>
      <c r="E564" t="s">
        <v>443</v>
      </c>
      <c r="F564">
        <v>5</v>
      </c>
      <c r="G564" t="s">
        <v>37</v>
      </c>
      <c r="H564" t="s">
        <v>8</v>
      </c>
      <c r="I564" t="s">
        <v>344</v>
      </c>
      <c r="J564" t="str">
        <f>_xlfn.XLOOKUP(E564, Product_Master!$A$2:$A$101, Product_Master!$C$2:$C$101)</f>
        <v>Accessories</v>
      </c>
      <c r="K564">
        <f>_xlfn.XLOOKUP(E564, Product_Master!$A$2:$A$101, Product_Master!$D$2:$D$101)</f>
        <v>2000</v>
      </c>
      <c r="L564">
        <f>_xlfn.XLOOKUP(E564, Product_Master!$A$2:$A$101, Product_Master!$E$2:$E$101)</f>
        <v>3000</v>
      </c>
      <c r="M564">
        <f t="shared" si="41"/>
        <v>15000</v>
      </c>
      <c r="N564">
        <f t="shared" si="42"/>
        <v>10000</v>
      </c>
      <c r="O564">
        <f t="shared" si="43"/>
        <v>5000</v>
      </c>
      <c r="P564" s="3">
        <f t="shared" si="44"/>
        <v>0.33333333333333331</v>
      </c>
      <c r="Q564" s="3" t="str">
        <v>High Profit</v>
      </c>
    </row>
    <row r="565" spans="1:17" x14ac:dyDescent="0.3">
      <c r="A565" t="s">
        <v>1012</v>
      </c>
      <c r="B565" s="2">
        <v>45986</v>
      </c>
      <c r="C565" s="2" t="str">
        <f t="shared" si="40"/>
        <v>November</v>
      </c>
      <c r="D565" t="s">
        <v>177</v>
      </c>
      <c r="E565" t="s">
        <v>433</v>
      </c>
      <c r="F565">
        <v>5</v>
      </c>
      <c r="G565" t="s">
        <v>22</v>
      </c>
      <c r="H565" t="s">
        <v>27</v>
      </c>
      <c r="I565" t="s">
        <v>353</v>
      </c>
      <c r="J565" t="str">
        <f>_xlfn.XLOOKUP(E565, Product_Master!$A$2:$A$101, Product_Master!$C$2:$C$101)</f>
        <v>Electronics</v>
      </c>
      <c r="K565">
        <f>_xlfn.XLOOKUP(E565, Product_Master!$A$2:$A$101, Product_Master!$D$2:$D$101)</f>
        <v>12000</v>
      </c>
      <c r="L565">
        <f>_xlfn.XLOOKUP(E565, Product_Master!$A$2:$A$101, Product_Master!$E$2:$E$101)</f>
        <v>15000</v>
      </c>
      <c r="M565">
        <f t="shared" si="41"/>
        <v>75000</v>
      </c>
      <c r="N565">
        <f t="shared" si="42"/>
        <v>60000</v>
      </c>
      <c r="O565">
        <f t="shared" si="43"/>
        <v>15000</v>
      </c>
      <c r="P565" s="3">
        <f t="shared" si="44"/>
        <v>0.2</v>
      </c>
      <c r="Q565" s="3" t="str">
        <v>Low Profit</v>
      </c>
    </row>
    <row r="566" spans="1:17" x14ac:dyDescent="0.3">
      <c r="A566" t="s">
        <v>1013</v>
      </c>
      <c r="B566" s="2">
        <v>45770</v>
      </c>
      <c r="C566" s="2" t="str">
        <f t="shared" si="40"/>
        <v>April</v>
      </c>
      <c r="D566" t="s">
        <v>226</v>
      </c>
      <c r="E566" t="s">
        <v>367</v>
      </c>
      <c r="F566">
        <v>1</v>
      </c>
      <c r="G566" t="s">
        <v>10</v>
      </c>
      <c r="H566" t="s">
        <v>14</v>
      </c>
      <c r="I566" t="s">
        <v>344</v>
      </c>
      <c r="J566" t="str">
        <f>_xlfn.XLOOKUP(E566, Product_Master!$A$2:$A$101, Product_Master!$C$2:$C$101)</f>
        <v>Accessories</v>
      </c>
      <c r="K566">
        <f>_xlfn.XLOOKUP(E566, Product_Master!$A$2:$A$101, Product_Master!$D$2:$D$101)</f>
        <v>2000</v>
      </c>
      <c r="L566">
        <f>_xlfn.XLOOKUP(E566, Product_Master!$A$2:$A$101, Product_Master!$E$2:$E$101)</f>
        <v>3000</v>
      </c>
      <c r="M566">
        <f t="shared" si="41"/>
        <v>3000</v>
      </c>
      <c r="N566">
        <f t="shared" si="42"/>
        <v>2000</v>
      </c>
      <c r="O566">
        <f t="shared" si="43"/>
        <v>1000</v>
      </c>
      <c r="P566" s="3">
        <f t="shared" si="44"/>
        <v>0.33333333333333331</v>
      </c>
      <c r="Q566" s="3" t="str">
        <v>High Profit</v>
      </c>
    </row>
    <row r="567" spans="1:17" x14ac:dyDescent="0.3">
      <c r="A567" t="s">
        <v>1014</v>
      </c>
      <c r="B567" s="2">
        <v>45714</v>
      </c>
      <c r="C567" s="2" t="str">
        <f t="shared" si="40"/>
        <v>February</v>
      </c>
      <c r="D567" t="s">
        <v>117</v>
      </c>
      <c r="E567" t="s">
        <v>366</v>
      </c>
      <c r="F567">
        <v>5</v>
      </c>
      <c r="G567" t="s">
        <v>47</v>
      </c>
      <c r="H567" t="s">
        <v>8</v>
      </c>
      <c r="I567" t="s">
        <v>340</v>
      </c>
      <c r="J567" t="str">
        <f>_xlfn.XLOOKUP(E567, Product_Master!$A$2:$A$101, Product_Master!$C$2:$C$101)</f>
        <v>Electronics</v>
      </c>
      <c r="K567">
        <f>_xlfn.XLOOKUP(E567, Product_Master!$A$2:$A$101, Product_Master!$D$2:$D$101)</f>
        <v>42000</v>
      </c>
      <c r="L567">
        <f>_xlfn.XLOOKUP(E567, Product_Master!$A$2:$A$101, Product_Master!$E$2:$E$101)</f>
        <v>50000</v>
      </c>
      <c r="M567">
        <f t="shared" si="41"/>
        <v>250000</v>
      </c>
      <c r="N567">
        <f t="shared" si="42"/>
        <v>210000</v>
      </c>
      <c r="O567">
        <f t="shared" si="43"/>
        <v>40000</v>
      </c>
      <c r="P567" s="3">
        <f t="shared" si="44"/>
        <v>0.16</v>
      </c>
      <c r="Q567" s="3" t="str">
        <v>Low Profit</v>
      </c>
    </row>
    <row r="568" spans="1:17" x14ac:dyDescent="0.3">
      <c r="A568" t="s">
        <v>1015</v>
      </c>
      <c r="B568" s="2">
        <v>45658</v>
      </c>
      <c r="C568" s="2" t="str">
        <f t="shared" si="40"/>
        <v>January</v>
      </c>
      <c r="D568" t="s">
        <v>133</v>
      </c>
      <c r="E568" t="s">
        <v>347</v>
      </c>
      <c r="F568">
        <v>4</v>
      </c>
      <c r="G568" t="s">
        <v>29</v>
      </c>
      <c r="H568" t="s">
        <v>39</v>
      </c>
      <c r="I568" t="s">
        <v>335</v>
      </c>
      <c r="J568" t="str">
        <f>_xlfn.XLOOKUP(E568, Product_Master!$A$2:$A$101, Product_Master!$C$2:$C$101)</f>
        <v>Accessories</v>
      </c>
      <c r="K568">
        <f>_xlfn.XLOOKUP(E568, Product_Master!$A$2:$A$101, Product_Master!$D$2:$D$101)</f>
        <v>900</v>
      </c>
      <c r="L568">
        <f>_xlfn.XLOOKUP(E568, Product_Master!$A$2:$A$101, Product_Master!$E$2:$E$101)</f>
        <v>1500</v>
      </c>
      <c r="M568">
        <f t="shared" si="41"/>
        <v>6000</v>
      </c>
      <c r="N568">
        <f t="shared" si="42"/>
        <v>3600</v>
      </c>
      <c r="O568">
        <f t="shared" si="43"/>
        <v>2400</v>
      </c>
      <c r="P568" s="3">
        <f t="shared" si="44"/>
        <v>0.4</v>
      </c>
      <c r="Q568" s="3" t="str">
        <v>High Profit</v>
      </c>
    </row>
    <row r="569" spans="1:17" x14ac:dyDescent="0.3">
      <c r="A569" t="s">
        <v>1016</v>
      </c>
      <c r="B569" s="2">
        <v>46002</v>
      </c>
      <c r="C569" s="2" t="str">
        <f t="shared" si="40"/>
        <v>December</v>
      </c>
      <c r="D569" t="s">
        <v>270</v>
      </c>
      <c r="E569" t="s">
        <v>442</v>
      </c>
      <c r="F569">
        <v>3</v>
      </c>
      <c r="G569" t="s">
        <v>16</v>
      </c>
      <c r="H569" t="s">
        <v>5</v>
      </c>
      <c r="I569" t="s">
        <v>335</v>
      </c>
      <c r="J569" t="str">
        <f>_xlfn.XLOOKUP(E569, Product_Master!$A$2:$A$101, Product_Master!$C$2:$C$101)</f>
        <v>Accessories</v>
      </c>
      <c r="K569">
        <f>_xlfn.XLOOKUP(E569, Product_Master!$A$2:$A$101, Product_Master!$D$2:$D$101)</f>
        <v>900</v>
      </c>
      <c r="L569">
        <f>_xlfn.XLOOKUP(E569, Product_Master!$A$2:$A$101, Product_Master!$E$2:$E$101)</f>
        <v>1500</v>
      </c>
      <c r="M569">
        <f t="shared" si="41"/>
        <v>4500</v>
      </c>
      <c r="N569">
        <f t="shared" si="42"/>
        <v>2700</v>
      </c>
      <c r="O569">
        <f t="shared" si="43"/>
        <v>1800</v>
      </c>
      <c r="P569" s="3">
        <f t="shared" si="44"/>
        <v>0.4</v>
      </c>
      <c r="Q569" s="3" t="str">
        <v>High Profit</v>
      </c>
    </row>
    <row r="570" spans="1:17" x14ac:dyDescent="0.3">
      <c r="A570" t="s">
        <v>1017</v>
      </c>
      <c r="B570" s="2">
        <v>45939</v>
      </c>
      <c r="C570" s="2" t="str">
        <f t="shared" si="40"/>
        <v>October</v>
      </c>
      <c r="D570" t="s">
        <v>229</v>
      </c>
      <c r="E570" t="s">
        <v>381</v>
      </c>
      <c r="F570">
        <v>4</v>
      </c>
      <c r="G570" t="s">
        <v>37</v>
      </c>
      <c r="H570" t="s">
        <v>14</v>
      </c>
      <c r="I570" t="s">
        <v>329</v>
      </c>
      <c r="J570" t="str">
        <f>_xlfn.XLOOKUP(E570, Product_Master!$A$2:$A$101, Product_Master!$C$2:$C$101)</f>
        <v>Electronics</v>
      </c>
      <c r="K570">
        <f>_xlfn.XLOOKUP(E570, Product_Master!$A$2:$A$101, Product_Master!$D$2:$D$101)</f>
        <v>20000</v>
      </c>
      <c r="L570">
        <f>_xlfn.XLOOKUP(E570, Product_Master!$A$2:$A$101, Product_Master!$E$2:$E$101)</f>
        <v>25000</v>
      </c>
      <c r="M570">
        <f t="shared" si="41"/>
        <v>100000</v>
      </c>
      <c r="N570">
        <f t="shared" si="42"/>
        <v>80000</v>
      </c>
      <c r="O570">
        <f t="shared" si="43"/>
        <v>20000</v>
      </c>
      <c r="P570" s="3">
        <f t="shared" si="44"/>
        <v>0.2</v>
      </c>
      <c r="Q570" s="3" t="str">
        <v>Low Profit</v>
      </c>
    </row>
    <row r="571" spans="1:17" x14ac:dyDescent="0.3">
      <c r="A571" t="s">
        <v>1018</v>
      </c>
      <c r="B571" s="2">
        <v>45879</v>
      </c>
      <c r="C571" s="2" t="str">
        <f t="shared" si="40"/>
        <v>August</v>
      </c>
      <c r="D571" t="s">
        <v>314</v>
      </c>
      <c r="E571" t="s">
        <v>338</v>
      </c>
      <c r="F571">
        <v>2</v>
      </c>
      <c r="G571" t="s">
        <v>22</v>
      </c>
      <c r="H571" t="s">
        <v>8</v>
      </c>
      <c r="I571" t="s">
        <v>332</v>
      </c>
      <c r="J571" t="str">
        <f>_xlfn.XLOOKUP(E571, Product_Master!$A$2:$A$101, Product_Master!$C$2:$C$101)</f>
        <v>Accessories</v>
      </c>
      <c r="K571">
        <f>_xlfn.XLOOKUP(E571, Product_Master!$A$2:$A$101, Product_Master!$D$2:$D$101)</f>
        <v>500</v>
      </c>
      <c r="L571">
        <f>_xlfn.XLOOKUP(E571, Product_Master!$A$2:$A$101, Product_Master!$E$2:$E$101)</f>
        <v>800</v>
      </c>
      <c r="M571">
        <f t="shared" si="41"/>
        <v>1600</v>
      </c>
      <c r="N571">
        <f t="shared" si="42"/>
        <v>1000</v>
      </c>
      <c r="O571">
        <f t="shared" si="43"/>
        <v>600</v>
      </c>
      <c r="P571" s="3">
        <f t="shared" si="44"/>
        <v>0.375</v>
      </c>
      <c r="Q571" s="3" t="str">
        <v>High Profit</v>
      </c>
    </row>
    <row r="572" spans="1:17" x14ac:dyDescent="0.3">
      <c r="A572" t="s">
        <v>1019</v>
      </c>
      <c r="B572" s="2">
        <v>45848</v>
      </c>
      <c r="C572" s="2" t="str">
        <f t="shared" si="40"/>
        <v>July</v>
      </c>
      <c r="D572" t="s">
        <v>284</v>
      </c>
      <c r="E572" t="s">
        <v>437</v>
      </c>
      <c r="F572">
        <v>3</v>
      </c>
      <c r="G572" t="s">
        <v>7</v>
      </c>
      <c r="H572" t="s">
        <v>5</v>
      </c>
      <c r="I572" t="s">
        <v>344</v>
      </c>
      <c r="J572" t="str">
        <f>_xlfn.XLOOKUP(E572, Product_Master!$A$2:$A$101, Product_Master!$C$2:$C$101)</f>
        <v>Accessories</v>
      </c>
      <c r="K572">
        <f>_xlfn.XLOOKUP(E572, Product_Master!$A$2:$A$101, Product_Master!$D$2:$D$101)</f>
        <v>2000</v>
      </c>
      <c r="L572">
        <f>_xlfn.XLOOKUP(E572, Product_Master!$A$2:$A$101, Product_Master!$E$2:$E$101)</f>
        <v>3000</v>
      </c>
      <c r="M572">
        <f t="shared" si="41"/>
        <v>9000</v>
      </c>
      <c r="N572">
        <f t="shared" si="42"/>
        <v>6000</v>
      </c>
      <c r="O572">
        <f t="shared" si="43"/>
        <v>3000</v>
      </c>
      <c r="P572" s="3">
        <f t="shared" si="44"/>
        <v>0.33333333333333331</v>
      </c>
      <c r="Q572" s="3" t="str">
        <v>High Profit</v>
      </c>
    </row>
    <row r="573" spans="1:17" x14ac:dyDescent="0.3">
      <c r="A573" t="s">
        <v>1020</v>
      </c>
      <c r="B573" s="2">
        <v>45698</v>
      </c>
      <c r="C573" s="2" t="str">
        <f t="shared" si="40"/>
        <v>February</v>
      </c>
      <c r="D573" t="s">
        <v>291</v>
      </c>
      <c r="E573" t="s">
        <v>347</v>
      </c>
      <c r="F573">
        <v>5</v>
      </c>
      <c r="G573" t="s">
        <v>19</v>
      </c>
      <c r="H573" t="s">
        <v>31</v>
      </c>
      <c r="I573" t="s">
        <v>335</v>
      </c>
      <c r="J573" t="str">
        <f>_xlfn.XLOOKUP(E573, Product_Master!$A$2:$A$101, Product_Master!$C$2:$C$101)</f>
        <v>Accessories</v>
      </c>
      <c r="K573">
        <f>_xlfn.XLOOKUP(E573, Product_Master!$A$2:$A$101, Product_Master!$D$2:$D$101)</f>
        <v>900</v>
      </c>
      <c r="L573">
        <f>_xlfn.XLOOKUP(E573, Product_Master!$A$2:$A$101, Product_Master!$E$2:$E$101)</f>
        <v>1500</v>
      </c>
      <c r="M573">
        <f t="shared" si="41"/>
        <v>7500</v>
      </c>
      <c r="N573">
        <f t="shared" si="42"/>
        <v>4500</v>
      </c>
      <c r="O573">
        <f t="shared" si="43"/>
        <v>3000</v>
      </c>
      <c r="P573" s="3">
        <f t="shared" si="44"/>
        <v>0.4</v>
      </c>
      <c r="Q573" s="3" t="str">
        <v>High Profit</v>
      </c>
    </row>
    <row r="574" spans="1:17" x14ac:dyDescent="0.3">
      <c r="A574" t="s">
        <v>1021</v>
      </c>
      <c r="B574" s="2">
        <v>45779</v>
      </c>
      <c r="C574" s="2" t="str">
        <f t="shared" si="40"/>
        <v>May</v>
      </c>
      <c r="D574" t="s">
        <v>123</v>
      </c>
      <c r="E574" t="s">
        <v>438</v>
      </c>
      <c r="F574">
        <v>3</v>
      </c>
      <c r="G574" t="s">
        <v>22</v>
      </c>
      <c r="H574" t="s">
        <v>27</v>
      </c>
      <c r="I574" t="s">
        <v>329</v>
      </c>
      <c r="J574" t="str">
        <f>_xlfn.XLOOKUP(E574, Product_Master!$A$2:$A$101, Product_Master!$C$2:$C$101)</f>
        <v>Electronics</v>
      </c>
      <c r="K574">
        <f>_xlfn.XLOOKUP(E574, Product_Master!$A$2:$A$101, Product_Master!$D$2:$D$101)</f>
        <v>20000</v>
      </c>
      <c r="L574">
        <f>_xlfn.XLOOKUP(E574, Product_Master!$A$2:$A$101, Product_Master!$E$2:$E$101)</f>
        <v>25000</v>
      </c>
      <c r="M574">
        <f t="shared" si="41"/>
        <v>75000</v>
      </c>
      <c r="N574">
        <f t="shared" si="42"/>
        <v>60000</v>
      </c>
      <c r="O574">
        <f t="shared" si="43"/>
        <v>15000</v>
      </c>
      <c r="P574" s="3">
        <f t="shared" si="44"/>
        <v>0.2</v>
      </c>
      <c r="Q574" s="3" t="str">
        <v>Low Profit</v>
      </c>
    </row>
    <row r="575" spans="1:17" x14ac:dyDescent="0.3">
      <c r="A575" t="s">
        <v>1022</v>
      </c>
      <c r="B575" s="2">
        <v>45721</v>
      </c>
      <c r="C575" s="2" t="str">
        <f t="shared" si="40"/>
        <v>March</v>
      </c>
      <c r="D575" t="s">
        <v>272</v>
      </c>
      <c r="E575" t="s">
        <v>385</v>
      </c>
      <c r="F575">
        <v>1</v>
      </c>
      <c r="G575" t="s">
        <v>7</v>
      </c>
      <c r="H575" t="s">
        <v>17</v>
      </c>
      <c r="I575" t="s">
        <v>340</v>
      </c>
      <c r="J575" t="str">
        <f>_xlfn.XLOOKUP(E575, Product_Master!$A$2:$A$101, Product_Master!$C$2:$C$101)</f>
        <v>Electronics</v>
      </c>
      <c r="K575">
        <f>_xlfn.XLOOKUP(E575, Product_Master!$A$2:$A$101, Product_Master!$D$2:$D$101)</f>
        <v>42000</v>
      </c>
      <c r="L575">
        <f>_xlfn.XLOOKUP(E575, Product_Master!$A$2:$A$101, Product_Master!$E$2:$E$101)</f>
        <v>50000</v>
      </c>
      <c r="M575">
        <f t="shared" si="41"/>
        <v>50000</v>
      </c>
      <c r="N575">
        <f t="shared" si="42"/>
        <v>42000</v>
      </c>
      <c r="O575">
        <f t="shared" si="43"/>
        <v>8000</v>
      </c>
      <c r="P575" s="3">
        <f t="shared" si="44"/>
        <v>0.16</v>
      </c>
      <c r="Q575" s="3" t="str">
        <v>Low Profit</v>
      </c>
    </row>
    <row r="576" spans="1:17" x14ac:dyDescent="0.3">
      <c r="A576" t="s">
        <v>1023</v>
      </c>
      <c r="B576" s="2">
        <v>45722</v>
      </c>
      <c r="C576" s="2" t="str">
        <f t="shared" si="40"/>
        <v>March</v>
      </c>
      <c r="D576" t="s">
        <v>196</v>
      </c>
      <c r="E576" t="s">
        <v>417</v>
      </c>
      <c r="F576">
        <v>4</v>
      </c>
      <c r="G576" t="s">
        <v>37</v>
      </c>
      <c r="H576" t="s">
        <v>5</v>
      </c>
      <c r="I576" t="s">
        <v>335</v>
      </c>
      <c r="J576" t="str">
        <f>_xlfn.XLOOKUP(E576, Product_Master!$A$2:$A$101, Product_Master!$C$2:$C$101)</f>
        <v>Accessories</v>
      </c>
      <c r="K576">
        <f>_xlfn.XLOOKUP(E576, Product_Master!$A$2:$A$101, Product_Master!$D$2:$D$101)</f>
        <v>900</v>
      </c>
      <c r="L576">
        <f>_xlfn.XLOOKUP(E576, Product_Master!$A$2:$A$101, Product_Master!$E$2:$E$101)</f>
        <v>1500</v>
      </c>
      <c r="M576">
        <f t="shared" si="41"/>
        <v>6000</v>
      </c>
      <c r="N576">
        <f t="shared" si="42"/>
        <v>3600</v>
      </c>
      <c r="O576">
        <f t="shared" si="43"/>
        <v>2400</v>
      </c>
      <c r="P576" s="3">
        <f t="shared" si="44"/>
        <v>0.4</v>
      </c>
      <c r="Q576" s="3" t="str">
        <v>High Profit</v>
      </c>
    </row>
    <row r="577" spans="1:17" x14ac:dyDescent="0.3">
      <c r="A577" t="s">
        <v>1024</v>
      </c>
      <c r="B577" s="2">
        <v>45868</v>
      </c>
      <c r="C577" s="2" t="str">
        <f t="shared" si="40"/>
        <v>July</v>
      </c>
      <c r="D577" t="s">
        <v>171</v>
      </c>
      <c r="E577" t="s">
        <v>365</v>
      </c>
      <c r="F577">
        <v>3</v>
      </c>
      <c r="G577" t="s">
        <v>19</v>
      </c>
      <c r="H577" t="s">
        <v>14</v>
      </c>
      <c r="I577" t="s">
        <v>340</v>
      </c>
      <c r="J577" t="str">
        <f>_xlfn.XLOOKUP(E577, Product_Master!$A$2:$A$101, Product_Master!$C$2:$C$101)</f>
        <v>Electronics</v>
      </c>
      <c r="K577">
        <f>_xlfn.XLOOKUP(E577, Product_Master!$A$2:$A$101, Product_Master!$D$2:$D$101)</f>
        <v>42000</v>
      </c>
      <c r="L577">
        <f>_xlfn.XLOOKUP(E577, Product_Master!$A$2:$A$101, Product_Master!$E$2:$E$101)</f>
        <v>50000</v>
      </c>
      <c r="M577">
        <f t="shared" si="41"/>
        <v>150000</v>
      </c>
      <c r="N577">
        <f t="shared" si="42"/>
        <v>126000</v>
      </c>
      <c r="O577">
        <f t="shared" si="43"/>
        <v>24000</v>
      </c>
      <c r="P577" s="3">
        <f t="shared" si="44"/>
        <v>0.16</v>
      </c>
      <c r="Q577" s="3" t="str">
        <v>Low Profit</v>
      </c>
    </row>
    <row r="578" spans="1:17" x14ac:dyDescent="0.3">
      <c r="A578" t="s">
        <v>1025</v>
      </c>
      <c r="B578" s="2">
        <v>45789</v>
      </c>
      <c r="C578" s="2" t="str">
        <f t="shared" si="40"/>
        <v>May</v>
      </c>
      <c r="D578" t="s">
        <v>257</v>
      </c>
      <c r="E578" t="s">
        <v>423</v>
      </c>
      <c r="F578">
        <v>4</v>
      </c>
      <c r="G578" t="s">
        <v>19</v>
      </c>
      <c r="H578" t="s">
        <v>5</v>
      </c>
      <c r="I578" t="s">
        <v>335</v>
      </c>
      <c r="J578" t="str">
        <f>_xlfn.XLOOKUP(E578, Product_Master!$A$2:$A$101, Product_Master!$C$2:$C$101)</f>
        <v>Accessories</v>
      </c>
      <c r="K578">
        <f>_xlfn.XLOOKUP(E578, Product_Master!$A$2:$A$101, Product_Master!$D$2:$D$101)</f>
        <v>900</v>
      </c>
      <c r="L578">
        <f>_xlfn.XLOOKUP(E578, Product_Master!$A$2:$A$101, Product_Master!$E$2:$E$101)</f>
        <v>1500</v>
      </c>
      <c r="M578">
        <f t="shared" si="41"/>
        <v>6000</v>
      </c>
      <c r="N578">
        <f t="shared" si="42"/>
        <v>3600</v>
      </c>
      <c r="O578">
        <f t="shared" si="43"/>
        <v>2400</v>
      </c>
      <c r="P578" s="3">
        <f t="shared" si="44"/>
        <v>0.4</v>
      </c>
      <c r="Q578" s="3" t="str">
        <v>High Profit</v>
      </c>
    </row>
    <row r="579" spans="1:17" x14ac:dyDescent="0.3">
      <c r="A579" t="s">
        <v>1026</v>
      </c>
      <c r="B579" s="2">
        <v>45888</v>
      </c>
      <c r="C579" s="2" t="str">
        <f t="shared" ref="C579:C642" si="45">TEXT(B579,"MMMM")</f>
        <v>August</v>
      </c>
      <c r="D579" t="s">
        <v>202</v>
      </c>
      <c r="E579" t="s">
        <v>394</v>
      </c>
      <c r="F579">
        <v>5</v>
      </c>
      <c r="G579" t="s">
        <v>4</v>
      </c>
      <c r="H579" t="s">
        <v>20</v>
      </c>
      <c r="I579" t="s">
        <v>332</v>
      </c>
      <c r="J579" t="str">
        <f>_xlfn.XLOOKUP(E579, Product_Master!$A$2:$A$101, Product_Master!$C$2:$C$101)</f>
        <v>Accessories</v>
      </c>
      <c r="K579">
        <f>_xlfn.XLOOKUP(E579, Product_Master!$A$2:$A$101, Product_Master!$D$2:$D$101)</f>
        <v>500</v>
      </c>
      <c r="L579">
        <f>_xlfn.XLOOKUP(E579, Product_Master!$A$2:$A$101, Product_Master!$E$2:$E$101)</f>
        <v>800</v>
      </c>
      <c r="M579">
        <f t="shared" ref="M579:M642" si="46">F579*L579</f>
        <v>4000</v>
      </c>
      <c r="N579">
        <f t="shared" ref="N579:N642" si="47">F579*K579</f>
        <v>2500</v>
      </c>
      <c r="O579">
        <f t="shared" ref="O579:O642" si="48">M579-N579</f>
        <v>1500</v>
      </c>
      <c r="P579" s="3">
        <f t="shared" ref="P579:P642" si="49">O579/M579</f>
        <v>0.375</v>
      </c>
      <c r="Q579" s="3" t="str">
        <v>High Profit</v>
      </c>
    </row>
    <row r="580" spans="1:17" x14ac:dyDescent="0.3">
      <c r="A580" t="s">
        <v>1027</v>
      </c>
      <c r="B580" s="2">
        <v>45840</v>
      </c>
      <c r="C580" s="2" t="str">
        <f t="shared" si="45"/>
        <v>July</v>
      </c>
      <c r="D580" t="s">
        <v>75</v>
      </c>
      <c r="E580" t="s">
        <v>443</v>
      </c>
      <c r="F580">
        <v>2</v>
      </c>
      <c r="G580" t="s">
        <v>29</v>
      </c>
      <c r="H580" t="s">
        <v>31</v>
      </c>
      <c r="I580" t="s">
        <v>344</v>
      </c>
      <c r="J580" t="str">
        <f>_xlfn.XLOOKUP(E580, Product_Master!$A$2:$A$101, Product_Master!$C$2:$C$101)</f>
        <v>Accessories</v>
      </c>
      <c r="K580">
        <f>_xlfn.XLOOKUP(E580, Product_Master!$A$2:$A$101, Product_Master!$D$2:$D$101)</f>
        <v>2000</v>
      </c>
      <c r="L580">
        <f>_xlfn.XLOOKUP(E580, Product_Master!$A$2:$A$101, Product_Master!$E$2:$E$101)</f>
        <v>3000</v>
      </c>
      <c r="M580">
        <f t="shared" si="46"/>
        <v>6000</v>
      </c>
      <c r="N580">
        <f t="shared" si="47"/>
        <v>4000</v>
      </c>
      <c r="O580">
        <f t="shared" si="48"/>
        <v>2000</v>
      </c>
      <c r="P580" s="3">
        <f t="shared" si="49"/>
        <v>0.33333333333333331</v>
      </c>
      <c r="Q580" s="3" t="str">
        <v>High Profit</v>
      </c>
    </row>
    <row r="581" spans="1:17" x14ac:dyDescent="0.3">
      <c r="A581" t="s">
        <v>1028</v>
      </c>
      <c r="B581" s="2">
        <v>45959</v>
      </c>
      <c r="C581" s="2" t="str">
        <f t="shared" si="45"/>
        <v>October</v>
      </c>
      <c r="D581" t="s">
        <v>93</v>
      </c>
      <c r="E581" t="s">
        <v>328</v>
      </c>
      <c r="F581">
        <v>4</v>
      </c>
      <c r="G581" t="s">
        <v>45</v>
      </c>
      <c r="H581" t="s">
        <v>14</v>
      </c>
      <c r="I581" t="s">
        <v>329</v>
      </c>
      <c r="J581" t="str">
        <f>_xlfn.XLOOKUP(E581, Product_Master!$A$2:$A$101, Product_Master!$C$2:$C$101)</f>
        <v>Electronics</v>
      </c>
      <c r="K581">
        <f>_xlfn.XLOOKUP(E581, Product_Master!$A$2:$A$101, Product_Master!$D$2:$D$101)</f>
        <v>20000</v>
      </c>
      <c r="L581">
        <f>_xlfn.XLOOKUP(E581, Product_Master!$A$2:$A$101, Product_Master!$E$2:$E$101)</f>
        <v>25000</v>
      </c>
      <c r="M581">
        <f t="shared" si="46"/>
        <v>100000</v>
      </c>
      <c r="N581">
        <f t="shared" si="47"/>
        <v>80000</v>
      </c>
      <c r="O581">
        <f t="shared" si="48"/>
        <v>20000</v>
      </c>
      <c r="P581" s="3">
        <f t="shared" si="49"/>
        <v>0.2</v>
      </c>
      <c r="Q581" s="3" t="str">
        <v>Low Profit</v>
      </c>
    </row>
    <row r="582" spans="1:17" x14ac:dyDescent="0.3">
      <c r="A582" t="s">
        <v>1029</v>
      </c>
      <c r="B582" s="2">
        <v>45791</v>
      </c>
      <c r="C582" s="2" t="str">
        <f t="shared" si="45"/>
        <v>May</v>
      </c>
      <c r="D582" t="s">
        <v>202</v>
      </c>
      <c r="E582" t="s">
        <v>385</v>
      </c>
      <c r="F582">
        <v>3</v>
      </c>
      <c r="G582" t="s">
        <v>4</v>
      </c>
      <c r="H582" t="s">
        <v>20</v>
      </c>
      <c r="I582" t="s">
        <v>340</v>
      </c>
      <c r="J582" t="str">
        <f>_xlfn.XLOOKUP(E582, Product_Master!$A$2:$A$101, Product_Master!$C$2:$C$101)</f>
        <v>Electronics</v>
      </c>
      <c r="K582">
        <f>_xlfn.XLOOKUP(E582, Product_Master!$A$2:$A$101, Product_Master!$D$2:$D$101)</f>
        <v>42000</v>
      </c>
      <c r="L582">
        <f>_xlfn.XLOOKUP(E582, Product_Master!$A$2:$A$101, Product_Master!$E$2:$E$101)</f>
        <v>50000</v>
      </c>
      <c r="M582">
        <f t="shared" si="46"/>
        <v>150000</v>
      </c>
      <c r="N582">
        <f t="shared" si="47"/>
        <v>126000</v>
      </c>
      <c r="O582">
        <f t="shared" si="48"/>
        <v>24000</v>
      </c>
      <c r="P582" s="3">
        <f t="shared" si="49"/>
        <v>0.16</v>
      </c>
      <c r="Q582" s="3" t="str">
        <v>Low Profit</v>
      </c>
    </row>
    <row r="583" spans="1:17" x14ac:dyDescent="0.3">
      <c r="A583" t="s">
        <v>1030</v>
      </c>
      <c r="B583" s="2">
        <v>45886</v>
      </c>
      <c r="C583" s="2" t="str">
        <f t="shared" si="45"/>
        <v>August</v>
      </c>
      <c r="D583" t="s">
        <v>98</v>
      </c>
      <c r="E583" t="s">
        <v>385</v>
      </c>
      <c r="F583">
        <v>5</v>
      </c>
      <c r="G583" t="s">
        <v>29</v>
      </c>
      <c r="H583" t="s">
        <v>14</v>
      </c>
      <c r="I583" t="s">
        <v>340</v>
      </c>
      <c r="J583" t="str">
        <f>_xlfn.XLOOKUP(E583, Product_Master!$A$2:$A$101, Product_Master!$C$2:$C$101)</f>
        <v>Electronics</v>
      </c>
      <c r="K583">
        <f>_xlfn.XLOOKUP(E583, Product_Master!$A$2:$A$101, Product_Master!$D$2:$D$101)</f>
        <v>42000</v>
      </c>
      <c r="L583">
        <f>_xlfn.XLOOKUP(E583, Product_Master!$A$2:$A$101, Product_Master!$E$2:$E$101)</f>
        <v>50000</v>
      </c>
      <c r="M583">
        <f t="shared" si="46"/>
        <v>250000</v>
      </c>
      <c r="N583">
        <f t="shared" si="47"/>
        <v>210000</v>
      </c>
      <c r="O583">
        <f t="shared" si="48"/>
        <v>40000</v>
      </c>
      <c r="P583" s="3">
        <f t="shared" si="49"/>
        <v>0.16</v>
      </c>
      <c r="Q583" s="3" t="str">
        <v>Low Profit</v>
      </c>
    </row>
    <row r="584" spans="1:17" x14ac:dyDescent="0.3">
      <c r="A584" t="s">
        <v>1031</v>
      </c>
      <c r="B584" s="2">
        <v>45882</v>
      </c>
      <c r="C584" s="2" t="str">
        <f t="shared" si="45"/>
        <v>August</v>
      </c>
      <c r="D584" t="s">
        <v>265</v>
      </c>
      <c r="E584" t="s">
        <v>435</v>
      </c>
      <c r="F584">
        <v>5</v>
      </c>
      <c r="G584" t="s">
        <v>10</v>
      </c>
      <c r="H584" t="s">
        <v>39</v>
      </c>
      <c r="I584" t="s">
        <v>346</v>
      </c>
      <c r="J584" t="str">
        <f>_xlfn.XLOOKUP(E584, Product_Master!$A$2:$A$101, Product_Master!$C$2:$C$101)</f>
        <v>Accessories</v>
      </c>
      <c r="K584">
        <f>_xlfn.XLOOKUP(E584, Product_Master!$A$2:$A$101, Product_Master!$D$2:$D$101)</f>
        <v>9000</v>
      </c>
      <c r="L584">
        <f>_xlfn.XLOOKUP(E584, Product_Master!$A$2:$A$101, Product_Master!$E$2:$E$101)</f>
        <v>12000</v>
      </c>
      <c r="M584">
        <f t="shared" si="46"/>
        <v>60000</v>
      </c>
      <c r="N584">
        <f t="shared" si="47"/>
        <v>45000</v>
      </c>
      <c r="O584">
        <f t="shared" si="48"/>
        <v>15000</v>
      </c>
      <c r="P584" s="3">
        <f t="shared" si="49"/>
        <v>0.25</v>
      </c>
      <c r="Q584" s="3" t="str">
        <v>High Profit</v>
      </c>
    </row>
    <row r="585" spans="1:17" x14ac:dyDescent="0.3">
      <c r="A585" t="s">
        <v>1032</v>
      </c>
      <c r="B585" s="2">
        <v>45662</v>
      </c>
      <c r="C585" s="2" t="str">
        <f t="shared" si="45"/>
        <v>January</v>
      </c>
      <c r="D585" t="s">
        <v>104</v>
      </c>
      <c r="E585" t="s">
        <v>375</v>
      </c>
      <c r="F585">
        <v>5</v>
      </c>
      <c r="G585" t="s">
        <v>10</v>
      </c>
      <c r="H585" t="s">
        <v>14</v>
      </c>
      <c r="I585" t="s">
        <v>329</v>
      </c>
      <c r="J585" t="str">
        <f>_xlfn.XLOOKUP(E585, Product_Master!$A$2:$A$101, Product_Master!$C$2:$C$101)</f>
        <v>Electronics</v>
      </c>
      <c r="K585">
        <f>_xlfn.XLOOKUP(E585, Product_Master!$A$2:$A$101, Product_Master!$D$2:$D$101)</f>
        <v>20000</v>
      </c>
      <c r="L585">
        <f>_xlfn.XLOOKUP(E585, Product_Master!$A$2:$A$101, Product_Master!$E$2:$E$101)</f>
        <v>25000</v>
      </c>
      <c r="M585">
        <f t="shared" si="46"/>
        <v>125000</v>
      </c>
      <c r="N585">
        <f t="shared" si="47"/>
        <v>100000</v>
      </c>
      <c r="O585">
        <f t="shared" si="48"/>
        <v>25000</v>
      </c>
      <c r="P585" s="3">
        <f t="shared" si="49"/>
        <v>0.2</v>
      </c>
      <c r="Q585" s="3" t="str">
        <v>Low Profit</v>
      </c>
    </row>
    <row r="586" spans="1:17" x14ac:dyDescent="0.3">
      <c r="A586" t="s">
        <v>1033</v>
      </c>
      <c r="B586" s="2">
        <v>45839</v>
      </c>
      <c r="C586" s="2" t="str">
        <f t="shared" si="45"/>
        <v>July</v>
      </c>
      <c r="D586" t="s">
        <v>459</v>
      </c>
      <c r="E586" t="s">
        <v>371</v>
      </c>
      <c r="F586">
        <v>3</v>
      </c>
      <c r="G586" t="s">
        <v>1454</v>
      </c>
      <c r="H586" t="s">
        <v>1455</v>
      </c>
      <c r="I586" t="s">
        <v>329</v>
      </c>
      <c r="J586" t="str">
        <f>_xlfn.XLOOKUP(E586, Product_Master!$A$2:$A$101, Product_Master!$C$2:$C$101)</f>
        <v>Electronics</v>
      </c>
      <c r="K586">
        <f>_xlfn.XLOOKUP(E586, Product_Master!$A$2:$A$101, Product_Master!$D$2:$D$101)</f>
        <v>20000</v>
      </c>
      <c r="L586">
        <f>_xlfn.XLOOKUP(E586, Product_Master!$A$2:$A$101, Product_Master!$E$2:$E$101)</f>
        <v>25000</v>
      </c>
      <c r="M586">
        <f t="shared" si="46"/>
        <v>75000</v>
      </c>
      <c r="N586">
        <f t="shared" si="47"/>
        <v>60000</v>
      </c>
      <c r="O586">
        <f t="shared" si="48"/>
        <v>15000</v>
      </c>
      <c r="P586" s="3">
        <f t="shared" si="49"/>
        <v>0.2</v>
      </c>
      <c r="Q586" s="3" t="str">
        <v>Low Profit</v>
      </c>
    </row>
    <row r="587" spans="1:17" x14ac:dyDescent="0.3">
      <c r="A587" t="s">
        <v>1034</v>
      </c>
      <c r="B587" s="2">
        <v>45683</v>
      </c>
      <c r="C587" s="2" t="str">
        <f t="shared" si="45"/>
        <v>January</v>
      </c>
      <c r="D587" t="s">
        <v>322</v>
      </c>
      <c r="E587" t="s">
        <v>345</v>
      </c>
      <c r="F587">
        <v>1</v>
      </c>
      <c r="G587" t="s">
        <v>29</v>
      </c>
      <c r="H587" t="s">
        <v>17</v>
      </c>
      <c r="I587" t="s">
        <v>346</v>
      </c>
      <c r="J587" t="str">
        <f>_xlfn.XLOOKUP(E587, Product_Master!$A$2:$A$101, Product_Master!$C$2:$C$101)</f>
        <v>Accessories</v>
      </c>
      <c r="K587">
        <f>_xlfn.XLOOKUP(E587, Product_Master!$A$2:$A$101, Product_Master!$D$2:$D$101)</f>
        <v>9000</v>
      </c>
      <c r="L587">
        <f>_xlfn.XLOOKUP(E587, Product_Master!$A$2:$A$101, Product_Master!$E$2:$E$101)</f>
        <v>12000</v>
      </c>
      <c r="M587">
        <f t="shared" si="46"/>
        <v>12000</v>
      </c>
      <c r="N587">
        <f t="shared" si="47"/>
        <v>9000</v>
      </c>
      <c r="O587">
        <f t="shared" si="48"/>
        <v>3000</v>
      </c>
      <c r="P587" s="3">
        <f t="shared" si="49"/>
        <v>0.25</v>
      </c>
      <c r="Q587" s="3" t="str">
        <v>High Profit</v>
      </c>
    </row>
    <row r="588" spans="1:17" x14ac:dyDescent="0.3">
      <c r="A588" t="s">
        <v>1035</v>
      </c>
      <c r="B588" s="2">
        <v>45913</v>
      </c>
      <c r="C588" s="2" t="str">
        <f t="shared" si="45"/>
        <v>September</v>
      </c>
      <c r="D588" t="s">
        <v>170</v>
      </c>
      <c r="E588" t="s">
        <v>377</v>
      </c>
      <c r="F588">
        <v>4</v>
      </c>
      <c r="G588" t="s">
        <v>16</v>
      </c>
      <c r="H588" t="s">
        <v>14</v>
      </c>
      <c r="I588" t="s">
        <v>337</v>
      </c>
      <c r="J588" t="str">
        <f>_xlfn.XLOOKUP(E588, Product_Master!$A$2:$A$101, Product_Master!$C$2:$C$101)</f>
        <v>Electronics</v>
      </c>
      <c r="K588">
        <f>_xlfn.XLOOKUP(E588, Product_Master!$A$2:$A$101, Product_Master!$D$2:$D$101)</f>
        <v>15000</v>
      </c>
      <c r="L588">
        <f>_xlfn.XLOOKUP(E588, Product_Master!$A$2:$A$101, Product_Master!$E$2:$E$101)</f>
        <v>18000</v>
      </c>
      <c r="M588">
        <f t="shared" si="46"/>
        <v>72000</v>
      </c>
      <c r="N588">
        <f t="shared" si="47"/>
        <v>60000</v>
      </c>
      <c r="O588">
        <f t="shared" si="48"/>
        <v>12000</v>
      </c>
      <c r="P588" s="3">
        <f t="shared" si="49"/>
        <v>0.16666666666666666</v>
      </c>
      <c r="Q588" s="3" t="str">
        <v>Low Profit</v>
      </c>
    </row>
    <row r="589" spans="1:17" x14ac:dyDescent="0.3">
      <c r="A589" t="s">
        <v>1036</v>
      </c>
      <c r="B589" s="2">
        <v>45840</v>
      </c>
      <c r="C589" s="2" t="str">
        <f t="shared" si="45"/>
        <v>July</v>
      </c>
      <c r="D589" t="s">
        <v>120</v>
      </c>
      <c r="E589" t="s">
        <v>388</v>
      </c>
      <c r="F589">
        <v>1</v>
      </c>
      <c r="G589" t="s">
        <v>19</v>
      </c>
      <c r="H589" t="s">
        <v>1455</v>
      </c>
      <c r="I589" t="s">
        <v>344</v>
      </c>
      <c r="J589" t="str">
        <f>_xlfn.XLOOKUP(E589, Product_Master!$A$2:$A$101, Product_Master!$C$2:$C$101)</f>
        <v>Accessories</v>
      </c>
      <c r="K589">
        <f>_xlfn.XLOOKUP(E589, Product_Master!$A$2:$A$101, Product_Master!$D$2:$D$101)</f>
        <v>2000</v>
      </c>
      <c r="L589">
        <f>_xlfn.XLOOKUP(E589, Product_Master!$A$2:$A$101, Product_Master!$E$2:$E$101)</f>
        <v>3000</v>
      </c>
      <c r="M589">
        <f t="shared" si="46"/>
        <v>3000</v>
      </c>
      <c r="N589">
        <f t="shared" si="47"/>
        <v>2000</v>
      </c>
      <c r="O589">
        <f t="shared" si="48"/>
        <v>1000</v>
      </c>
      <c r="P589" s="3">
        <f t="shared" si="49"/>
        <v>0.33333333333333331</v>
      </c>
      <c r="Q589" s="3" t="str">
        <v>High Profit</v>
      </c>
    </row>
    <row r="590" spans="1:17" x14ac:dyDescent="0.3">
      <c r="A590" t="s">
        <v>1037</v>
      </c>
      <c r="B590" s="2">
        <v>45730</v>
      </c>
      <c r="C590" s="2" t="str">
        <f t="shared" si="45"/>
        <v>March</v>
      </c>
      <c r="D590" t="s">
        <v>144</v>
      </c>
      <c r="E590" t="s">
        <v>402</v>
      </c>
      <c r="F590">
        <v>3</v>
      </c>
      <c r="G590" t="s">
        <v>47</v>
      </c>
      <c r="H590" t="s">
        <v>31</v>
      </c>
      <c r="I590" t="s">
        <v>332</v>
      </c>
      <c r="J590" t="str">
        <f>_xlfn.XLOOKUP(E590, Product_Master!$A$2:$A$101, Product_Master!$C$2:$C$101)</f>
        <v>Accessories</v>
      </c>
      <c r="K590">
        <f>_xlfn.XLOOKUP(E590, Product_Master!$A$2:$A$101, Product_Master!$D$2:$D$101)</f>
        <v>500</v>
      </c>
      <c r="L590">
        <f>_xlfn.XLOOKUP(E590, Product_Master!$A$2:$A$101, Product_Master!$E$2:$E$101)</f>
        <v>800</v>
      </c>
      <c r="M590">
        <f t="shared" si="46"/>
        <v>2400</v>
      </c>
      <c r="N590">
        <f t="shared" si="47"/>
        <v>1500</v>
      </c>
      <c r="O590">
        <f t="shared" si="48"/>
        <v>900</v>
      </c>
      <c r="P590" s="3">
        <f t="shared" si="49"/>
        <v>0.375</v>
      </c>
      <c r="Q590" s="3" t="str">
        <v>High Profit</v>
      </c>
    </row>
    <row r="591" spans="1:17" x14ac:dyDescent="0.3">
      <c r="A591" t="s">
        <v>1038</v>
      </c>
      <c r="B591" s="2">
        <v>45816</v>
      </c>
      <c r="C591" s="2" t="str">
        <f t="shared" si="45"/>
        <v>June</v>
      </c>
      <c r="D591" t="s">
        <v>254</v>
      </c>
      <c r="E591" t="s">
        <v>410</v>
      </c>
      <c r="F591">
        <v>4</v>
      </c>
      <c r="G591" t="s">
        <v>24</v>
      </c>
      <c r="H591" t="s">
        <v>20</v>
      </c>
      <c r="I591" t="s">
        <v>353</v>
      </c>
      <c r="J591" t="str">
        <f>_xlfn.XLOOKUP(E591, Product_Master!$A$2:$A$101, Product_Master!$C$2:$C$101)</f>
        <v>Electronics</v>
      </c>
      <c r="K591">
        <f>_xlfn.XLOOKUP(E591, Product_Master!$A$2:$A$101, Product_Master!$D$2:$D$101)</f>
        <v>12000</v>
      </c>
      <c r="L591">
        <f>_xlfn.XLOOKUP(E591, Product_Master!$A$2:$A$101, Product_Master!$E$2:$E$101)</f>
        <v>15000</v>
      </c>
      <c r="M591">
        <f t="shared" si="46"/>
        <v>60000</v>
      </c>
      <c r="N591">
        <f t="shared" si="47"/>
        <v>48000</v>
      </c>
      <c r="O591">
        <f t="shared" si="48"/>
        <v>12000</v>
      </c>
      <c r="P591" s="3">
        <f t="shared" si="49"/>
        <v>0.2</v>
      </c>
      <c r="Q591" s="3" t="str">
        <v>Low Profit</v>
      </c>
    </row>
    <row r="592" spans="1:17" x14ac:dyDescent="0.3">
      <c r="A592" t="s">
        <v>1039</v>
      </c>
      <c r="B592" s="2">
        <v>45658</v>
      </c>
      <c r="C592" s="2" t="str">
        <f t="shared" si="45"/>
        <v>January</v>
      </c>
      <c r="D592" t="s">
        <v>134</v>
      </c>
      <c r="E592" t="s">
        <v>436</v>
      </c>
      <c r="F592">
        <v>5</v>
      </c>
      <c r="G592" t="s">
        <v>10</v>
      </c>
      <c r="H592" t="s">
        <v>17</v>
      </c>
      <c r="I592" t="s">
        <v>353</v>
      </c>
      <c r="J592" t="str">
        <f>_xlfn.XLOOKUP(E592, Product_Master!$A$2:$A$101, Product_Master!$C$2:$C$101)</f>
        <v>Electronics</v>
      </c>
      <c r="K592">
        <f>_xlfn.XLOOKUP(E592, Product_Master!$A$2:$A$101, Product_Master!$D$2:$D$101)</f>
        <v>12000</v>
      </c>
      <c r="L592">
        <f>_xlfn.XLOOKUP(E592, Product_Master!$A$2:$A$101, Product_Master!$E$2:$E$101)</f>
        <v>15000</v>
      </c>
      <c r="M592">
        <f t="shared" si="46"/>
        <v>75000</v>
      </c>
      <c r="N592">
        <f t="shared" si="47"/>
        <v>60000</v>
      </c>
      <c r="O592">
        <f t="shared" si="48"/>
        <v>15000</v>
      </c>
      <c r="P592" s="3">
        <f t="shared" si="49"/>
        <v>0.2</v>
      </c>
      <c r="Q592" s="3" t="str">
        <v>Low Profit</v>
      </c>
    </row>
    <row r="593" spans="1:17" x14ac:dyDescent="0.3">
      <c r="A593" t="s">
        <v>1040</v>
      </c>
      <c r="B593" s="2">
        <v>45991</v>
      </c>
      <c r="C593" s="2" t="str">
        <f t="shared" si="45"/>
        <v>November</v>
      </c>
      <c r="D593" t="s">
        <v>76</v>
      </c>
      <c r="E593" t="s">
        <v>398</v>
      </c>
      <c r="F593">
        <v>5</v>
      </c>
      <c r="G593" t="s">
        <v>7</v>
      </c>
      <c r="H593" t="s">
        <v>27</v>
      </c>
      <c r="I593" t="s">
        <v>344</v>
      </c>
      <c r="J593" t="str">
        <f>_xlfn.XLOOKUP(E593, Product_Master!$A$2:$A$101, Product_Master!$C$2:$C$101)</f>
        <v>Accessories</v>
      </c>
      <c r="K593">
        <f>_xlfn.XLOOKUP(E593, Product_Master!$A$2:$A$101, Product_Master!$D$2:$D$101)</f>
        <v>2000</v>
      </c>
      <c r="L593">
        <f>_xlfn.XLOOKUP(E593, Product_Master!$A$2:$A$101, Product_Master!$E$2:$E$101)</f>
        <v>3000</v>
      </c>
      <c r="M593">
        <f t="shared" si="46"/>
        <v>15000</v>
      </c>
      <c r="N593">
        <f t="shared" si="47"/>
        <v>10000</v>
      </c>
      <c r="O593">
        <f t="shared" si="48"/>
        <v>5000</v>
      </c>
      <c r="P593" s="3">
        <f t="shared" si="49"/>
        <v>0.33333333333333331</v>
      </c>
      <c r="Q593" s="3" t="str">
        <v>High Profit</v>
      </c>
    </row>
    <row r="594" spans="1:17" x14ac:dyDescent="0.3">
      <c r="A594" t="s">
        <v>1041</v>
      </c>
      <c r="B594" s="2">
        <v>45974</v>
      </c>
      <c r="C594" s="2" t="str">
        <f t="shared" si="45"/>
        <v>November</v>
      </c>
      <c r="D594" t="s">
        <v>9</v>
      </c>
      <c r="E594" t="s">
        <v>347</v>
      </c>
      <c r="F594">
        <v>5</v>
      </c>
      <c r="G594" t="s">
        <v>10</v>
      </c>
      <c r="H594" t="s">
        <v>8</v>
      </c>
      <c r="I594" t="s">
        <v>335</v>
      </c>
      <c r="J594" t="str">
        <f>_xlfn.XLOOKUP(E594, Product_Master!$A$2:$A$101, Product_Master!$C$2:$C$101)</f>
        <v>Accessories</v>
      </c>
      <c r="K594">
        <f>_xlfn.XLOOKUP(E594, Product_Master!$A$2:$A$101, Product_Master!$D$2:$D$101)</f>
        <v>900</v>
      </c>
      <c r="L594">
        <f>_xlfn.XLOOKUP(E594, Product_Master!$A$2:$A$101, Product_Master!$E$2:$E$101)</f>
        <v>1500</v>
      </c>
      <c r="M594">
        <f t="shared" si="46"/>
        <v>7500</v>
      </c>
      <c r="N594">
        <f t="shared" si="47"/>
        <v>4500</v>
      </c>
      <c r="O594">
        <f t="shared" si="48"/>
        <v>3000</v>
      </c>
      <c r="P594" s="3">
        <f t="shared" si="49"/>
        <v>0.4</v>
      </c>
      <c r="Q594" s="3" t="str">
        <v>High Profit</v>
      </c>
    </row>
    <row r="595" spans="1:17" x14ac:dyDescent="0.3">
      <c r="A595" t="s">
        <v>1042</v>
      </c>
      <c r="B595" s="2">
        <v>45904</v>
      </c>
      <c r="C595" s="2" t="str">
        <f t="shared" si="45"/>
        <v>September</v>
      </c>
      <c r="D595" t="s">
        <v>273</v>
      </c>
      <c r="E595" t="s">
        <v>345</v>
      </c>
      <c r="F595">
        <v>4</v>
      </c>
      <c r="G595" t="s">
        <v>24</v>
      </c>
      <c r="H595" t="s">
        <v>1455</v>
      </c>
      <c r="I595" t="s">
        <v>346</v>
      </c>
      <c r="J595" t="str">
        <f>_xlfn.XLOOKUP(E595, Product_Master!$A$2:$A$101, Product_Master!$C$2:$C$101)</f>
        <v>Accessories</v>
      </c>
      <c r="K595">
        <f>_xlfn.XLOOKUP(E595, Product_Master!$A$2:$A$101, Product_Master!$D$2:$D$101)</f>
        <v>9000</v>
      </c>
      <c r="L595">
        <f>_xlfn.XLOOKUP(E595, Product_Master!$A$2:$A$101, Product_Master!$E$2:$E$101)</f>
        <v>12000</v>
      </c>
      <c r="M595">
        <f t="shared" si="46"/>
        <v>48000</v>
      </c>
      <c r="N595">
        <f t="shared" si="47"/>
        <v>36000</v>
      </c>
      <c r="O595">
        <f t="shared" si="48"/>
        <v>12000</v>
      </c>
      <c r="P595" s="3">
        <f t="shared" si="49"/>
        <v>0.25</v>
      </c>
      <c r="Q595" s="3" t="str">
        <v>High Profit</v>
      </c>
    </row>
    <row r="596" spans="1:17" x14ac:dyDescent="0.3">
      <c r="A596" t="s">
        <v>1043</v>
      </c>
      <c r="B596" s="2">
        <v>45988</v>
      </c>
      <c r="C596" s="2" t="str">
        <f t="shared" si="45"/>
        <v>November</v>
      </c>
      <c r="D596" t="s">
        <v>113</v>
      </c>
      <c r="E596" t="s">
        <v>437</v>
      </c>
      <c r="F596">
        <v>4</v>
      </c>
      <c r="G596" t="s">
        <v>22</v>
      </c>
      <c r="H596" t="s">
        <v>20</v>
      </c>
      <c r="I596" t="s">
        <v>344</v>
      </c>
      <c r="J596" t="str">
        <f>_xlfn.XLOOKUP(E596, Product_Master!$A$2:$A$101, Product_Master!$C$2:$C$101)</f>
        <v>Accessories</v>
      </c>
      <c r="K596">
        <f>_xlfn.XLOOKUP(E596, Product_Master!$A$2:$A$101, Product_Master!$D$2:$D$101)</f>
        <v>2000</v>
      </c>
      <c r="L596">
        <f>_xlfn.XLOOKUP(E596, Product_Master!$A$2:$A$101, Product_Master!$E$2:$E$101)</f>
        <v>3000</v>
      </c>
      <c r="M596">
        <f t="shared" si="46"/>
        <v>12000</v>
      </c>
      <c r="N596">
        <f t="shared" si="47"/>
        <v>8000</v>
      </c>
      <c r="O596">
        <f t="shared" si="48"/>
        <v>4000</v>
      </c>
      <c r="P596" s="3">
        <f t="shared" si="49"/>
        <v>0.33333333333333331</v>
      </c>
      <c r="Q596" s="3" t="str">
        <v>High Profit</v>
      </c>
    </row>
    <row r="597" spans="1:17" x14ac:dyDescent="0.3">
      <c r="A597" t="s">
        <v>1044</v>
      </c>
      <c r="B597" s="2">
        <v>45986</v>
      </c>
      <c r="C597" s="2" t="str">
        <f t="shared" si="45"/>
        <v>November</v>
      </c>
      <c r="D597" t="s">
        <v>299</v>
      </c>
      <c r="E597" t="s">
        <v>328</v>
      </c>
      <c r="F597">
        <v>5</v>
      </c>
      <c r="G597" t="s">
        <v>7</v>
      </c>
      <c r="H597" t="s">
        <v>39</v>
      </c>
      <c r="I597" t="s">
        <v>329</v>
      </c>
      <c r="J597" t="str">
        <f>_xlfn.XLOOKUP(E597, Product_Master!$A$2:$A$101, Product_Master!$C$2:$C$101)</f>
        <v>Electronics</v>
      </c>
      <c r="K597">
        <f>_xlfn.XLOOKUP(E597, Product_Master!$A$2:$A$101, Product_Master!$D$2:$D$101)</f>
        <v>20000</v>
      </c>
      <c r="L597">
        <f>_xlfn.XLOOKUP(E597, Product_Master!$A$2:$A$101, Product_Master!$E$2:$E$101)</f>
        <v>25000</v>
      </c>
      <c r="M597">
        <f t="shared" si="46"/>
        <v>125000</v>
      </c>
      <c r="N597">
        <f t="shared" si="47"/>
        <v>100000</v>
      </c>
      <c r="O597">
        <f t="shared" si="48"/>
        <v>25000</v>
      </c>
      <c r="P597" s="3">
        <f t="shared" si="49"/>
        <v>0.2</v>
      </c>
      <c r="Q597" s="3" t="str">
        <v>Low Profit</v>
      </c>
    </row>
    <row r="598" spans="1:17" x14ac:dyDescent="0.3">
      <c r="A598" t="s">
        <v>1045</v>
      </c>
      <c r="B598" s="2">
        <v>45672</v>
      </c>
      <c r="C598" s="2" t="str">
        <f t="shared" si="45"/>
        <v>January</v>
      </c>
      <c r="D598" t="s">
        <v>214</v>
      </c>
      <c r="E598" t="s">
        <v>391</v>
      </c>
      <c r="F598">
        <v>2</v>
      </c>
      <c r="G598" t="s">
        <v>37</v>
      </c>
      <c r="H598" t="s">
        <v>39</v>
      </c>
      <c r="I598" t="s">
        <v>332</v>
      </c>
      <c r="J598" t="str">
        <f>_xlfn.XLOOKUP(E598, Product_Master!$A$2:$A$101, Product_Master!$C$2:$C$101)</f>
        <v>Accessories</v>
      </c>
      <c r="K598">
        <f>_xlfn.XLOOKUP(E598, Product_Master!$A$2:$A$101, Product_Master!$D$2:$D$101)</f>
        <v>500</v>
      </c>
      <c r="L598">
        <f>_xlfn.XLOOKUP(E598, Product_Master!$A$2:$A$101, Product_Master!$E$2:$E$101)</f>
        <v>800</v>
      </c>
      <c r="M598">
        <f t="shared" si="46"/>
        <v>1600</v>
      </c>
      <c r="N598">
        <f t="shared" si="47"/>
        <v>1000</v>
      </c>
      <c r="O598">
        <f t="shared" si="48"/>
        <v>600</v>
      </c>
      <c r="P598" s="3">
        <f t="shared" si="49"/>
        <v>0.375</v>
      </c>
      <c r="Q598" s="3" t="str">
        <v>High Profit</v>
      </c>
    </row>
    <row r="599" spans="1:17" x14ac:dyDescent="0.3">
      <c r="A599" t="s">
        <v>1046</v>
      </c>
      <c r="B599" s="2">
        <v>45732</v>
      </c>
      <c r="C599" s="2" t="str">
        <f t="shared" si="45"/>
        <v>March</v>
      </c>
      <c r="D599" t="s">
        <v>91</v>
      </c>
      <c r="E599" t="s">
        <v>348</v>
      </c>
      <c r="F599">
        <v>2</v>
      </c>
      <c r="G599" t="s">
        <v>12</v>
      </c>
      <c r="H599" t="s">
        <v>27</v>
      </c>
      <c r="I599" t="s">
        <v>335</v>
      </c>
      <c r="J599" t="str">
        <f>_xlfn.XLOOKUP(E599, Product_Master!$A$2:$A$101, Product_Master!$C$2:$C$101)</f>
        <v>Accessories</v>
      </c>
      <c r="K599">
        <f>_xlfn.XLOOKUP(E599, Product_Master!$A$2:$A$101, Product_Master!$D$2:$D$101)</f>
        <v>900</v>
      </c>
      <c r="L599">
        <f>_xlfn.XLOOKUP(E599, Product_Master!$A$2:$A$101, Product_Master!$E$2:$E$101)</f>
        <v>1500</v>
      </c>
      <c r="M599">
        <f t="shared" si="46"/>
        <v>3000</v>
      </c>
      <c r="N599">
        <f t="shared" si="47"/>
        <v>1800</v>
      </c>
      <c r="O599">
        <f t="shared" si="48"/>
        <v>1200</v>
      </c>
      <c r="P599" s="3">
        <f t="shared" si="49"/>
        <v>0.4</v>
      </c>
      <c r="Q599" s="3" t="str">
        <v>High Profit</v>
      </c>
    </row>
    <row r="600" spans="1:17" x14ac:dyDescent="0.3">
      <c r="A600" t="s">
        <v>1047</v>
      </c>
      <c r="B600" s="2">
        <v>45923</v>
      </c>
      <c r="C600" s="2" t="str">
        <f t="shared" si="45"/>
        <v>September</v>
      </c>
      <c r="D600" t="s">
        <v>134</v>
      </c>
      <c r="E600" t="s">
        <v>437</v>
      </c>
      <c r="F600">
        <v>4</v>
      </c>
      <c r="G600" t="s">
        <v>10</v>
      </c>
      <c r="H600" t="s">
        <v>17</v>
      </c>
      <c r="I600" t="s">
        <v>344</v>
      </c>
      <c r="J600" t="str">
        <f>_xlfn.XLOOKUP(E600, Product_Master!$A$2:$A$101, Product_Master!$C$2:$C$101)</f>
        <v>Accessories</v>
      </c>
      <c r="K600">
        <f>_xlfn.XLOOKUP(E600, Product_Master!$A$2:$A$101, Product_Master!$D$2:$D$101)</f>
        <v>2000</v>
      </c>
      <c r="L600">
        <f>_xlfn.XLOOKUP(E600, Product_Master!$A$2:$A$101, Product_Master!$E$2:$E$101)</f>
        <v>3000</v>
      </c>
      <c r="M600">
        <f t="shared" si="46"/>
        <v>12000</v>
      </c>
      <c r="N600">
        <f t="shared" si="47"/>
        <v>8000</v>
      </c>
      <c r="O600">
        <f t="shared" si="48"/>
        <v>4000</v>
      </c>
      <c r="P600" s="3">
        <f t="shared" si="49"/>
        <v>0.33333333333333331</v>
      </c>
      <c r="Q600" s="3" t="str">
        <v>High Profit</v>
      </c>
    </row>
    <row r="601" spans="1:17" x14ac:dyDescent="0.3">
      <c r="A601" t="s">
        <v>1048</v>
      </c>
      <c r="B601" s="2">
        <v>45838</v>
      </c>
      <c r="C601" s="2" t="str">
        <f t="shared" si="45"/>
        <v>June</v>
      </c>
      <c r="D601" t="s">
        <v>248</v>
      </c>
      <c r="E601" t="s">
        <v>434</v>
      </c>
      <c r="F601">
        <v>5</v>
      </c>
      <c r="G601" t="s">
        <v>19</v>
      </c>
      <c r="H601" t="s">
        <v>27</v>
      </c>
      <c r="I601" t="s">
        <v>346</v>
      </c>
      <c r="J601" t="str">
        <f>_xlfn.XLOOKUP(E601, Product_Master!$A$2:$A$101, Product_Master!$C$2:$C$101)</f>
        <v>Accessories</v>
      </c>
      <c r="K601">
        <f>_xlfn.XLOOKUP(E601, Product_Master!$A$2:$A$101, Product_Master!$D$2:$D$101)</f>
        <v>9000</v>
      </c>
      <c r="L601">
        <f>_xlfn.XLOOKUP(E601, Product_Master!$A$2:$A$101, Product_Master!$E$2:$E$101)</f>
        <v>12000</v>
      </c>
      <c r="M601">
        <f t="shared" si="46"/>
        <v>60000</v>
      </c>
      <c r="N601">
        <f t="shared" si="47"/>
        <v>45000</v>
      </c>
      <c r="O601">
        <f t="shared" si="48"/>
        <v>15000</v>
      </c>
      <c r="P601" s="3">
        <f t="shared" si="49"/>
        <v>0.25</v>
      </c>
      <c r="Q601" s="3" t="str">
        <v>High Profit</v>
      </c>
    </row>
    <row r="602" spans="1:17" x14ac:dyDescent="0.3">
      <c r="A602" t="s">
        <v>1049</v>
      </c>
      <c r="B602" s="2">
        <v>46006</v>
      </c>
      <c r="C602" s="2" t="str">
        <f t="shared" si="45"/>
        <v>December</v>
      </c>
      <c r="D602" t="s">
        <v>176</v>
      </c>
      <c r="E602" t="s">
        <v>376</v>
      </c>
      <c r="F602">
        <v>4</v>
      </c>
      <c r="G602" t="s">
        <v>45</v>
      </c>
      <c r="H602" t="s">
        <v>20</v>
      </c>
      <c r="I602" t="s">
        <v>353</v>
      </c>
      <c r="J602" t="str">
        <f>_xlfn.XLOOKUP(E602, Product_Master!$A$2:$A$101, Product_Master!$C$2:$C$101)</f>
        <v>Electronics</v>
      </c>
      <c r="K602">
        <f>_xlfn.XLOOKUP(E602, Product_Master!$A$2:$A$101, Product_Master!$D$2:$D$101)</f>
        <v>12000</v>
      </c>
      <c r="L602">
        <f>_xlfn.XLOOKUP(E602, Product_Master!$A$2:$A$101, Product_Master!$E$2:$E$101)</f>
        <v>15000</v>
      </c>
      <c r="M602">
        <f t="shared" si="46"/>
        <v>60000</v>
      </c>
      <c r="N602">
        <f t="shared" si="47"/>
        <v>48000</v>
      </c>
      <c r="O602">
        <f t="shared" si="48"/>
        <v>12000</v>
      </c>
      <c r="P602" s="3">
        <f t="shared" si="49"/>
        <v>0.2</v>
      </c>
      <c r="Q602" s="3" t="str">
        <v>Low Profit</v>
      </c>
    </row>
    <row r="603" spans="1:17" x14ac:dyDescent="0.3">
      <c r="A603" t="s">
        <v>1050</v>
      </c>
      <c r="B603" s="2">
        <v>46020</v>
      </c>
      <c r="C603" s="2" t="str">
        <f t="shared" si="45"/>
        <v>December</v>
      </c>
      <c r="D603" t="s">
        <v>204</v>
      </c>
      <c r="E603" t="s">
        <v>440</v>
      </c>
      <c r="F603">
        <v>2</v>
      </c>
      <c r="G603" t="s">
        <v>16</v>
      </c>
      <c r="H603" t="s">
        <v>27</v>
      </c>
      <c r="I603" t="s">
        <v>346</v>
      </c>
      <c r="J603" t="str">
        <f>_xlfn.XLOOKUP(E603, Product_Master!$A$2:$A$101, Product_Master!$C$2:$C$101)</f>
        <v>Accessories</v>
      </c>
      <c r="K603">
        <f>_xlfn.XLOOKUP(E603, Product_Master!$A$2:$A$101, Product_Master!$D$2:$D$101)</f>
        <v>9000</v>
      </c>
      <c r="L603">
        <f>_xlfn.XLOOKUP(E603, Product_Master!$A$2:$A$101, Product_Master!$E$2:$E$101)</f>
        <v>12000</v>
      </c>
      <c r="M603">
        <f t="shared" si="46"/>
        <v>24000</v>
      </c>
      <c r="N603">
        <f t="shared" si="47"/>
        <v>18000</v>
      </c>
      <c r="O603">
        <f t="shared" si="48"/>
        <v>6000</v>
      </c>
      <c r="P603" s="3">
        <f t="shared" si="49"/>
        <v>0.25</v>
      </c>
      <c r="Q603" s="3" t="str">
        <v>High Profit</v>
      </c>
    </row>
    <row r="604" spans="1:17" x14ac:dyDescent="0.3">
      <c r="A604" t="s">
        <v>1051</v>
      </c>
      <c r="B604" s="2">
        <v>45874</v>
      </c>
      <c r="C604" s="2" t="str">
        <f t="shared" si="45"/>
        <v>August</v>
      </c>
      <c r="D604" t="s">
        <v>120</v>
      </c>
      <c r="E604" t="s">
        <v>439</v>
      </c>
      <c r="F604">
        <v>2</v>
      </c>
      <c r="G604" t="s">
        <v>19</v>
      </c>
      <c r="H604" t="s">
        <v>1455</v>
      </c>
      <c r="I604" t="s">
        <v>353</v>
      </c>
      <c r="J604" t="str">
        <f>_xlfn.XLOOKUP(E604, Product_Master!$A$2:$A$101, Product_Master!$C$2:$C$101)</f>
        <v>Electronics</v>
      </c>
      <c r="K604">
        <f>_xlfn.XLOOKUP(E604, Product_Master!$A$2:$A$101, Product_Master!$D$2:$D$101)</f>
        <v>12000</v>
      </c>
      <c r="L604">
        <f>_xlfn.XLOOKUP(E604, Product_Master!$A$2:$A$101, Product_Master!$E$2:$E$101)</f>
        <v>15000</v>
      </c>
      <c r="M604">
        <f t="shared" si="46"/>
        <v>30000</v>
      </c>
      <c r="N604">
        <f t="shared" si="47"/>
        <v>24000</v>
      </c>
      <c r="O604">
        <f t="shared" si="48"/>
        <v>6000</v>
      </c>
      <c r="P604" s="3">
        <f t="shared" si="49"/>
        <v>0.2</v>
      </c>
      <c r="Q604" s="3" t="str">
        <v>Low Profit</v>
      </c>
    </row>
    <row r="605" spans="1:17" x14ac:dyDescent="0.3">
      <c r="A605" t="s">
        <v>1052</v>
      </c>
      <c r="B605" s="2">
        <v>45682</v>
      </c>
      <c r="C605" s="2" t="str">
        <f t="shared" si="45"/>
        <v>January</v>
      </c>
      <c r="D605" t="s">
        <v>224</v>
      </c>
      <c r="E605" t="s">
        <v>380</v>
      </c>
      <c r="F605">
        <v>1</v>
      </c>
      <c r="G605" t="s">
        <v>7</v>
      </c>
      <c r="H605" t="s">
        <v>5</v>
      </c>
      <c r="I605" t="s">
        <v>340</v>
      </c>
      <c r="J605" t="str">
        <f>_xlfn.XLOOKUP(E605, Product_Master!$A$2:$A$101, Product_Master!$C$2:$C$101)</f>
        <v>Electronics</v>
      </c>
      <c r="K605">
        <f>_xlfn.XLOOKUP(E605, Product_Master!$A$2:$A$101, Product_Master!$D$2:$D$101)</f>
        <v>42000</v>
      </c>
      <c r="L605">
        <f>_xlfn.XLOOKUP(E605, Product_Master!$A$2:$A$101, Product_Master!$E$2:$E$101)</f>
        <v>50000</v>
      </c>
      <c r="M605">
        <f t="shared" si="46"/>
        <v>50000</v>
      </c>
      <c r="N605">
        <f t="shared" si="47"/>
        <v>42000</v>
      </c>
      <c r="O605">
        <f t="shared" si="48"/>
        <v>8000</v>
      </c>
      <c r="P605" s="3">
        <f t="shared" si="49"/>
        <v>0.16</v>
      </c>
      <c r="Q605" s="3" t="str">
        <v>Low Profit</v>
      </c>
    </row>
    <row r="606" spans="1:17" x14ac:dyDescent="0.3">
      <c r="A606" t="s">
        <v>1053</v>
      </c>
      <c r="B606" s="2">
        <v>45704</v>
      </c>
      <c r="C606" s="2" t="str">
        <f t="shared" si="45"/>
        <v>February</v>
      </c>
      <c r="D606" t="s">
        <v>284</v>
      </c>
      <c r="E606" t="s">
        <v>437</v>
      </c>
      <c r="F606">
        <v>4</v>
      </c>
      <c r="G606" t="s">
        <v>7</v>
      </c>
      <c r="H606" t="s">
        <v>5</v>
      </c>
      <c r="I606" t="s">
        <v>344</v>
      </c>
      <c r="J606" t="str">
        <f>_xlfn.XLOOKUP(E606, Product_Master!$A$2:$A$101, Product_Master!$C$2:$C$101)</f>
        <v>Accessories</v>
      </c>
      <c r="K606">
        <f>_xlfn.XLOOKUP(E606, Product_Master!$A$2:$A$101, Product_Master!$D$2:$D$101)</f>
        <v>2000</v>
      </c>
      <c r="L606">
        <f>_xlfn.XLOOKUP(E606, Product_Master!$A$2:$A$101, Product_Master!$E$2:$E$101)</f>
        <v>3000</v>
      </c>
      <c r="M606">
        <f t="shared" si="46"/>
        <v>12000</v>
      </c>
      <c r="N606">
        <f t="shared" si="47"/>
        <v>8000</v>
      </c>
      <c r="O606">
        <f t="shared" si="48"/>
        <v>4000</v>
      </c>
      <c r="P606" s="3">
        <f t="shared" si="49"/>
        <v>0.33333333333333331</v>
      </c>
      <c r="Q606" s="3" t="str">
        <v>High Profit</v>
      </c>
    </row>
    <row r="607" spans="1:17" x14ac:dyDescent="0.3">
      <c r="A607" t="s">
        <v>1054</v>
      </c>
      <c r="B607" s="2">
        <v>45917</v>
      </c>
      <c r="C607" s="2" t="str">
        <f t="shared" si="45"/>
        <v>September</v>
      </c>
      <c r="D607" t="s">
        <v>41</v>
      </c>
      <c r="E607" t="s">
        <v>371</v>
      </c>
      <c r="F607">
        <v>1</v>
      </c>
      <c r="G607" t="s">
        <v>37</v>
      </c>
      <c r="H607" t="s">
        <v>31</v>
      </c>
      <c r="I607" t="s">
        <v>329</v>
      </c>
      <c r="J607" t="str">
        <f>_xlfn.XLOOKUP(E607, Product_Master!$A$2:$A$101, Product_Master!$C$2:$C$101)</f>
        <v>Electronics</v>
      </c>
      <c r="K607">
        <f>_xlfn.XLOOKUP(E607, Product_Master!$A$2:$A$101, Product_Master!$D$2:$D$101)</f>
        <v>20000</v>
      </c>
      <c r="L607">
        <f>_xlfn.XLOOKUP(E607, Product_Master!$A$2:$A$101, Product_Master!$E$2:$E$101)</f>
        <v>25000</v>
      </c>
      <c r="M607">
        <f t="shared" si="46"/>
        <v>25000</v>
      </c>
      <c r="N607">
        <f t="shared" si="47"/>
        <v>20000</v>
      </c>
      <c r="O607">
        <f t="shared" si="48"/>
        <v>5000</v>
      </c>
      <c r="P607" s="3">
        <f t="shared" si="49"/>
        <v>0.2</v>
      </c>
      <c r="Q607" s="3" t="str">
        <v>Low Profit</v>
      </c>
    </row>
    <row r="608" spans="1:17" x14ac:dyDescent="0.3">
      <c r="A608" t="s">
        <v>1055</v>
      </c>
      <c r="B608" s="2">
        <v>45967</v>
      </c>
      <c r="C608" s="2" t="str">
        <f t="shared" si="45"/>
        <v>November</v>
      </c>
      <c r="D608" t="s">
        <v>305</v>
      </c>
      <c r="E608" t="s">
        <v>399</v>
      </c>
      <c r="F608">
        <v>4</v>
      </c>
      <c r="G608" t="s">
        <v>4</v>
      </c>
      <c r="H608" t="s">
        <v>27</v>
      </c>
      <c r="I608" t="s">
        <v>340</v>
      </c>
      <c r="J608" t="str">
        <f>_xlfn.XLOOKUP(E608, Product_Master!$A$2:$A$101, Product_Master!$C$2:$C$101)</f>
        <v>Electronics</v>
      </c>
      <c r="K608">
        <f>_xlfn.XLOOKUP(E608, Product_Master!$A$2:$A$101, Product_Master!$D$2:$D$101)</f>
        <v>42000</v>
      </c>
      <c r="L608">
        <f>_xlfn.XLOOKUP(E608, Product_Master!$A$2:$A$101, Product_Master!$E$2:$E$101)</f>
        <v>50000</v>
      </c>
      <c r="M608">
        <f t="shared" si="46"/>
        <v>200000</v>
      </c>
      <c r="N608">
        <f t="shared" si="47"/>
        <v>168000</v>
      </c>
      <c r="O608">
        <f t="shared" si="48"/>
        <v>32000</v>
      </c>
      <c r="P608" s="3">
        <f t="shared" si="49"/>
        <v>0.16</v>
      </c>
      <c r="Q608" s="3" t="str">
        <v>Low Profit</v>
      </c>
    </row>
    <row r="609" spans="1:17" x14ac:dyDescent="0.3">
      <c r="A609" t="s">
        <v>1056</v>
      </c>
      <c r="B609" s="2">
        <v>45918</v>
      </c>
      <c r="C609" s="2" t="str">
        <f t="shared" si="45"/>
        <v>September</v>
      </c>
      <c r="D609" t="s">
        <v>189</v>
      </c>
      <c r="E609" t="s">
        <v>359</v>
      </c>
      <c r="F609">
        <v>1</v>
      </c>
      <c r="G609" t="s">
        <v>16</v>
      </c>
      <c r="H609" t="s">
        <v>8</v>
      </c>
      <c r="I609" t="s">
        <v>329</v>
      </c>
      <c r="J609" t="str">
        <f>_xlfn.XLOOKUP(E609, Product_Master!$A$2:$A$101, Product_Master!$C$2:$C$101)</f>
        <v>Electronics</v>
      </c>
      <c r="K609">
        <f>_xlfn.XLOOKUP(E609, Product_Master!$A$2:$A$101, Product_Master!$D$2:$D$101)</f>
        <v>20000</v>
      </c>
      <c r="L609">
        <f>_xlfn.XLOOKUP(E609, Product_Master!$A$2:$A$101, Product_Master!$E$2:$E$101)</f>
        <v>25000</v>
      </c>
      <c r="M609">
        <f t="shared" si="46"/>
        <v>25000</v>
      </c>
      <c r="N609">
        <f t="shared" si="47"/>
        <v>20000</v>
      </c>
      <c r="O609">
        <f t="shared" si="48"/>
        <v>5000</v>
      </c>
      <c r="P609" s="3">
        <f t="shared" si="49"/>
        <v>0.2</v>
      </c>
      <c r="Q609" s="3" t="str">
        <v>Low Profit</v>
      </c>
    </row>
    <row r="610" spans="1:17" x14ac:dyDescent="0.3">
      <c r="A610" t="s">
        <v>1057</v>
      </c>
      <c r="B610" s="2">
        <v>45803</v>
      </c>
      <c r="C610" s="2" t="str">
        <f t="shared" si="45"/>
        <v>May</v>
      </c>
      <c r="D610" t="s">
        <v>74</v>
      </c>
      <c r="E610" t="s">
        <v>427</v>
      </c>
      <c r="F610">
        <v>5</v>
      </c>
      <c r="G610" t="s">
        <v>19</v>
      </c>
      <c r="H610" t="s">
        <v>14</v>
      </c>
      <c r="I610" t="s">
        <v>329</v>
      </c>
      <c r="J610" t="str">
        <f>_xlfn.XLOOKUP(E610, Product_Master!$A$2:$A$101, Product_Master!$C$2:$C$101)</f>
        <v>Electronics</v>
      </c>
      <c r="K610">
        <f>_xlfn.XLOOKUP(E610, Product_Master!$A$2:$A$101, Product_Master!$D$2:$D$101)</f>
        <v>20000</v>
      </c>
      <c r="L610">
        <f>_xlfn.XLOOKUP(E610, Product_Master!$A$2:$A$101, Product_Master!$E$2:$E$101)</f>
        <v>25000</v>
      </c>
      <c r="M610">
        <f t="shared" si="46"/>
        <v>125000</v>
      </c>
      <c r="N610">
        <f t="shared" si="47"/>
        <v>100000</v>
      </c>
      <c r="O610">
        <f t="shared" si="48"/>
        <v>25000</v>
      </c>
      <c r="P610" s="3">
        <f t="shared" si="49"/>
        <v>0.2</v>
      </c>
      <c r="Q610" s="3" t="str">
        <v>Low Profit</v>
      </c>
    </row>
    <row r="611" spans="1:17" x14ac:dyDescent="0.3">
      <c r="A611" t="s">
        <v>1058</v>
      </c>
      <c r="B611" s="2">
        <v>45798</v>
      </c>
      <c r="C611" s="2" t="str">
        <f t="shared" si="45"/>
        <v>May</v>
      </c>
      <c r="D611" t="s">
        <v>188</v>
      </c>
      <c r="E611" t="s">
        <v>409</v>
      </c>
      <c r="F611">
        <v>2</v>
      </c>
      <c r="G611" t="s">
        <v>45</v>
      </c>
      <c r="H611" t="s">
        <v>27</v>
      </c>
      <c r="I611" t="s">
        <v>340</v>
      </c>
      <c r="J611" t="str">
        <f>_xlfn.XLOOKUP(E611, Product_Master!$A$2:$A$101, Product_Master!$C$2:$C$101)</f>
        <v>Electronics</v>
      </c>
      <c r="K611">
        <f>_xlfn.XLOOKUP(E611, Product_Master!$A$2:$A$101, Product_Master!$D$2:$D$101)</f>
        <v>42000</v>
      </c>
      <c r="L611">
        <f>_xlfn.XLOOKUP(E611, Product_Master!$A$2:$A$101, Product_Master!$E$2:$E$101)</f>
        <v>50000</v>
      </c>
      <c r="M611">
        <f t="shared" si="46"/>
        <v>100000</v>
      </c>
      <c r="N611">
        <f t="shared" si="47"/>
        <v>84000</v>
      </c>
      <c r="O611">
        <f t="shared" si="48"/>
        <v>16000</v>
      </c>
      <c r="P611" s="3">
        <f t="shared" si="49"/>
        <v>0.16</v>
      </c>
      <c r="Q611" s="3" t="str">
        <v>Low Profit</v>
      </c>
    </row>
    <row r="612" spans="1:17" x14ac:dyDescent="0.3">
      <c r="A612" t="s">
        <v>1059</v>
      </c>
      <c r="B612" s="2">
        <v>45969</v>
      </c>
      <c r="C612" s="2" t="str">
        <f t="shared" si="45"/>
        <v>November</v>
      </c>
      <c r="D612" t="s">
        <v>223</v>
      </c>
      <c r="E612" t="s">
        <v>437</v>
      </c>
      <c r="F612">
        <v>1</v>
      </c>
      <c r="G612" t="s">
        <v>37</v>
      </c>
      <c r="H612" t="s">
        <v>8</v>
      </c>
      <c r="I612" t="s">
        <v>344</v>
      </c>
      <c r="J612" t="str">
        <f>_xlfn.XLOOKUP(E612, Product_Master!$A$2:$A$101, Product_Master!$C$2:$C$101)</f>
        <v>Accessories</v>
      </c>
      <c r="K612">
        <f>_xlfn.XLOOKUP(E612, Product_Master!$A$2:$A$101, Product_Master!$D$2:$D$101)</f>
        <v>2000</v>
      </c>
      <c r="L612">
        <f>_xlfn.XLOOKUP(E612, Product_Master!$A$2:$A$101, Product_Master!$E$2:$E$101)</f>
        <v>3000</v>
      </c>
      <c r="M612">
        <f t="shared" si="46"/>
        <v>3000</v>
      </c>
      <c r="N612">
        <f t="shared" si="47"/>
        <v>2000</v>
      </c>
      <c r="O612">
        <f t="shared" si="48"/>
        <v>1000</v>
      </c>
      <c r="P612" s="3">
        <f t="shared" si="49"/>
        <v>0.33333333333333331</v>
      </c>
      <c r="Q612" s="3" t="str">
        <v>High Profit</v>
      </c>
    </row>
    <row r="613" spans="1:17" x14ac:dyDescent="0.3">
      <c r="A613" t="s">
        <v>1060</v>
      </c>
      <c r="B613" s="2">
        <v>45804</v>
      </c>
      <c r="C613" s="2" t="str">
        <f t="shared" si="45"/>
        <v>May</v>
      </c>
      <c r="D613" t="s">
        <v>23</v>
      </c>
      <c r="E613" t="s">
        <v>406</v>
      </c>
      <c r="F613">
        <v>3</v>
      </c>
      <c r="G613" t="s">
        <v>24</v>
      </c>
      <c r="H613" t="s">
        <v>8</v>
      </c>
      <c r="I613" t="s">
        <v>344</v>
      </c>
      <c r="J613" t="str">
        <f>_xlfn.XLOOKUP(E613, Product_Master!$A$2:$A$101, Product_Master!$C$2:$C$101)</f>
        <v>Accessories</v>
      </c>
      <c r="K613">
        <f>_xlfn.XLOOKUP(E613, Product_Master!$A$2:$A$101, Product_Master!$D$2:$D$101)</f>
        <v>2000</v>
      </c>
      <c r="L613">
        <f>_xlfn.XLOOKUP(E613, Product_Master!$A$2:$A$101, Product_Master!$E$2:$E$101)</f>
        <v>3000</v>
      </c>
      <c r="M613">
        <f t="shared" si="46"/>
        <v>9000</v>
      </c>
      <c r="N613">
        <f t="shared" si="47"/>
        <v>6000</v>
      </c>
      <c r="O613">
        <f t="shared" si="48"/>
        <v>3000</v>
      </c>
      <c r="P613" s="3">
        <f t="shared" si="49"/>
        <v>0.33333333333333331</v>
      </c>
      <c r="Q613" s="3" t="str">
        <v>High Profit</v>
      </c>
    </row>
    <row r="614" spans="1:17" x14ac:dyDescent="0.3">
      <c r="A614" t="s">
        <v>1061</v>
      </c>
      <c r="B614" s="2">
        <v>45963</v>
      </c>
      <c r="C614" s="2" t="str">
        <f t="shared" si="45"/>
        <v>November</v>
      </c>
      <c r="D614" t="s">
        <v>304</v>
      </c>
      <c r="E614" t="s">
        <v>418</v>
      </c>
      <c r="F614">
        <v>5</v>
      </c>
      <c r="G614" t="s">
        <v>45</v>
      </c>
      <c r="H614" t="s">
        <v>8</v>
      </c>
      <c r="I614" t="s">
        <v>329</v>
      </c>
      <c r="J614" t="str">
        <f>_xlfn.XLOOKUP(E614, Product_Master!$A$2:$A$101, Product_Master!$C$2:$C$101)</f>
        <v>Electronics</v>
      </c>
      <c r="K614">
        <f>_xlfn.XLOOKUP(E614, Product_Master!$A$2:$A$101, Product_Master!$D$2:$D$101)</f>
        <v>20000</v>
      </c>
      <c r="L614">
        <f>_xlfn.XLOOKUP(E614, Product_Master!$A$2:$A$101, Product_Master!$E$2:$E$101)</f>
        <v>25000</v>
      </c>
      <c r="M614">
        <f t="shared" si="46"/>
        <v>125000</v>
      </c>
      <c r="N614">
        <f t="shared" si="47"/>
        <v>100000</v>
      </c>
      <c r="O614">
        <f t="shared" si="48"/>
        <v>25000</v>
      </c>
      <c r="P614" s="3">
        <f t="shared" si="49"/>
        <v>0.2</v>
      </c>
      <c r="Q614" s="3" t="str">
        <v>Low Profit</v>
      </c>
    </row>
    <row r="615" spans="1:17" x14ac:dyDescent="0.3">
      <c r="A615" t="s">
        <v>1062</v>
      </c>
      <c r="B615" s="2">
        <v>46017</v>
      </c>
      <c r="C615" s="2" t="str">
        <f t="shared" si="45"/>
        <v>December</v>
      </c>
      <c r="D615" t="s">
        <v>237</v>
      </c>
      <c r="E615" t="s">
        <v>349</v>
      </c>
      <c r="F615">
        <v>5</v>
      </c>
      <c r="G615" t="s">
        <v>47</v>
      </c>
      <c r="H615" t="s">
        <v>8</v>
      </c>
      <c r="I615" t="s">
        <v>346</v>
      </c>
      <c r="J615" t="str">
        <f>_xlfn.XLOOKUP(E615, Product_Master!$A$2:$A$101, Product_Master!$C$2:$C$101)</f>
        <v>Accessories</v>
      </c>
      <c r="K615">
        <f>_xlfn.XLOOKUP(E615, Product_Master!$A$2:$A$101, Product_Master!$D$2:$D$101)</f>
        <v>9000</v>
      </c>
      <c r="L615">
        <f>_xlfn.XLOOKUP(E615, Product_Master!$A$2:$A$101, Product_Master!$E$2:$E$101)</f>
        <v>12000</v>
      </c>
      <c r="M615">
        <f t="shared" si="46"/>
        <v>60000</v>
      </c>
      <c r="N615">
        <f t="shared" si="47"/>
        <v>45000</v>
      </c>
      <c r="O615">
        <f t="shared" si="48"/>
        <v>15000</v>
      </c>
      <c r="P615" s="3">
        <f t="shared" si="49"/>
        <v>0.25</v>
      </c>
      <c r="Q615" s="3" t="str">
        <v>High Profit</v>
      </c>
    </row>
    <row r="616" spans="1:17" x14ac:dyDescent="0.3">
      <c r="A616" t="s">
        <v>1063</v>
      </c>
      <c r="B616" s="2">
        <v>45948</v>
      </c>
      <c r="C616" s="2" t="str">
        <f t="shared" si="45"/>
        <v>October</v>
      </c>
      <c r="D616" t="s">
        <v>81</v>
      </c>
      <c r="E616" t="s">
        <v>339</v>
      </c>
      <c r="F616">
        <v>3</v>
      </c>
      <c r="G616" t="s">
        <v>4</v>
      </c>
      <c r="H616" t="s">
        <v>27</v>
      </c>
      <c r="I616" t="s">
        <v>340</v>
      </c>
      <c r="J616" t="str">
        <f>_xlfn.XLOOKUP(E616, Product_Master!$A$2:$A$101, Product_Master!$C$2:$C$101)</f>
        <v>Electronics</v>
      </c>
      <c r="K616">
        <f>_xlfn.XLOOKUP(E616, Product_Master!$A$2:$A$101, Product_Master!$D$2:$D$101)</f>
        <v>42000</v>
      </c>
      <c r="L616">
        <f>_xlfn.XLOOKUP(E616, Product_Master!$A$2:$A$101, Product_Master!$E$2:$E$101)</f>
        <v>50000</v>
      </c>
      <c r="M616">
        <f t="shared" si="46"/>
        <v>150000</v>
      </c>
      <c r="N616">
        <f t="shared" si="47"/>
        <v>126000</v>
      </c>
      <c r="O616">
        <f t="shared" si="48"/>
        <v>24000</v>
      </c>
      <c r="P616" s="3">
        <f t="shared" si="49"/>
        <v>0.16</v>
      </c>
      <c r="Q616" s="3" t="str">
        <v>Low Profit</v>
      </c>
    </row>
    <row r="617" spans="1:17" x14ac:dyDescent="0.3">
      <c r="A617" t="s">
        <v>1064</v>
      </c>
      <c r="B617" s="2">
        <v>45965</v>
      </c>
      <c r="C617" s="2" t="str">
        <f t="shared" si="45"/>
        <v>November</v>
      </c>
      <c r="D617" t="s">
        <v>102</v>
      </c>
      <c r="E617" t="s">
        <v>421</v>
      </c>
      <c r="F617">
        <v>1</v>
      </c>
      <c r="G617" t="s">
        <v>19</v>
      </c>
      <c r="H617" t="s">
        <v>20</v>
      </c>
      <c r="I617" t="s">
        <v>337</v>
      </c>
      <c r="J617" t="str">
        <f>_xlfn.XLOOKUP(E617, Product_Master!$A$2:$A$101, Product_Master!$C$2:$C$101)</f>
        <v>Electronics</v>
      </c>
      <c r="K617">
        <f>_xlfn.XLOOKUP(E617, Product_Master!$A$2:$A$101, Product_Master!$D$2:$D$101)</f>
        <v>15000</v>
      </c>
      <c r="L617">
        <f>_xlfn.XLOOKUP(E617, Product_Master!$A$2:$A$101, Product_Master!$E$2:$E$101)</f>
        <v>18000</v>
      </c>
      <c r="M617">
        <f t="shared" si="46"/>
        <v>18000</v>
      </c>
      <c r="N617">
        <f t="shared" si="47"/>
        <v>15000</v>
      </c>
      <c r="O617">
        <f t="shared" si="48"/>
        <v>3000</v>
      </c>
      <c r="P617" s="3">
        <f t="shared" si="49"/>
        <v>0.16666666666666666</v>
      </c>
      <c r="Q617" s="3" t="str">
        <v>Low Profit</v>
      </c>
    </row>
    <row r="618" spans="1:17" x14ac:dyDescent="0.3">
      <c r="A618" t="s">
        <v>1065</v>
      </c>
      <c r="B618" s="2">
        <v>45940</v>
      </c>
      <c r="C618" s="2" t="str">
        <f t="shared" si="45"/>
        <v>October</v>
      </c>
      <c r="D618" t="s">
        <v>321</v>
      </c>
      <c r="E618" t="s">
        <v>426</v>
      </c>
      <c r="F618">
        <v>3</v>
      </c>
      <c r="G618" t="s">
        <v>12</v>
      </c>
      <c r="H618" t="s">
        <v>1455</v>
      </c>
      <c r="I618" t="s">
        <v>337</v>
      </c>
      <c r="J618" t="str">
        <f>_xlfn.XLOOKUP(E618, Product_Master!$A$2:$A$101, Product_Master!$C$2:$C$101)</f>
        <v>Electronics</v>
      </c>
      <c r="K618">
        <f>_xlfn.XLOOKUP(E618, Product_Master!$A$2:$A$101, Product_Master!$D$2:$D$101)</f>
        <v>15000</v>
      </c>
      <c r="L618">
        <f>_xlfn.XLOOKUP(E618, Product_Master!$A$2:$A$101, Product_Master!$E$2:$E$101)</f>
        <v>18000</v>
      </c>
      <c r="M618">
        <f t="shared" si="46"/>
        <v>54000</v>
      </c>
      <c r="N618">
        <f t="shared" si="47"/>
        <v>45000</v>
      </c>
      <c r="O618">
        <f t="shared" si="48"/>
        <v>9000</v>
      </c>
      <c r="P618" s="3">
        <f t="shared" si="49"/>
        <v>0.16666666666666666</v>
      </c>
      <c r="Q618" s="3" t="str">
        <v>Low Profit</v>
      </c>
    </row>
    <row r="619" spans="1:17" x14ac:dyDescent="0.3">
      <c r="A619" t="s">
        <v>1066</v>
      </c>
      <c r="B619" s="2">
        <v>45950</v>
      </c>
      <c r="C619" s="2" t="str">
        <f t="shared" si="45"/>
        <v>October</v>
      </c>
      <c r="D619" t="s">
        <v>459</v>
      </c>
      <c r="E619" t="s">
        <v>440</v>
      </c>
      <c r="F619">
        <v>5</v>
      </c>
      <c r="G619" t="s">
        <v>1454</v>
      </c>
      <c r="H619" t="s">
        <v>1455</v>
      </c>
      <c r="I619" t="s">
        <v>346</v>
      </c>
      <c r="J619" t="str">
        <f>_xlfn.XLOOKUP(E619, Product_Master!$A$2:$A$101, Product_Master!$C$2:$C$101)</f>
        <v>Accessories</v>
      </c>
      <c r="K619">
        <f>_xlfn.XLOOKUP(E619, Product_Master!$A$2:$A$101, Product_Master!$D$2:$D$101)</f>
        <v>9000</v>
      </c>
      <c r="L619">
        <f>_xlfn.XLOOKUP(E619, Product_Master!$A$2:$A$101, Product_Master!$E$2:$E$101)</f>
        <v>12000</v>
      </c>
      <c r="M619">
        <f t="shared" si="46"/>
        <v>60000</v>
      </c>
      <c r="N619">
        <f t="shared" si="47"/>
        <v>45000</v>
      </c>
      <c r="O619">
        <f t="shared" si="48"/>
        <v>15000</v>
      </c>
      <c r="P619" s="3">
        <f t="shared" si="49"/>
        <v>0.25</v>
      </c>
      <c r="Q619" s="3" t="str">
        <v>High Profit</v>
      </c>
    </row>
    <row r="620" spans="1:17" x14ac:dyDescent="0.3">
      <c r="A620" t="s">
        <v>1067</v>
      </c>
      <c r="B620" s="2">
        <v>45831</v>
      </c>
      <c r="C620" s="2" t="str">
        <f t="shared" si="45"/>
        <v>June</v>
      </c>
      <c r="D620" t="s">
        <v>314</v>
      </c>
      <c r="E620" t="s">
        <v>425</v>
      </c>
      <c r="F620">
        <v>2</v>
      </c>
      <c r="G620" t="s">
        <v>22</v>
      </c>
      <c r="H620" t="s">
        <v>8</v>
      </c>
      <c r="I620" t="s">
        <v>337</v>
      </c>
      <c r="J620" t="str">
        <f>_xlfn.XLOOKUP(E620, Product_Master!$A$2:$A$101, Product_Master!$C$2:$C$101)</f>
        <v>Electronics</v>
      </c>
      <c r="K620">
        <f>_xlfn.XLOOKUP(E620, Product_Master!$A$2:$A$101, Product_Master!$D$2:$D$101)</f>
        <v>15000</v>
      </c>
      <c r="L620">
        <f>_xlfn.XLOOKUP(E620, Product_Master!$A$2:$A$101, Product_Master!$E$2:$E$101)</f>
        <v>18000</v>
      </c>
      <c r="M620">
        <f t="shared" si="46"/>
        <v>36000</v>
      </c>
      <c r="N620">
        <f t="shared" si="47"/>
        <v>30000</v>
      </c>
      <c r="O620">
        <f t="shared" si="48"/>
        <v>6000</v>
      </c>
      <c r="P620" s="3">
        <f t="shared" si="49"/>
        <v>0.16666666666666666</v>
      </c>
      <c r="Q620" s="3" t="str">
        <v>Low Profit</v>
      </c>
    </row>
    <row r="621" spans="1:17" x14ac:dyDescent="0.3">
      <c r="A621" t="s">
        <v>1068</v>
      </c>
      <c r="B621" s="2">
        <v>45874</v>
      </c>
      <c r="C621" s="2" t="str">
        <f t="shared" si="45"/>
        <v>August</v>
      </c>
      <c r="D621" t="s">
        <v>78</v>
      </c>
      <c r="E621" t="s">
        <v>408</v>
      </c>
      <c r="F621">
        <v>4</v>
      </c>
      <c r="G621" t="s">
        <v>7</v>
      </c>
      <c r="H621" t="s">
        <v>39</v>
      </c>
      <c r="I621" t="s">
        <v>332</v>
      </c>
      <c r="J621" t="str">
        <f>_xlfn.XLOOKUP(E621, Product_Master!$A$2:$A$101, Product_Master!$C$2:$C$101)</f>
        <v>Accessories</v>
      </c>
      <c r="K621">
        <f>_xlfn.XLOOKUP(E621, Product_Master!$A$2:$A$101, Product_Master!$D$2:$D$101)</f>
        <v>500</v>
      </c>
      <c r="L621">
        <f>_xlfn.XLOOKUP(E621, Product_Master!$A$2:$A$101, Product_Master!$E$2:$E$101)</f>
        <v>800</v>
      </c>
      <c r="M621">
        <f t="shared" si="46"/>
        <v>3200</v>
      </c>
      <c r="N621">
        <f t="shared" si="47"/>
        <v>2000</v>
      </c>
      <c r="O621">
        <f t="shared" si="48"/>
        <v>1200</v>
      </c>
      <c r="P621" s="3">
        <f t="shared" si="49"/>
        <v>0.375</v>
      </c>
      <c r="Q621" s="3" t="str">
        <v>High Profit</v>
      </c>
    </row>
    <row r="622" spans="1:17" x14ac:dyDescent="0.3">
      <c r="A622" t="s">
        <v>1069</v>
      </c>
      <c r="B622" s="2">
        <v>45781</v>
      </c>
      <c r="C622" s="2" t="str">
        <f t="shared" si="45"/>
        <v>May</v>
      </c>
      <c r="D622" t="s">
        <v>254</v>
      </c>
      <c r="E622" t="s">
        <v>418</v>
      </c>
      <c r="F622">
        <v>4</v>
      </c>
      <c r="G622" t="s">
        <v>24</v>
      </c>
      <c r="H622" t="s">
        <v>20</v>
      </c>
      <c r="I622" t="s">
        <v>329</v>
      </c>
      <c r="J622" t="str">
        <f>_xlfn.XLOOKUP(E622, Product_Master!$A$2:$A$101, Product_Master!$C$2:$C$101)</f>
        <v>Electronics</v>
      </c>
      <c r="K622">
        <f>_xlfn.XLOOKUP(E622, Product_Master!$A$2:$A$101, Product_Master!$D$2:$D$101)</f>
        <v>20000</v>
      </c>
      <c r="L622">
        <f>_xlfn.XLOOKUP(E622, Product_Master!$A$2:$A$101, Product_Master!$E$2:$E$101)</f>
        <v>25000</v>
      </c>
      <c r="M622">
        <f t="shared" si="46"/>
        <v>100000</v>
      </c>
      <c r="N622">
        <f t="shared" si="47"/>
        <v>80000</v>
      </c>
      <c r="O622">
        <f t="shared" si="48"/>
        <v>20000</v>
      </c>
      <c r="P622" s="3">
        <f t="shared" si="49"/>
        <v>0.2</v>
      </c>
      <c r="Q622" s="3" t="str">
        <v>Low Profit</v>
      </c>
    </row>
    <row r="623" spans="1:17" x14ac:dyDescent="0.3">
      <c r="A623" t="s">
        <v>1070</v>
      </c>
      <c r="B623" s="2">
        <v>45688</v>
      </c>
      <c r="C623" s="2" t="str">
        <f t="shared" si="45"/>
        <v>January</v>
      </c>
      <c r="D623" t="s">
        <v>231</v>
      </c>
      <c r="E623" t="s">
        <v>408</v>
      </c>
      <c r="F623">
        <v>1</v>
      </c>
      <c r="G623" t="s">
        <v>16</v>
      </c>
      <c r="H623" t="s">
        <v>31</v>
      </c>
      <c r="I623" t="s">
        <v>332</v>
      </c>
      <c r="J623" t="str">
        <f>_xlfn.XLOOKUP(E623, Product_Master!$A$2:$A$101, Product_Master!$C$2:$C$101)</f>
        <v>Accessories</v>
      </c>
      <c r="K623">
        <f>_xlfn.XLOOKUP(E623, Product_Master!$A$2:$A$101, Product_Master!$D$2:$D$101)</f>
        <v>500</v>
      </c>
      <c r="L623">
        <f>_xlfn.XLOOKUP(E623, Product_Master!$A$2:$A$101, Product_Master!$E$2:$E$101)</f>
        <v>800</v>
      </c>
      <c r="M623">
        <f t="shared" si="46"/>
        <v>800</v>
      </c>
      <c r="N623">
        <f t="shared" si="47"/>
        <v>500</v>
      </c>
      <c r="O623">
        <f t="shared" si="48"/>
        <v>300</v>
      </c>
      <c r="P623" s="3">
        <f t="shared" si="49"/>
        <v>0.375</v>
      </c>
      <c r="Q623" s="3" t="str">
        <v>High Profit</v>
      </c>
    </row>
    <row r="624" spans="1:17" x14ac:dyDescent="0.3">
      <c r="A624" t="s">
        <v>1071</v>
      </c>
      <c r="B624" s="2">
        <v>45773</v>
      </c>
      <c r="C624" s="2" t="str">
        <f t="shared" si="45"/>
        <v>April</v>
      </c>
      <c r="D624" t="s">
        <v>145</v>
      </c>
      <c r="E624" t="s">
        <v>423</v>
      </c>
      <c r="F624">
        <v>3</v>
      </c>
      <c r="G624" t="s">
        <v>45</v>
      </c>
      <c r="H624" t="s">
        <v>17</v>
      </c>
      <c r="I624" t="s">
        <v>335</v>
      </c>
      <c r="J624" t="str">
        <f>_xlfn.XLOOKUP(E624, Product_Master!$A$2:$A$101, Product_Master!$C$2:$C$101)</f>
        <v>Accessories</v>
      </c>
      <c r="K624">
        <f>_xlfn.XLOOKUP(E624, Product_Master!$A$2:$A$101, Product_Master!$D$2:$D$101)</f>
        <v>900</v>
      </c>
      <c r="L624">
        <f>_xlfn.XLOOKUP(E624, Product_Master!$A$2:$A$101, Product_Master!$E$2:$E$101)</f>
        <v>1500</v>
      </c>
      <c r="M624">
        <f t="shared" si="46"/>
        <v>4500</v>
      </c>
      <c r="N624">
        <f t="shared" si="47"/>
        <v>2700</v>
      </c>
      <c r="O624">
        <f t="shared" si="48"/>
        <v>1800</v>
      </c>
      <c r="P624" s="3">
        <f t="shared" si="49"/>
        <v>0.4</v>
      </c>
      <c r="Q624" s="3" t="str">
        <v>High Profit</v>
      </c>
    </row>
    <row r="625" spans="1:17" x14ac:dyDescent="0.3">
      <c r="A625" t="s">
        <v>1072</v>
      </c>
      <c r="B625" s="2">
        <v>45905</v>
      </c>
      <c r="C625" s="2" t="str">
        <f t="shared" si="45"/>
        <v>September</v>
      </c>
      <c r="D625" t="s">
        <v>112</v>
      </c>
      <c r="E625" t="s">
        <v>393</v>
      </c>
      <c r="F625">
        <v>1</v>
      </c>
      <c r="G625" t="s">
        <v>29</v>
      </c>
      <c r="H625" t="s">
        <v>14</v>
      </c>
      <c r="I625" t="s">
        <v>344</v>
      </c>
      <c r="J625" t="str">
        <f>_xlfn.XLOOKUP(E625, Product_Master!$A$2:$A$101, Product_Master!$C$2:$C$101)</f>
        <v>Accessories</v>
      </c>
      <c r="K625">
        <f>_xlfn.XLOOKUP(E625, Product_Master!$A$2:$A$101, Product_Master!$D$2:$D$101)</f>
        <v>2000</v>
      </c>
      <c r="L625">
        <f>_xlfn.XLOOKUP(E625, Product_Master!$A$2:$A$101, Product_Master!$E$2:$E$101)</f>
        <v>3000</v>
      </c>
      <c r="M625">
        <f t="shared" si="46"/>
        <v>3000</v>
      </c>
      <c r="N625">
        <f t="shared" si="47"/>
        <v>2000</v>
      </c>
      <c r="O625">
        <f t="shared" si="48"/>
        <v>1000</v>
      </c>
      <c r="P625" s="3">
        <f t="shared" si="49"/>
        <v>0.33333333333333331</v>
      </c>
      <c r="Q625" s="3" t="str">
        <v>High Profit</v>
      </c>
    </row>
    <row r="626" spans="1:17" x14ac:dyDescent="0.3">
      <c r="A626" t="s">
        <v>1073</v>
      </c>
      <c r="B626" s="2">
        <v>45814</v>
      </c>
      <c r="C626" s="2" t="str">
        <f t="shared" si="45"/>
        <v>June</v>
      </c>
      <c r="D626" t="s">
        <v>138</v>
      </c>
      <c r="E626" t="s">
        <v>413</v>
      </c>
      <c r="F626">
        <v>3</v>
      </c>
      <c r="G626" t="s">
        <v>10</v>
      </c>
      <c r="H626" t="s">
        <v>31</v>
      </c>
      <c r="I626" t="s">
        <v>340</v>
      </c>
      <c r="J626" t="str">
        <f>_xlfn.XLOOKUP(E626, Product_Master!$A$2:$A$101, Product_Master!$C$2:$C$101)</f>
        <v>Electronics</v>
      </c>
      <c r="K626">
        <f>_xlfn.XLOOKUP(E626, Product_Master!$A$2:$A$101, Product_Master!$D$2:$D$101)</f>
        <v>42000</v>
      </c>
      <c r="L626">
        <f>_xlfn.XLOOKUP(E626, Product_Master!$A$2:$A$101, Product_Master!$E$2:$E$101)</f>
        <v>50000</v>
      </c>
      <c r="M626">
        <f t="shared" si="46"/>
        <v>150000</v>
      </c>
      <c r="N626">
        <f t="shared" si="47"/>
        <v>126000</v>
      </c>
      <c r="O626">
        <f t="shared" si="48"/>
        <v>24000</v>
      </c>
      <c r="P626" s="3">
        <f t="shared" si="49"/>
        <v>0.16</v>
      </c>
      <c r="Q626" s="3" t="str">
        <v>Low Profit</v>
      </c>
    </row>
    <row r="627" spans="1:17" x14ac:dyDescent="0.3">
      <c r="A627" t="s">
        <v>1074</v>
      </c>
      <c r="B627" s="2">
        <v>45827</v>
      </c>
      <c r="C627" s="2" t="str">
        <f t="shared" si="45"/>
        <v>June</v>
      </c>
      <c r="D627" t="s">
        <v>264</v>
      </c>
      <c r="E627" t="s">
        <v>336</v>
      </c>
      <c r="F627">
        <v>3</v>
      </c>
      <c r="G627" t="s">
        <v>12</v>
      </c>
      <c r="H627" t="s">
        <v>8</v>
      </c>
      <c r="I627" t="s">
        <v>337</v>
      </c>
      <c r="J627" t="str">
        <f>_xlfn.XLOOKUP(E627, Product_Master!$A$2:$A$101, Product_Master!$C$2:$C$101)</f>
        <v>Electronics</v>
      </c>
      <c r="K627">
        <f>_xlfn.XLOOKUP(E627, Product_Master!$A$2:$A$101, Product_Master!$D$2:$D$101)</f>
        <v>15000</v>
      </c>
      <c r="L627">
        <f>_xlfn.XLOOKUP(E627, Product_Master!$A$2:$A$101, Product_Master!$E$2:$E$101)</f>
        <v>18000</v>
      </c>
      <c r="M627">
        <f t="shared" si="46"/>
        <v>54000</v>
      </c>
      <c r="N627">
        <f t="shared" si="47"/>
        <v>45000</v>
      </c>
      <c r="O627">
        <f t="shared" si="48"/>
        <v>9000</v>
      </c>
      <c r="P627" s="3">
        <f t="shared" si="49"/>
        <v>0.16666666666666666</v>
      </c>
      <c r="Q627" s="3" t="str">
        <v>Low Profit</v>
      </c>
    </row>
    <row r="628" spans="1:17" x14ac:dyDescent="0.3">
      <c r="A628" t="s">
        <v>1075</v>
      </c>
      <c r="B628" s="2">
        <v>45878</v>
      </c>
      <c r="C628" s="2" t="str">
        <f t="shared" si="45"/>
        <v>August</v>
      </c>
      <c r="D628" t="s">
        <v>268</v>
      </c>
      <c r="E628" t="s">
        <v>440</v>
      </c>
      <c r="F628">
        <v>1</v>
      </c>
      <c r="G628" t="s">
        <v>10</v>
      </c>
      <c r="H628" t="s">
        <v>17</v>
      </c>
      <c r="I628" t="s">
        <v>346</v>
      </c>
      <c r="J628" t="str">
        <f>_xlfn.XLOOKUP(E628, Product_Master!$A$2:$A$101, Product_Master!$C$2:$C$101)</f>
        <v>Accessories</v>
      </c>
      <c r="K628">
        <f>_xlfn.XLOOKUP(E628, Product_Master!$A$2:$A$101, Product_Master!$D$2:$D$101)</f>
        <v>9000</v>
      </c>
      <c r="L628">
        <f>_xlfn.XLOOKUP(E628, Product_Master!$A$2:$A$101, Product_Master!$E$2:$E$101)</f>
        <v>12000</v>
      </c>
      <c r="M628">
        <f t="shared" si="46"/>
        <v>12000</v>
      </c>
      <c r="N628">
        <f t="shared" si="47"/>
        <v>9000</v>
      </c>
      <c r="O628">
        <f t="shared" si="48"/>
        <v>3000</v>
      </c>
      <c r="P628" s="3">
        <f t="shared" si="49"/>
        <v>0.25</v>
      </c>
      <c r="Q628" s="3" t="str">
        <v>High Profit</v>
      </c>
    </row>
    <row r="629" spans="1:17" x14ac:dyDescent="0.3">
      <c r="A629" t="s">
        <v>1076</v>
      </c>
      <c r="B629" s="2">
        <v>45809</v>
      </c>
      <c r="C629" s="2" t="str">
        <f t="shared" si="45"/>
        <v>June</v>
      </c>
      <c r="D629" t="s">
        <v>268</v>
      </c>
      <c r="E629" t="s">
        <v>413</v>
      </c>
      <c r="F629">
        <v>1</v>
      </c>
      <c r="G629" t="s">
        <v>10</v>
      </c>
      <c r="H629" t="s">
        <v>17</v>
      </c>
      <c r="I629" t="s">
        <v>340</v>
      </c>
      <c r="J629" t="str">
        <f>_xlfn.XLOOKUP(E629, Product_Master!$A$2:$A$101, Product_Master!$C$2:$C$101)</f>
        <v>Electronics</v>
      </c>
      <c r="K629">
        <f>_xlfn.XLOOKUP(E629, Product_Master!$A$2:$A$101, Product_Master!$D$2:$D$101)</f>
        <v>42000</v>
      </c>
      <c r="L629">
        <f>_xlfn.XLOOKUP(E629, Product_Master!$A$2:$A$101, Product_Master!$E$2:$E$101)</f>
        <v>50000</v>
      </c>
      <c r="M629">
        <f t="shared" si="46"/>
        <v>50000</v>
      </c>
      <c r="N629">
        <f t="shared" si="47"/>
        <v>42000</v>
      </c>
      <c r="O629">
        <f t="shared" si="48"/>
        <v>8000</v>
      </c>
      <c r="P629" s="3">
        <f t="shared" si="49"/>
        <v>0.16</v>
      </c>
      <c r="Q629" s="3" t="str">
        <v>Low Profit</v>
      </c>
    </row>
    <row r="630" spans="1:17" x14ac:dyDescent="0.3">
      <c r="A630" t="s">
        <v>1077</v>
      </c>
      <c r="B630" s="2">
        <v>46017</v>
      </c>
      <c r="C630" s="2" t="str">
        <f t="shared" si="45"/>
        <v>December</v>
      </c>
      <c r="D630" t="s">
        <v>109</v>
      </c>
      <c r="E630" t="s">
        <v>442</v>
      </c>
      <c r="F630">
        <v>3</v>
      </c>
      <c r="G630" t="s">
        <v>47</v>
      </c>
      <c r="H630" t="s">
        <v>27</v>
      </c>
      <c r="I630" t="s">
        <v>335</v>
      </c>
      <c r="J630" t="str">
        <f>_xlfn.XLOOKUP(E630, Product_Master!$A$2:$A$101, Product_Master!$C$2:$C$101)</f>
        <v>Accessories</v>
      </c>
      <c r="K630">
        <f>_xlfn.XLOOKUP(E630, Product_Master!$A$2:$A$101, Product_Master!$D$2:$D$101)</f>
        <v>900</v>
      </c>
      <c r="L630">
        <f>_xlfn.XLOOKUP(E630, Product_Master!$A$2:$A$101, Product_Master!$E$2:$E$101)</f>
        <v>1500</v>
      </c>
      <c r="M630">
        <f t="shared" si="46"/>
        <v>4500</v>
      </c>
      <c r="N630">
        <f t="shared" si="47"/>
        <v>2700</v>
      </c>
      <c r="O630">
        <f t="shared" si="48"/>
        <v>1800</v>
      </c>
      <c r="P630" s="3">
        <f t="shared" si="49"/>
        <v>0.4</v>
      </c>
      <c r="Q630" s="3" t="str">
        <v>High Profit</v>
      </c>
    </row>
    <row r="631" spans="1:17" x14ac:dyDescent="0.3">
      <c r="A631" t="s">
        <v>1078</v>
      </c>
      <c r="B631" s="2">
        <v>45962</v>
      </c>
      <c r="C631" s="2" t="str">
        <f t="shared" si="45"/>
        <v>November</v>
      </c>
      <c r="D631" t="s">
        <v>92</v>
      </c>
      <c r="E631" t="s">
        <v>432</v>
      </c>
      <c r="F631">
        <v>1</v>
      </c>
      <c r="G631" t="s">
        <v>24</v>
      </c>
      <c r="H631" t="s">
        <v>17</v>
      </c>
      <c r="I631" t="s">
        <v>344</v>
      </c>
      <c r="J631" t="str">
        <f>_xlfn.XLOOKUP(E631, Product_Master!$A$2:$A$101, Product_Master!$C$2:$C$101)</f>
        <v>Accessories</v>
      </c>
      <c r="K631">
        <f>_xlfn.XLOOKUP(E631, Product_Master!$A$2:$A$101, Product_Master!$D$2:$D$101)</f>
        <v>2000</v>
      </c>
      <c r="L631">
        <f>_xlfn.XLOOKUP(E631, Product_Master!$A$2:$A$101, Product_Master!$E$2:$E$101)</f>
        <v>3000</v>
      </c>
      <c r="M631">
        <f t="shared" si="46"/>
        <v>3000</v>
      </c>
      <c r="N631">
        <f t="shared" si="47"/>
        <v>2000</v>
      </c>
      <c r="O631">
        <f t="shared" si="48"/>
        <v>1000</v>
      </c>
      <c r="P631" s="3">
        <f t="shared" si="49"/>
        <v>0.33333333333333331</v>
      </c>
      <c r="Q631" s="3" t="str">
        <v>High Profit</v>
      </c>
    </row>
    <row r="632" spans="1:17" x14ac:dyDescent="0.3">
      <c r="A632" t="s">
        <v>1079</v>
      </c>
      <c r="B632" s="2">
        <v>45754</v>
      </c>
      <c r="C632" s="2" t="str">
        <f t="shared" si="45"/>
        <v>April</v>
      </c>
      <c r="D632" t="s">
        <v>64</v>
      </c>
      <c r="E632" t="s">
        <v>391</v>
      </c>
      <c r="F632">
        <v>4</v>
      </c>
      <c r="G632" t="s">
        <v>37</v>
      </c>
      <c r="H632" t="s">
        <v>14</v>
      </c>
      <c r="I632" t="s">
        <v>332</v>
      </c>
      <c r="J632" t="str">
        <f>_xlfn.XLOOKUP(E632, Product_Master!$A$2:$A$101, Product_Master!$C$2:$C$101)</f>
        <v>Accessories</v>
      </c>
      <c r="K632">
        <f>_xlfn.XLOOKUP(E632, Product_Master!$A$2:$A$101, Product_Master!$D$2:$D$101)</f>
        <v>500</v>
      </c>
      <c r="L632">
        <f>_xlfn.XLOOKUP(E632, Product_Master!$A$2:$A$101, Product_Master!$E$2:$E$101)</f>
        <v>800</v>
      </c>
      <c r="M632">
        <f t="shared" si="46"/>
        <v>3200</v>
      </c>
      <c r="N632">
        <f t="shared" si="47"/>
        <v>2000</v>
      </c>
      <c r="O632">
        <f t="shared" si="48"/>
        <v>1200</v>
      </c>
      <c r="P632" s="3">
        <f t="shared" si="49"/>
        <v>0.375</v>
      </c>
      <c r="Q632" s="3" t="str">
        <v>High Profit</v>
      </c>
    </row>
    <row r="633" spans="1:17" x14ac:dyDescent="0.3">
      <c r="A633" t="s">
        <v>1080</v>
      </c>
      <c r="B633" s="2">
        <v>46014</v>
      </c>
      <c r="C633" s="2" t="str">
        <f t="shared" si="45"/>
        <v>December</v>
      </c>
      <c r="D633" t="s">
        <v>152</v>
      </c>
      <c r="E633" t="s">
        <v>375</v>
      </c>
      <c r="F633">
        <v>5</v>
      </c>
      <c r="G633" t="s">
        <v>29</v>
      </c>
      <c r="H633" t="s">
        <v>5</v>
      </c>
      <c r="I633" t="s">
        <v>329</v>
      </c>
      <c r="J633" t="str">
        <f>_xlfn.XLOOKUP(E633, Product_Master!$A$2:$A$101, Product_Master!$C$2:$C$101)</f>
        <v>Electronics</v>
      </c>
      <c r="K633">
        <f>_xlfn.XLOOKUP(E633, Product_Master!$A$2:$A$101, Product_Master!$D$2:$D$101)</f>
        <v>20000</v>
      </c>
      <c r="L633">
        <f>_xlfn.XLOOKUP(E633, Product_Master!$A$2:$A$101, Product_Master!$E$2:$E$101)</f>
        <v>25000</v>
      </c>
      <c r="M633">
        <f t="shared" si="46"/>
        <v>125000</v>
      </c>
      <c r="N633">
        <f t="shared" si="47"/>
        <v>100000</v>
      </c>
      <c r="O633">
        <f t="shared" si="48"/>
        <v>25000</v>
      </c>
      <c r="P633" s="3">
        <f t="shared" si="49"/>
        <v>0.2</v>
      </c>
      <c r="Q633" s="3" t="str">
        <v>Low Profit</v>
      </c>
    </row>
    <row r="634" spans="1:17" x14ac:dyDescent="0.3">
      <c r="A634" t="s">
        <v>1081</v>
      </c>
      <c r="B634" s="2">
        <v>45978</v>
      </c>
      <c r="C634" s="2" t="str">
        <f t="shared" si="45"/>
        <v>November</v>
      </c>
      <c r="D634" t="s">
        <v>223</v>
      </c>
      <c r="E634" t="s">
        <v>365</v>
      </c>
      <c r="F634">
        <v>4</v>
      </c>
      <c r="G634" t="s">
        <v>37</v>
      </c>
      <c r="H634" t="s">
        <v>8</v>
      </c>
      <c r="I634" t="s">
        <v>340</v>
      </c>
      <c r="J634" t="str">
        <f>_xlfn.XLOOKUP(E634, Product_Master!$A$2:$A$101, Product_Master!$C$2:$C$101)</f>
        <v>Electronics</v>
      </c>
      <c r="K634">
        <f>_xlfn.XLOOKUP(E634, Product_Master!$A$2:$A$101, Product_Master!$D$2:$D$101)</f>
        <v>42000</v>
      </c>
      <c r="L634">
        <f>_xlfn.XLOOKUP(E634, Product_Master!$A$2:$A$101, Product_Master!$E$2:$E$101)</f>
        <v>50000</v>
      </c>
      <c r="M634">
        <f t="shared" si="46"/>
        <v>200000</v>
      </c>
      <c r="N634">
        <f t="shared" si="47"/>
        <v>168000</v>
      </c>
      <c r="O634">
        <f t="shared" si="48"/>
        <v>32000</v>
      </c>
      <c r="P634" s="3">
        <f t="shared" si="49"/>
        <v>0.16</v>
      </c>
      <c r="Q634" s="3" t="str">
        <v>Low Profit</v>
      </c>
    </row>
    <row r="635" spans="1:17" x14ac:dyDescent="0.3">
      <c r="A635" t="s">
        <v>1082</v>
      </c>
      <c r="B635" s="2">
        <v>46002</v>
      </c>
      <c r="C635" s="2" t="str">
        <f t="shared" si="45"/>
        <v>December</v>
      </c>
      <c r="D635" t="s">
        <v>138</v>
      </c>
      <c r="E635" t="s">
        <v>390</v>
      </c>
      <c r="F635">
        <v>4</v>
      </c>
      <c r="G635" t="s">
        <v>10</v>
      </c>
      <c r="H635" t="s">
        <v>31</v>
      </c>
      <c r="I635" t="s">
        <v>344</v>
      </c>
      <c r="J635" t="str">
        <f>_xlfn.XLOOKUP(E635, Product_Master!$A$2:$A$101, Product_Master!$C$2:$C$101)</f>
        <v>Accessories</v>
      </c>
      <c r="K635">
        <f>_xlfn.XLOOKUP(E635, Product_Master!$A$2:$A$101, Product_Master!$D$2:$D$101)</f>
        <v>2000</v>
      </c>
      <c r="L635">
        <f>_xlfn.XLOOKUP(E635, Product_Master!$A$2:$A$101, Product_Master!$E$2:$E$101)</f>
        <v>3000</v>
      </c>
      <c r="M635">
        <f t="shared" si="46"/>
        <v>12000</v>
      </c>
      <c r="N635">
        <f t="shared" si="47"/>
        <v>8000</v>
      </c>
      <c r="O635">
        <f t="shared" si="48"/>
        <v>4000</v>
      </c>
      <c r="P635" s="3">
        <f t="shared" si="49"/>
        <v>0.33333333333333331</v>
      </c>
      <c r="Q635" s="3" t="str">
        <v>High Profit</v>
      </c>
    </row>
    <row r="636" spans="1:17" x14ac:dyDescent="0.3">
      <c r="A636" t="s">
        <v>1083</v>
      </c>
      <c r="B636" s="2">
        <v>45778</v>
      </c>
      <c r="C636" s="2" t="str">
        <f t="shared" si="45"/>
        <v>May</v>
      </c>
      <c r="D636" t="s">
        <v>50</v>
      </c>
      <c r="E636" t="s">
        <v>336</v>
      </c>
      <c r="F636">
        <v>3</v>
      </c>
      <c r="G636" t="s">
        <v>16</v>
      </c>
      <c r="H636" t="s">
        <v>8</v>
      </c>
      <c r="I636" t="s">
        <v>337</v>
      </c>
      <c r="J636" t="str">
        <f>_xlfn.XLOOKUP(E636, Product_Master!$A$2:$A$101, Product_Master!$C$2:$C$101)</f>
        <v>Electronics</v>
      </c>
      <c r="K636">
        <f>_xlfn.XLOOKUP(E636, Product_Master!$A$2:$A$101, Product_Master!$D$2:$D$101)</f>
        <v>15000</v>
      </c>
      <c r="L636">
        <f>_xlfn.XLOOKUP(E636, Product_Master!$A$2:$A$101, Product_Master!$E$2:$E$101)</f>
        <v>18000</v>
      </c>
      <c r="M636">
        <f t="shared" si="46"/>
        <v>54000</v>
      </c>
      <c r="N636">
        <f t="shared" si="47"/>
        <v>45000</v>
      </c>
      <c r="O636">
        <f t="shared" si="48"/>
        <v>9000</v>
      </c>
      <c r="P636" s="3">
        <f t="shared" si="49"/>
        <v>0.16666666666666666</v>
      </c>
      <c r="Q636" s="3" t="str">
        <v>Low Profit</v>
      </c>
    </row>
    <row r="637" spans="1:17" x14ac:dyDescent="0.3">
      <c r="A637" t="s">
        <v>1084</v>
      </c>
      <c r="B637" s="2">
        <v>45799</v>
      </c>
      <c r="C637" s="2" t="str">
        <f t="shared" si="45"/>
        <v>May</v>
      </c>
      <c r="D637" t="s">
        <v>55</v>
      </c>
      <c r="E637" t="s">
        <v>364</v>
      </c>
      <c r="F637">
        <v>3</v>
      </c>
      <c r="G637" t="s">
        <v>37</v>
      </c>
      <c r="H637" t="s">
        <v>8</v>
      </c>
      <c r="I637" t="s">
        <v>346</v>
      </c>
      <c r="J637" t="str">
        <f>_xlfn.XLOOKUP(E637, Product_Master!$A$2:$A$101, Product_Master!$C$2:$C$101)</f>
        <v>Accessories</v>
      </c>
      <c r="K637">
        <f>_xlfn.XLOOKUP(E637, Product_Master!$A$2:$A$101, Product_Master!$D$2:$D$101)</f>
        <v>9000</v>
      </c>
      <c r="L637">
        <f>_xlfn.XLOOKUP(E637, Product_Master!$A$2:$A$101, Product_Master!$E$2:$E$101)</f>
        <v>12000</v>
      </c>
      <c r="M637">
        <f t="shared" si="46"/>
        <v>36000</v>
      </c>
      <c r="N637">
        <f t="shared" si="47"/>
        <v>27000</v>
      </c>
      <c r="O637">
        <f t="shared" si="48"/>
        <v>9000</v>
      </c>
      <c r="P637" s="3">
        <f t="shared" si="49"/>
        <v>0.25</v>
      </c>
      <c r="Q637" s="3" t="str">
        <v>High Profit</v>
      </c>
    </row>
    <row r="638" spans="1:17" x14ac:dyDescent="0.3">
      <c r="A638" t="s">
        <v>1085</v>
      </c>
      <c r="B638" s="2">
        <v>45914</v>
      </c>
      <c r="C638" s="2" t="str">
        <f t="shared" si="45"/>
        <v>September</v>
      </c>
      <c r="D638" t="s">
        <v>202</v>
      </c>
      <c r="E638" t="s">
        <v>402</v>
      </c>
      <c r="F638">
        <v>2</v>
      </c>
      <c r="G638" t="s">
        <v>4</v>
      </c>
      <c r="H638" t="s">
        <v>20</v>
      </c>
      <c r="I638" t="s">
        <v>332</v>
      </c>
      <c r="J638" t="str">
        <f>_xlfn.XLOOKUP(E638, Product_Master!$A$2:$A$101, Product_Master!$C$2:$C$101)</f>
        <v>Accessories</v>
      </c>
      <c r="K638">
        <f>_xlfn.XLOOKUP(E638, Product_Master!$A$2:$A$101, Product_Master!$D$2:$D$101)</f>
        <v>500</v>
      </c>
      <c r="L638">
        <f>_xlfn.XLOOKUP(E638, Product_Master!$A$2:$A$101, Product_Master!$E$2:$E$101)</f>
        <v>800</v>
      </c>
      <c r="M638">
        <f t="shared" si="46"/>
        <v>1600</v>
      </c>
      <c r="N638">
        <f t="shared" si="47"/>
        <v>1000</v>
      </c>
      <c r="O638">
        <f t="shared" si="48"/>
        <v>600</v>
      </c>
      <c r="P638" s="3">
        <f t="shared" si="49"/>
        <v>0.375</v>
      </c>
      <c r="Q638" s="3" t="str">
        <v>High Profit</v>
      </c>
    </row>
    <row r="639" spans="1:17" x14ac:dyDescent="0.3">
      <c r="A639" t="s">
        <v>1086</v>
      </c>
      <c r="B639" s="2">
        <v>46003</v>
      </c>
      <c r="C639" s="2" t="str">
        <f t="shared" si="45"/>
        <v>December</v>
      </c>
      <c r="D639" t="s">
        <v>221</v>
      </c>
      <c r="E639" t="s">
        <v>402</v>
      </c>
      <c r="F639">
        <v>3</v>
      </c>
      <c r="G639" t="s">
        <v>22</v>
      </c>
      <c r="H639" t="s">
        <v>31</v>
      </c>
      <c r="I639" t="s">
        <v>332</v>
      </c>
      <c r="J639" t="str">
        <f>_xlfn.XLOOKUP(E639, Product_Master!$A$2:$A$101, Product_Master!$C$2:$C$101)</f>
        <v>Accessories</v>
      </c>
      <c r="K639">
        <f>_xlfn.XLOOKUP(E639, Product_Master!$A$2:$A$101, Product_Master!$D$2:$D$101)</f>
        <v>500</v>
      </c>
      <c r="L639">
        <f>_xlfn.XLOOKUP(E639, Product_Master!$A$2:$A$101, Product_Master!$E$2:$E$101)</f>
        <v>800</v>
      </c>
      <c r="M639">
        <f t="shared" si="46"/>
        <v>2400</v>
      </c>
      <c r="N639">
        <f t="shared" si="47"/>
        <v>1500</v>
      </c>
      <c r="O639">
        <f t="shared" si="48"/>
        <v>900</v>
      </c>
      <c r="P639" s="3">
        <f t="shared" si="49"/>
        <v>0.375</v>
      </c>
      <c r="Q639" s="3" t="str">
        <v>High Profit</v>
      </c>
    </row>
    <row r="640" spans="1:17" x14ac:dyDescent="0.3">
      <c r="A640" t="s">
        <v>1087</v>
      </c>
      <c r="B640" s="2">
        <v>45963</v>
      </c>
      <c r="C640" s="2" t="str">
        <f t="shared" si="45"/>
        <v>November</v>
      </c>
      <c r="D640" t="s">
        <v>213</v>
      </c>
      <c r="E640" t="s">
        <v>436</v>
      </c>
      <c r="F640">
        <v>2</v>
      </c>
      <c r="G640" t="s">
        <v>45</v>
      </c>
      <c r="H640" t="s">
        <v>5</v>
      </c>
      <c r="I640" t="s">
        <v>353</v>
      </c>
      <c r="J640" t="str">
        <f>_xlfn.XLOOKUP(E640, Product_Master!$A$2:$A$101, Product_Master!$C$2:$C$101)</f>
        <v>Electronics</v>
      </c>
      <c r="K640">
        <f>_xlfn.XLOOKUP(E640, Product_Master!$A$2:$A$101, Product_Master!$D$2:$D$101)</f>
        <v>12000</v>
      </c>
      <c r="L640">
        <f>_xlfn.XLOOKUP(E640, Product_Master!$A$2:$A$101, Product_Master!$E$2:$E$101)</f>
        <v>15000</v>
      </c>
      <c r="M640">
        <f t="shared" si="46"/>
        <v>30000</v>
      </c>
      <c r="N640">
        <f t="shared" si="47"/>
        <v>24000</v>
      </c>
      <c r="O640">
        <f t="shared" si="48"/>
        <v>6000</v>
      </c>
      <c r="P640" s="3">
        <f t="shared" si="49"/>
        <v>0.2</v>
      </c>
      <c r="Q640" s="3" t="str">
        <v>Low Profit</v>
      </c>
    </row>
    <row r="641" spans="1:17" x14ac:dyDescent="0.3">
      <c r="A641" t="s">
        <v>1088</v>
      </c>
      <c r="B641" s="2">
        <v>45719</v>
      </c>
      <c r="C641" s="2" t="str">
        <f t="shared" si="45"/>
        <v>March</v>
      </c>
      <c r="D641" t="s">
        <v>155</v>
      </c>
      <c r="E641" t="s">
        <v>336</v>
      </c>
      <c r="F641">
        <v>3</v>
      </c>
      <c r="G641" t="s">
        <v>4</v>
      </c>
      <c r="H641" t="s">
        <v>20</v>
      </c>
      <c r="I641" t="s">
        <v>337</v>
      </c>
      <c r="J641" t="str">
        <f>_xlfn.XLOOKUP(E641, Product_Master!$A$2:$A$101, Product_Master!$C$2:$C$101)</f>
        <v>Electronics</v>
      </c>
      <c r="K641">
        <f>_xlfn.XLOOKUP(E641, Product_Master!$A$2:$A$101, Product_Master!$D$2:$D$101)</f>
        <v>15000</v>
      </c>
      <c r="L641">
        <f>_xlfn.XLOOKUP(E641, Product_Master!$A$2:$A$101, Product_Master!$E$2:$E$101)</f>
        <v>18000</v>
      </c>
      <c r="M641">
        <f t="shared" si="46"/>
        <v>54000</v>
      </c>
      <c r="N641">
        <f t="shared" si="47"/>
        <v>45000</v>
      </c>
      <c r="O641">
        <f t="shared" si="48"/>
        <v>9000</v>
      </c>
      <c r="P641" s="3">
        <f t="shared" si="49"/>
        <v>0.16666666666666666</v>
      </c>
      <c r="Q641" s="3" t="str">
        <v>Low Profit</v>
      </c>
    </row>
    <row r="642" spans="1:17" x14ac:dyDescent="0.3">
      <c r="A642" t="s">
        <v>1089</v>
      </c>
      <c r="B642" s="2">
        <v>45662</v>
      </c>
      <c r="C642" s="2" t="str">
        <f t="shared" si="45"/>
        <v>January</v>
      </c>
      <c r="D642" t="s">
        <v>89</v>
      </c>
      <c r="E642" t="s">
        <v>377</v>
      </c>
      <c r="F642">
        <v>3</v>
      </c>
      <c r="G642" t="s">
        <v>19</v>
      </c>
      <c r="H642" t="s">
        <v>1455</v>
      </c>
      <c r="I642" t="s">
        <v>337</v>
      </c>
      <c r="J642" t="str">
        <f>_xlfn.XLOOKUP(E642, Product_Master!$A$2:$A$101, Product_Master!$C$2:$C$101)</f>
        <v>Electronics</v>
      </c>
      <c r="K642">
        <f>_xlfn.XLOOKUP(E642, Product_Master!$A$2:$A$101, Product_Master!$D$2:$D$101)</f>
        <v>15000</v>
      </c>
      <c r="L642">
        <f>_xlfn.XLOOKUP(E642, Product_Master!$A$2:$A$101, Product_Master!$E$2:$E$101)</f>
        <v>18000</v>
      </c>
      <c r="M642">
        <f t="shared" si="46"/>
        <v>54000</v>
      </c>
      <c r="N642">
        <f t="shared" si="47"/>
        <v>45000</v>
      </c>
      <c r="O642">
        <f t="shared" si="48"/>
        <v>9000</v>
      </c>
      <c r="P642" s="3">
        <f t="shared" si="49"/>
        <v>0.16666666666666666</v>
      </c>
      <c r="Q642" s="3" t="str">
        <v>Low Profit</v>
      </c>
    </row>
    <row r="643" spans="1:17" x14ac:dyDescent="0.3">
      <c r="A643" t="s">
        <v>1090</v>
      </c>
      <c r="B643" s="2">
        <v>45825</v>
      </c>
      <c r="C643" s="2" t="str">
        <f t="shared" ref="C643:C706" si="50">TEXT(B643,"MMMM")</f>
        <v>June</v>
      </c>
      <c r="D643" t="s">
        <v>33</v>
      </c>
      <c r="E643" t="s">
        <v>395</v>
      </c>
      <c r="F643">
        <v>2</v>
      </c>
      <c r="G643" t="s">
        <v>4</v>
      </c>
      <c r="H643" t="s">
        <v>1455</v>
      </c>
      <c r="I643" t="s">
        <v>340</v>
      </c>
      <c r="J643" t="str">
        <f>_xlfn.XLOOKUP(E643, Product_Master!$A$2:$A$101, Product_Master!$C$2:$C$101)</f>
        <v>Electronics</v>
      </c>
      <c r="K643">
        <f>_xlfn.XLOOKUP(E643, Product_Master!$A$2:$A$101, Product_Master!$D$2:$D$101)</f>
        <v>42000</v>
      </c>
      <c r="L643">
        <f>_xlfn.XLOOKUP(E643, Product_Master!$A$2:$A$101, Product_Master!$E$2:$E$101)</f>
        <v>50000</v>
      </c>
      <c r="M643">
        <f t="shared" ref="M643:M706" si="51">F643*L643</f>
        <v>100000</v>
      </c>
      <c r="N643">
        <f t="shared" ref="N643:N706" si="52">F643*K643</f>
        <v>84000</v>
      </c>
      <c r="O643">
        <f t="shared" ref="O643:O706" si="53">M643-N643</f>
        <v>16000</v>
      </c>
      <c r="P643" s="3">
        <f t="shared" ref="P643:P706" si="54">O643/M643</f>
        <v>0.16</v>
      </c>
      <c r="Q643" s="3" t="str">
        <v>Low Profit</v>
      </c>
    </row>
    <row r="644" spans="1:17" x14ac:dyDescent="0.3">
      <c r="A644" t="s">
        <v>1091</v>
      </c>
      <c r="B644" s="2">
        <v>45855</v>
      </c>
      <c r="C644" s="2" t="str">
        <f t="shared" si="50"/>
        <v>July</v>
      </c>
      <c r="D644" t="s">
        <v>116</v>
      </c>
      <c r="E644" t="s">
        <v>420</v>
      </c>
      <c r="F644">
        <v>5</v>
      </c>
      <c r="G644" t="s">
        <v>7</v>
      </c>
      <c r="H644" t="s">
        <v>14</v>
      </c>
      <c r="I644" t="s">
        <v>329</v>
      </c>
      <c r="J644" t="str">
        <f>_xlfn.XLOOKUP(E644, Product_Master!$A$2:$A$101, Product_Master!$C$2:$C$101)</f>
        <v>Electronics</v>
      </c>
      <c r="K644">
        <f>_xlfn.XLOOKUP(E644, Product_Master!$A$2:$A$101, Product_Master!$D$2:$D$101)</f>
        <v>20000</v>
      </c>
      <c r="L644">
        <f>_xlfn.XLOOKUP(E644, Product_Master!$A$2:$A$101, Product_Master!$E$2:$E$101)</f>
        <v>25000</v>
      </c>
      <c r="M644">
        <f t="shared" si="51"/>
        <v>125000</v>
      </c>
      <c r="N644">
        <f t="shared" si="52"/>
        <v>100000</v>
      </c>
      <c r="O644">
        <f t="shared" si="53"/>
        <v>25000</v>
      </c>
      <c r="P644" s="3">
        <f t="shared" si="54"/>
        <v>0.2</v>
      </c>
      <c r="Q644" s="3" t="str">
        <v>Low Profit</v>
      </c>
    </row>
    <row r="645" spans="1:17" x14ac:dyDescent="0.3">
      <c r="A645" t="s">
        <v>1092</v>
      </c>
      <c r="B645" s="2">
        <v>45879</v>
      </c>
      <c r="C645" s="2" t="str">
        <f t="shared" si="50"/>
        <v>August</v>
      </c>
      <c r="D645" t="s">
        <v>156</v>
      </c>
      <c r="E645" t="s">
        <v>389</v>
      </c>
      <c r="F645">
        <v>4</v>
      </c>
      <c r="G645" t="s">
        <v>4</v>
      </c>
      <c r="H645" t="s">
        <v>20</v>
      </c>
      <c r="I645" t="s">
        <v>337</v>
      </c>
      <c r="J645" t="str">
        <f>_xlfn.XLOOKUP(E645, Product_Master!$A$2:$A$101, Product_Master!$C$2:$C$101)</f>
        <v>Electronics</v>
      </c>
      <c r="K645">
        <f>_xlfn.XLOOKUP(E645, Product_Master!$A$2:$A$101, Product_Master!$D$2:$D$101)</f>
        <v>15000</v>
      </c>
      <c r="L645">
        <f>_xlfn.XLOOKUP(E645, Product_Master!$A$2:$A$101, Product_Master!$E$2:$E$101)</f>
        <v>18000</v>
      </c>
      <c r="M645">
        <f t="shared" si="51"/>
        <v>72000</v>
      </c>
      <c r="N645">
        <f t="shared" si="52"/>
        <v>60000</v>
      </c>
      <c r="O645">
        <f t="shared" si="53"/>
        <v>12000</v>
      </c>
      <c r="P645" s="3">
        <f t="shared" si="54"/>
        <v>0.16666666666666666</v>
      </c>
      <c r="Q645" s="3" t="str">
        <v>Low Profit</v>
      </c>
    </row>
    <row r="646" spans="1:17" x14ac:dyDescent="0.3">
      <c r="A646" t="s">
        <v>1093</v>
      </c>
      <c r="B646" s="2">
        <v>46004</v>
      </c>
      <c r="C646" s="2" t="str">
        <f t="shared" si="50"/>
        <v>December</v>
      </c>
      <c r="D646" t="s">
        <v>95</v>
      </c>
      <c r="E646" t="s">
        <v>439</v>
      </c>
      <c r="F646">
        <v>4</v>
      </c>
      <c r="G646" t="s">
        <v>24</v>
      </c>
      <c r="H646" t="s">
        <v>5</v>
      </c>
      <c r="I646" t="s">
        <v>353</v>
      </c>
      <c r="J646" t="str">
        <f>_xlfn.XLOOKUP(E646, Product_Master!$A$2:$A$101, Product_Master!$C$2:$C$101)</f>
        <v>Electronics</v>
      </c>
      <c r="K646">
        <f>_xlfn.XLOOKUP(E646, Product_Master!$A$2:$A$101, Product_Master!$D$2:$D$101)</f>
        <v>12000</v>
      </c>
      <c r="L646">
        <f>_xlfn.XLOOKUP(E646, Product_Master!$A$2:$A$101, Product_Master!$E$2:$E$101)</f>
        <v>15000</v>
      </c>
      <c r="M646">
        <f t="shared" si="51"/>
        <v>60000</v>
      </c>
      <c r="N646">
        <f t="shared" si="52"/>
        <v>48000</v>
      </c>
      <c r="O646">
        <f t="shared" si="53"/>
        <v>12000</v>
      </c>
      <c r="P646" s="3">
        <f t="shared" si="54"/>
        <v>0.2</v>
      </c>
      <c r="Q646" s="3" t="str">
        <v>Low Profit</v>
      </c>
    </row>
    <row r="647" spans="1:17" x14ac:dyDescent="0.3">
      <c r="A647" t="s">
        <v>1094</v>
      </c>
      <c r="B647" s="2">
        <v>45910</v>
      </c>
      <c r="C647" s="2" t="str">
        <f t="shared" si="50"/>
        <v>September</v>
      </c>
      <c r="D647" t="s">
        <v>299</v>
      </c>
      <c r="E647" t="s">
        <v>405</v>
      </c>
      <c r="F647">
        <v>2</v>
      </c>
      <c r="G647" t="s">
        <v>7</v>
      </c>
      <c r="H647" t="s">
        <v>39</v>
      </c>
      <c r="I647" t="s">
        <v>332</v>
      </c>
      <c r="J647" t="str">
        <f>_xlfn.XLOOKUP(E647, Product_Master!$A$2:$A$101, Product_Master!$C$2:$C$101)</f>
        <v>Accessories</v>
      </c>
      <c r="K647">
        <f>_xlfn.XLOOKUP(E647, Product_Master!$A$2:$A$101, Product_Master!$D$2:$D$101)</f>
        <v>500</v>
      </c>
      <c r="L647">
        <f>_xlfn.XLOOKUP(E647, Product_Master!$A$2:$A$101, Product_Master!$E$2:$E$101)</f>
        <v>800</v>
      </c>
      <c r="M647">
        <f t="shared" si="51"/>
        <v>1600</v>
      </c>
      <c r="N647">
        <f t="shared" si="52"/>
        <v>1000</v>
      </c>
      <c r="O647">
        <f t="shared" si="53"/>
        <v>600</v>
      </c>
      <c r="P647" s="3">
        <f t="shared" si="54"/>
        <v>0.375</v>
      </c>
      <c r="Q647" s="3" t="str">
        <v>High Profit</v>
      </c>
    </row>
    <row r="648" spans="1:17" x14ac:dyDescent="0.3">
      <c r="A648" t="s">
        <v>1095</v>
      </c>
      <c r="B648" s="2">
        <v>45974</v>
      </c>
      <c r="C648" s="2" t="str">
        <f t="shared" si="50"/>
        <v>November</v>
      </c>
      <c r="D648" t="s">
        <v>83</v>
      </c>
      <c r="E648" t="s">
        <v>345</v>
      </c>
      <c r="F648">
        <v>1</v>
      </c>
      <c r="G648" t="s">
        <v>7</v>
      </c>
      <c r="H648" t="s">
        <v>8</v>
      </c>
      <c r="I648" t="s">
        <v>346</v>
      </c>
      <c r="J648" t="str">
        <f>_xlfn.XLOOKUP(E648, Product_Master!$A$2:$A$101, Product_Master!$C$2:$C$101)</f>
        <v>Accessories</v>
      </c>
      <c r="K648">
        <f>_xlfn.XLOOKUP(E648, Product_Master!$A$2:$A$101, Product_Master!$D$2:$D$101)</f>
        <v>9000</v>
      </c>
      <c r="L648">
        <f>_xlfn.XLOOKUP(E648, Product_Master!$A$2:$A$101, Product_Master!$E$2:$E$101)</f>
        <v>12000</v>
      </c>
      <c r="M648">
        <f t="shared" si="51"/>
        <v>12000</v>
      </c>
      <c r="N648">
        <f t="shared" si="52"/>
        <v>9000</v>
      </c>
      <c r="O648">
        <f t="shared" si="53"/>
        <v>3000</v>
      </c>
      <c r="P648" s="3">
        <f t="shared" si="54"/>
        <v>0.25</v>
      </c>
      <c r="Q648" s="3" t="str">
        <v>High Profit</v>
      </c>
    </row>
    <row r="649" spans="1:17" x14ac:dyDescent="0.3">
      <c r="A649" t="s">
        <v>1096</v>
      </c>
      <c r="B649" s="2">
        <v>45816</v>
      </c>
      <c r="C649" s="2" t="str">
        <f t="shared" si="50"/>
        <v>June</v>
      </c>
      <c r="D649" t="s">
        <v>290</v>
      </c>
      <c r="E649" t="s">
        <v>395</v>
      </c>
      <c r="F649">
        <v>3</v>
      </c>
      <c r="G649" t="s">
        <v>16</v>
      </c>
      <c r="H649" t="s">
        <v>27</v>
      </c>
      <c r="I649" t="s">
        <v>340</v>
      </c>
      <c r="J649" t="str">
        <f>_xlfn.XLOOKUP(E649, Product_Master!$A$2:$A$101, Product_Master!$C$2:$C$101)</f>
        <v>Electronics</v>
      </c>
      <c r="K649">
        <f>_xlfn.XLOOKUP(E649, Product_Master!$A$2:$A$101, Product_Master!$D$2:$D$101)</f>
        <v>42000</v>
      </c>
      <c r="L649">
        <f>_xlfn.XLOOKUP(E649, Product_Master!$A$2:$A$101, Product_Master!$E$2:$E$101)</f>
        <v>50000</v>
      </c>
      <c r="M649">
        <f t="shared" si="51"/>
        <v>150000</v>
      </c>
      <c r="N649">
        <f t="shared" si="52"/>
        <v>126000</v>
      </c>
      <c r="O649">
        <f t="shared" si="53"/>
        <v>24000</v>
      </c>
      <c r="P649" s="3">
        <f t="shared" si="54"/>
        <v>0.16</v>
      </c>
      <c r="Q649" s="3" t="str">
        <v>Low Profit</v>
      </c>
    </row>
    <row r="650" spans="1:17" x14ac:dyDescent="0.3">
      <c r="A650" t="s">
        <v>1097</v>
      </c>
      <c r="B650" s="2">
        <v>45907</v>
      </c>
      <c r="C650" s="2" t="str">
        <f t="shared" si="50"/>
        <v>September</v>
      </c>
      <c r="D650" t="s">
        <v>198</v>
      </c>
      <c r="E650" t="s">
        <v>363</v>
      </c>
      <c r="F650">
        <v>1</v>
      </c>
      <c r="G650" t="s">
        <v>45</v>
      </c>
      <c r="H650" t="s">
        <v>27</v>
      </c>
      <c r="I650" t="s">
        <v>346</v>
      </c>
      <c r="J650" t="str">
        <f>_xlfn.XLOOKUP(E650, Product_Master!$A$2:$A$101, Product_Master!$C$2:$C$101)</f>
        <v>Accessories</v>
      </c>
      <c r="K650">
        <f>_xlfn.XLOOKUP(E650, Product_Master!$A$2:$A$101, Product_Master!$D$2:$D$101)</f>
        <v>9000</v>
      </c>
      <c r="L650">
        <f>_xlfn.XLOOKUP(E650, Product_Master!$A$2:$A$101, Product_Master!$E$2:$E$101)</f>
        <v>12000</v>
      </c>
      <c r="M650">
        <f t="shared" si="51"/>
        <v>12000</v>
      </c>
      <c r="N650">
        <f t="shared" si="52"/>
        <v>9000</v>
      </c>
      <c r="O650">
        <f t="shared" si="53"/>
        <v>3000</v>
      </c>
      <c r="P650" s="3">
        <f t="shared" si="54"/>
        <v>0.25</v>
      </c>
      <c r="Q650" s="3" t="str">
        <v>High Profit</v>
      </c>
    </row>
    <row r="651" spans="1:17" x14ac:dyDescent="0.3">
      <c r="A651" t="s">
        <v>1098</v>
      </c>
      <c r="B651" s="2">
        <v>45695</v>
      </c>
      <c r="C651" s="2" t="str">
        <f t="shared" si="50"/>
        <v>February</v>
      </c>
      <c r="D651" t="s">
        <v>469</v>
      </c>
      <c r="E651" t="s">
        <v>431</v>
      </c>
      <c r="F651">
        <v>5</v>
      </c>
      <c r="G651" t="s">
        <v>1454</v>
      </c>
      <c r="H651" t="s">
        <v>1455</v>
      </c>
      <c r="I651" t="s">
        <v>332</v>
      </c>
      <c r="J651" t="str">
        <f>_xlfn.XLOOKUP(E651, Product_Master!$A$2:$A$101, Product_Master!$C$2:$C$101)</f>
        <v>Accessories</v>
      </c>
      <c r="K651">
        <f>_xlfn.XLOOKUP(E651, Product_Master!$A$2:$A$101, Product_Master!$D$2:$D$101)</f>
        <v>500</v>
      </c>
      <c r="L651">
        <f>_xlfn.XLOOKUP(E651, Product_Master!$A$2:$A$101, Product_Master!$E$2:$E$101)</f>
        <v>800</v>
      </c>
      <c r="M651">
        <f t="shared" si="51"/>
        <v>4000</v>
      </c>
      <c r="N651">
        <f t="shared" si="52"/>
        <v>2500</v>
      </c>
      <c r="O651">
        <f t="shared" si="53"/>
        <v>1500</v>
      </c>
      <c r="P651" s="3">
        <f t="shared" si="54"/>
        <v>0.375</v>
      </c>
      <c r="Q651" s="3" t="str">
        <v>High Profit</v>
      </c>
    </row>
    <row r="652" spans="1:17" x14ac:dyDescent="0.3">
      <c r="A652" t="s">
        <v>1099</v>
      </c>
      <c r="B652" s="2">
        <v>45799</v>
      </c>
      <c r="C652" s="2" t="str">
        <f t="shared" si="50"/>
        <v>May</v>
      </c>
      <c r="D652" t="s">
        <v>459</v>
      </c>
      <c r="E652" t="s">
        <v>414</v>
      </c>
      <c r="F652">
        <v>4</v>
      </c>
      <c r="G652" t="s">
        <v>1454</v>
      </c>
      <c r="H652" t="s">
        <v>1455</v>
      </c>
      <c r="I652" t="s">
        <v>332</v>
      </c>
      <c r="J652" t="str">
        <f>_xlfn.XLOOKUP(E652, Product_Master!$A$2:$A$101, Product_Master!$C$2:$C$101)</f>
        <v>Accessories</v>
      </c>
      <c r="K652">
        <f>_xlfn.XLOOKUP(E652, Product_Master!$A$2:$A$101, Product_Master!$D$2:$D$101)</f>
        <v>500</v>
      </c>
      <c r="L652">
        <f>_xlfn.XLOOKUP(E652, Product_Master!$A$2:$A$101, Product_Master!$E$2:$E$101)</f>
        <v>800</v>
      </c>
      <c r="M652">
        <f t="shared" si="51"/>
        <v>3200</v>
      </c>
      <c r="N652">
        <f t="shared" si="52"/>
        <v>2000</v>
      </c>
      <c r="O652">
        <f t="shared" si="53"/>
        <v>1200</v>
      </c>
      <c r="P652" s="3">
        <f t="shared" si="54"/>
        <v>0.375</v>
      </c>
      <c r="Q652" s="3" t="str">
        <v>High Profit</v>
      </c>
    </row>
    <row r="653" spans="1:17" x14ac:dyDescent="0.3">
      <c r="A653" t="s">
        <v>1100</v>
      </c>
      <c r="B653" s="2">
        <v>45921</v>
      </c>
      <c r="C653" s="2" t="str">
        <f t="shared" si="50"/>
        <v>September</v>
      </c>
      <c r="D653" t="s">
        <v>237</v>
      </c>
      <c r="E653" t="s">
        <v>349</v>
      </c>
      <c r="F653">
        <v>5</v>
      </c>
      <c r="G653" t="s">
        <v>47</v>
      </c>
      <c r="H653" t="s">
        <v>8</v>
      </c>
      <c r="I653" t="s">
        <v>346</v>
      </c>
      <c r="J653" t="str">
        <f>_xlfn.XLOOKUP(E653, Product_Master!$A$2:$A$101, Product_Master!$C$2:$C$101)</f>
        <v>Accessories</v>
      </c>
      <c r="K653">
        <f>_xlfn.XLOOKUP(E653, Product_Master!$A$2:$A$101, Product_Master!$D$2:$D$101)</f>
        <v>9000</v>
      </c>
      <c r="L653">
        <f>_xlfn.XLOOKUP(E653, Product_Master!$A$2:$A$101, Product_Master!$E$2:$E$101)</f>
        <v>12000</v>
      </c>
      <c r="M653">
        <f t="shared" si="51"/>
        <v>60000</v>
      </c>
      <c r="N653">
        <f t="shared" si="52"/>
        <v>45000</v>
      </c>
      <c r="O653">
        <f t="shared" si="53"/>
        <v>15000</v>
      </c>
      <c r="P653" s="3">
        <f t="shared" si="54"/>
        <v>0.25</v>
      </c>
      <c r="Q653" s="3" t="str">
        <v>High Profit</v>
      </c>
    </row>
    <row r="654" spans="1:17" x14ac:dyDescent="0.3">
      <c r="A654" t="s">
        <v>1101</v>
      </c>
      <c r="B654" s="2">
        <v>45966</v>
      </c>
      <c r="C654" s="2" t="str">
        <f t="shared" si="50"/>
        <v>November</v>
      </c>
      <c r="D654" t="s">
        <v>41</v>
      </c>
      <c r="E654" t="s">
        <v>411</v>
      </c>
      <c r="F654">
        <v>4</v>
      </c>
      <c r="G654" t="s">
        <v>37</v>
      </c>
      <c r="H654" t="s">
        <v>31</v>
      </c>
      <c r="I654" t="s">
        <v>346</v>
      </c>
      <c r="J654" t="str">
        <f>_xlfn.XLOOKUP(E654, Product_Master!$A$2:$A$101, Product_Master!$C$2:$C$101)</f>
        <v>Accessories</v>
      </c>
      <c r="K654">
        <f>_xlfn.XLOOKUP(E654, Product_Master!$A$2:$A$101, Product_Master!$D$2:$D$101)</f>
        <v>9000</v>
      </c>
      <c r="L654">
        <f>_xlfn.XLOOKUP(E654, Product_Master!$A$2:$A$101, Product_Master!$E$2:$E$101)</f>
        <v>12000</v>
      </c>
      <c r="M654">
        <f t="shared" si="51"/>
        <v>48000</v>
      </c>
      <c r="N654">
        <f t="shared" si="52"/>
        <v>36000</v>
      </c>
      <c r="O654">
        <f t="shared" si="53"/>
        <v>12000</v>
      </c>
      <c r="P654" s="3">
        <f t="shared" si="54"/>
        <v>0.25</v>
      </c>
      <c r="Q654" s="3" t="str">
        <v>High Profit</v>
      </c>
    </row>
    <row r="655" spans="1:17" x14ac:dyDescent="0.3">
      <c r="A655" t="s">
        <v>1102</v>
      </c>
      <c r="B655" s="2">
        <v>45908</v>
      </c>
      <c r="C655" s="2" t="str">
        <f t="shared" si="50"/>
        <v>September</v>
      </c>
      <c r="D655" t="s">
        <v>228</v>
      </c>
      <c r="E655" t="s">
        <v>432</v>
      </c>
      <c r="F655">
        <v>2</v>
      </c>
      <c r="G655" t="s">
        <v>47</v>
      </c>
      <c r="H655" t="s">
        <v>20</v>
      </c>
      <c r="I655" t="s">
        <v>344</v>
      </c>
      <c r="J655" t="str">
        <f>_xlfn.XLOOKUP(E655, Product_Master!$A$2:$A$101, Product_Master!$C$2:$C$101)</f>
        <v>Accessories</v>
      </c>
      <c r="K655">
        <f>_xlfn.XLOOKUP(E655, Product_Master!$A$2:$A$101, Product_Master!$D$2:$D$101)</f>
        <v>2000</v>
      </c>
      <c r="L655">
        <f>_xlfn.XLOOKUP(E655, Product_Master!$A$2:$A$101, Product_Master!$E$2:$E$101)</f>
        <v>3000</v>
      </c>
      <c r="M655">
        <f t="shared" si="51"/>
        <v>6000</v>
      </c>
      <c r="N655">
        <f t="shared" si="52"/>
        <v>4000</v>
      </c>
      <c r="O655">
        <f t="shared" si="53"/>
        <v>2000</v>
      </c>
      <c r="P655" s="3">
        <f t="shared" si="54"/>
        <v>0.33333333333333331</v>
      </c>
      <c r="Q655" s="3" t="str">
        <v>High Profit</v>
      </c>
    </row>
    <row r="656" spans="1:17" x14ac:dyDescent="0.3">
      <c r="A656" t="s">
        <v>1103</v>
      </c>
      <c r="B656" s="2">
        <v>45663</v>
      </c>
      <c r="C656" s="2" t="str">
        <f t="shared" si="50"/>
        <v>January</v>
      </c>
      <c r="D656" t="s">
        <v>82</v>
      </c>
      <c r="E656" t="s">
        <v>441</v>
      </c>
      <c r="F656">
        <v>2</v>
      </c>
      <c r="G656" t="s">
        <v>16</v>
      </c>
      <c r="H656" t="s">
        <v>39</v>
      </c>
      <c r="I656" t="s">
        <v>346</v>
      </c>
      <c r="J656" t="str">
        <f>_xlfn.XLOOKUP(E656, Product_Master!$A$2:$A$101, Product_Master!$C$2:$C$101)</f>
        <v>Accessories</v>
      </c>
      <c r="K656">
        <f>_xlfn.XLOOKUP(E656, Product_Master!$A$2:$A$101, Product_Master!$D$2:$D$101)</f>
        <v>9000</v>
      </c>
      <c r="L656">
        <f>_xlfn.XLOOKUP(E656, Product_Master!$A$2:$A$101, Product_Master!$E$2:$E$101)</f>
        <v>12000</v>
      </c>
      <c r="M656">
        <f t="shared" si="51"/>
        <v>24000</v>
      </c>
      <c r="N656">
        <f t="shared" si="52"/>
        <v>18000</v>
      </c>
      <c r="O656">
        <f t="shared" si="53"/>
        <v>6000</v>
      </c>
      <c r="P656" s="3">
        <f t="shared" si="54"/>
        <v>0.25</v>
      </c>
      <c r="Q656" s="3" t="str">
        <v>High Profit</v>
      </c>
    </row>
    <row r="657" spans="1:17" x14ac:dyDescent="0.3">
      <c r="A657" t="s">
        <v>1104</v>
      </c>
      <c r="B657" s="2">
        <v>45768</v>
      </c>
      <c r="C657" s="2" t="str">
        <f t="shared" si="50"/>
        <v>April</v>
      </c>
      <c r="D657" t="s">
        <v>63</v>
      </c>
      <c r="E657" t="s">
        <v>408</v>
      </c>
      <c r="F657">
        <v>2</v>
      </c>
      <c r="G657" t="s">
        <v>12</v>
      </c>
      <c r="H657" t="s">
        <v>20</v>
      </c>
      <c r="I657" t="s">
        <v>332</v>
      </c>
      <c r="J657" t="str">
        <f>_xlfn.XLOOKUP(E657, Product_Master!$A$2:$A$101, Product_Master!$C$2:$C$101)</f>
        <v>Accessories</v>
      </c>
      <c r="K657">
        <f>_xlfn.XLOOKUP(E657, Product_Master!$A$2:$A$101, Product_Master!$D$2:$D$101)</f>
        <v>500</v>
      </c>
      <c r="L657">
        <f>_xlfn.XLOOKUP(E657, Product_Master!$A$2:$A$101, Product_Master!$E$2:$E$101)</f>
        <v>800</v>
      </c>
      <c r="M657">
        <f t="shared" si="51"/>
        <v>1600</v>
      </c>
      <c r="N657">
        <f t="shared" si="52"/>
        <v>1000</v>
      </c>
      <c r="O657">
        <f t="shared" si="53"/>
        <v>600</v>
      </c>
      <c r="P657" s="3">
        <f t="shared" si="54"/>
        <v>0.375</v>
      </c>
      <c r="Q657" s="3" t="str">
        <v>High Profit</v>
      </c>
    </row>
    <row r="658" spans="1:17" x14ac:dyDescent="0.3">
      <c r="A658" t="s">
        <v>1105</v>
      </c>
      <c r="B658" s="2">
        <v>45917</v>
      </c>
      <c r="C658" s="2" t="str">
        <f t="shared" si="50"/>
        <v>September</v>
      </c>
      <c r="D658" t="s">
        <v>9</v>
      </c>
      <c r="E658" t="s">
        <v>410</v>
      </c>
      <c r="F658">
        <v>1</v>
      </c>
      <c r="G658" t="s">
        <v>10</v>
      </c>
      <c r="H658" t="s">
        <v>8</v>
      </c>
      <c r="I658" t="s">
        <v>353</v>
      </c>
      <c r="J658" t="str">
        <f>_xlfn.XLOOKUP(E658, Product_Master!$A$2:$A$101, Product_Master!$C$2:$C$101)</f>
        <v>Electronics</v>
      </c>
      <c r="K658">
        <f>_xlfn.XLOOKUP(E658, Product_Master!$A$2:$A$101, Product_Master!$D$2:$D$101)</f>
        <v>12000</v>
      </c>
      <c r="L658">
        <f>_xlfn.XLOOKUP(E658, Product_Master!$A$2:$A$101, Product_Master!$E$2:$E$101)</f>
        <v>15000</v>
      </c>
      <c r="M658">
        <f t="shared" si="51"/>
        <v>15000</v>
      </c>
      <c r="N658">
        <f t="shared" si="52"/>
        <v>12000</v>
      </c>
      <c r="O658">
        <f t="shared" si="53"/>
        <v>3000</v>
      </c>
      <c r="P658" s="3">
        <f t="shared" si="54"/>
        <v>0.2</v>
      </c>
      <c r="Q658" s="3" t="str">
        <v>Low Profit</v>
      </c>
    </row>
    <row r="659" spans="1:17" x14ac:dyDescent="0.3">
      <c r="A659" t="s">
        <v>1106</v>
      </c>
      <c r="B659" s="2">
        <v>45687</v>
      </c>
      <c r="C659" s="2" t="str">
        <f t="shared" si="50"/>
        <v>January</v>
      </c>
      <c r="D659" t="s">
        <v>88</v>
      </c>
      <c r="E659" t="s">
        <v>431</v>
      </c>
      <c r="F659">
        <v>1</v>
      </c>
      <c r="G659" t="s">
        <v>45</v>
      </c>
      <c r="H659" t="s">
        <v>14</v>
      </c>
      <c r="I659" t="s">
        <v>332</v>
      </c>
      <c r="J659" t="str">
        <f>_xlfn.XLOOKUP(E659, Product_Master!$A$2:$A$101, Product_Master!$C$2:$C$101)</f>
        <v>Accessories</v>
      </c>
      <c r="K659">
        <f>_xlfn.XLOOKUP(E659, Product_Master!$A$2:$A$101, Product_Master!$D$2:$D$101)</f>
        <v>500</v>
      </c>
      <c r="L659">
        <f>_xlfn.XLOOKUP(E659, Product_Master!$A$2:$A$101, Product_Master!$E$2:$E$101)</f>
        <v>800</v>
      </c>
      <c r="M659">
        <f t="shared" si="51"/>
        <v>800</v>
      </c>
      <c r="N659">
        <f t="shared" si="52"/>
        <v>500</v>
      </c>
      <c r="O659">
        <f t="shared" si="53"/>
        <v>300</v>
      </c>
      <c r="P659" s="3">
        <f t="shared" si="54"/>
        <v>0.375</v>
      </c>
      <c r="Q659" s="3" t="str">
        <v>High Profit</v>
      </c>
    </row>
    <row r="660" spans="1:17" x14ac:dyDescent="0.3">
      <c r="A660" t="s">
        <v>1107</v>
      </c>
      <c r="B660" s="2">
        <v>45777</v>
      </c>
      <c r="C660" s="2" t="str">
        <f t="shared" si="50"/>
        <v>April</v>
      </c>
      <c r="D660" t="s">
        <v>227</v>
      </c>
      <c r="E660" t="s">
        <v>435</v>
      </c>
      <c r="F660">
        <v>4</v>
      </c>
      <c r="G660" t="s">
        <v>24</v>
      </c>
      <c r="H660" t="s">
        <v>39</v>
      </c>
      <c r="I660" t="s">
        <v>346</v>
      </c>
      <c r="J660" t="str">
        <f>_xlfn.XLOOKUP(E660, Product_Master!$A$2:$A$101, Product_Master!$C$2:$C$101)</f>
        <v>Accessories</v>
      </c>
      <c r="K660">
        <f>_xlfn.XLOOKUP(E660, Product_Master!$A$2:$A$101, Product_Master!$D$2:$D$101)</f>
        <v>9000</v>
      </c>
      <c r="L660">
        <f>_xlfn.XLOOKUP(E660, Product_Master!$A$2:$A$101, Product_Master!$E$2:$E$101)</f>
        <v>12000</v>
      </c>
      <c r="M660">
        <f t="shared" si="51"/>
        <v>48000</v>
      </c>
      <c r="N660">
        <f t="shared" si="52"/>
        <v>36000</v>
      </c>
      <c r="O660">
        <f t="shared" si="53"/>
        <v>12000</v>
      </c>
      <c r="P660" s="3">
        <f t="shared" si="54"/>
        <v>0.25</v>
      </c>
      <c r="Q660" s="3" t="str">
        <v>High Profit</v>
      </c>
    </row>
    <row r="661" spans="1:17" x14ac:dyDescent="0.3">
      <c r="A661" t="s">
        <v>1108</v>
      </c>
      <c r="B661" s="2">
        <v>45686</v>
      </c>
      <c r="C661" s="2" t="str">
        <f t="shared" si="50"/>
        <v>January</v>
      </c>
      <c r="D661" t="s">
        <v>214</v>
      </c>
      <c r="E661" t="s">
        <v>403</v>
      </c>
      <c r="F661">
        <v>1</v>
      </c>
      <c r="G661" t="s">
        <v>37</v>
      </c>
      <c r="H661" t="s">
        <v>39</v>
      </c>
      <c r="I661" t="s">
        <v>353</v>
      </c>
      <c r="J661" t="str">
        <f>_xlfn.XLOOKUP(E661, Product_Master!$A$2:$A$101, Product_Master!$C$2:$C$101)</f>
        <v>Electronics</v>
      </c>
      <c r="K661">
        <f>_xlfn.XLOOKUP(E661, Product_Master!$A$2:$A$101, Product_Master!$D$2:$D$101)</f>
        <v>12000</v>
      </c>
      <c r="L661">
        <f>_xlfn.XLOOKUP(E661, Product_Master!$A$2:$A$101, Product_Master!$E$2:$E$101)</f>
        <v>15000</v>
      </c>
      <c r="M661">
        <f t="shared" si="51"/>
        <v>15000</v>
      </c>
      <c r="N661">
        <f t="shared" si="52"/>
        <v>12000</v>
      </c>
      <c r="O661">
        <f t="shared" si="53"/>
        <v>3000</v>
      </c>
      <c r="P661" s="3">
        <f t="shared" si="54"/>
        <v>0.2</v>
      </c>
      <c r="Q661" s="3" t="str">
        <v>Low Profit</v>
      </c>
    </row>
    <row r="662" spans="1:17" x14ac:dyDescent="0.3">
      <c r="A662" t="s">
        <v>1109</v>
      </c>
      <c r="B662" s="2">
        <v>45768</v>
      </c>
      <c r="C662" s="2" t="str">
        <f t="shared" si="50"/>
        <v>April</v>
      </c>
      <c r="D662" t="s">
        <v>166</v>
      </c>
      <c r="E662" t="s">
        <v>430</v>
      </c>
      <c r="F662">
        <v>5</v>
      </c>
      <c r="G662" t="s">
        <v>29</v>
      </c>
      <c r="H662" t="s">
        <v>27</v>
      </c>
      <c r="I662" t="s">
        <v>346</v>
      </c>
      <c r="J662" t="str">
        <f>_xlfn.XLOOKUP(E662, Product_Master!$A$2:$A$101, Product_Master!$C$2:$C$101)</f>
        <v>Accessories</v>
      </c>
      <c r="K662">
        <f>_xlfn.XLOOKUP(E662, Product_Master!$A$2:$A$101, Product_Master!$D$2:$D$101)</f>
        <v>9000</v>
      </c>
      <c r="L662">
        <f>_xlfn.XLOOKUP(E662, Product_Master!$A$2:$A$101, Product_Master!$E$2:$E$101)</f>
        <v>12000</v>
      </c>
      <c r="M662">
        <f t="shared" si="51"/>
        <v>60000</v>
      </c>
      <c r="N662">
        <f t="shared" si="52"/>
        <v>45000</v>
      </c>
      <c r="O662">
        <f t="shared" si="53"/>
        <v>15000</v>
      </c>
      <c r="P662" s="3">
        <f t="shared" si="54"/>
        <v>0.25</v>
      </c>
      <c r="Q662" s="3" t="str">
        <v>High Profit</v>
      </c>
    </row>
    <row r="663" spans="1:17" x14ac:dyDescent="0.3">
      <c r="A663" t="s">
        <v>1110</v>
      </c>
      <c r="B663" s="2">
        <v>45764</v>
      </c>
      <c r="C663" s="2" t="str">
        <f t="shared" si="50"/>
        <v>April</v>
      </c>
      <c r="D663" t="s">
        <v>112</v>
      </c>
      <c r="E663" t="s">
        <v>331</v>
      </c>
      <c r="F663">
        <v>2</v>
      </c>
      <c r="G663" t="s">
        <v>29</v>
      </c>
      <c r="H663" t="s">
        <v>14</v>
      </c>
      <c r="I663" t="s">
        <v>332</v>
      </c>
      <c r="J663" t="str">
        <f>_xlfn.XLOOKUP(E663, Product_Master!$A$2:$A$101, Product_Master!$C$2:$C$101)</f>
        <v>Accessories</v>
      </c>
      <c r="K663">
        <f>_xlfn.XLOOKUP(E663, Product_Master!$A$2:$A$101, Product_Master!$D$2:$D$101)</f>
        <v>500</v>
      </c>
      <c r="L663">
        <f>_xlfn.XLOOKUP(E663, Product_Master!$A$2:$A$101, Product_Master!$E$2:$E$101)</f>
        <v>800</v>
      </c>
      <c r="M663">
        <f t="shared" si="51"/>
        <v>1600</v>
      </c>
      <c r="N663">
        <f t="shared" si="52"/>
        <v>1000</v>
      </c>
      <c r="O663">
        <f t="shared" si="53"/>
        <v>600</v>
      </c>
      <c r="P663" s="3">
        <f t="shared" si="54"/>
        <v>0.375</v>
      </c>
      <c r="Q663" s="3" t="str">
        <v>High Profit</v>
      </c>
    </row>
    <row r="664" spans="1:17" x14ac:dyDescent="0.3">
      <c r="A664" t="s">
        <v>1111</v>
      </c>
      <c r="B664" s="2">
        <v>45919</v>
      </c>
      <c r="C664" s="2" t="str">
        <f t="shared" si="50"/>
        <v>September</v>
      </c>
      <c r="D664" t="s">
        <v>321</v>
      </c>
      <c r="E664" t="s">
        <v>356</v>
      </c>
      <c r="F664">
        <v>2</v>
      </c>
      <c r="G664" t="s">
        <v>12</v>
      </c>
      <c r="H664" t="s">
        <v>1455</v>
      </c>
      <c r="I664" t="s">
        <v>340</v>
      </c>
      <c r="J664" t="str">
        <f>_xlfn.XLOOKUP(E664, Product_Master!$A$2:$A$101, Product_Master!$C$2:$C$101)</f>
        <v>Electronics</v>
      </c>
      <c r="K664">
        <f>_xlfn.XLOOKUP(E664, Product_Master!$A$2:$A$101, Product_Master!$D$2:$D$101)</f>
        <v>42000</v>
      </c>
      <c r="L664">
        <f>_xlfn.XLOOKUP(E664, Product_Master!$A$2:$A$101, Product_Master!$E$2:$E$101)</f>
        <v>50000</v>
      </c>
      <c r="M664">
        <f t="shared" si="51"/>
        <v>100000</v>
      </c>
      <c r="N664">
        <f t="shared" si="52"/>
        <v>84000</v>
      </c>
      <c r="O664">
        <f t="shared" si="53"/>
        <v>16000</v>
      </c>
      <c r="P664" s="3">
        <f t="shared" si="54"/>
        <v>0.16</v>
      </c>
      <c r="Q664" s="3" t="str">
        <v>Low Profit</v>
      </c>
    </row>
    <row r="665" spans="1:17" x14ac:dyDescent="0.3">
      <c r="A665" t="s">
        <v>1112</v>
      </c>
      <c r="B665" s="2">
        <v>45756</v>
      </c>
      <c r="C665" s="2" t="str">
        <f t="shared" si="50"/>
        <v>April</v>
      </c>
      <c r="D665" t="s">
        <v>35</v>
      </c>
      <c r="E665" t="s">
        <v>367</v>
      </c>
      <c r="F665">
        <v>3</v>
      </c>
      <c r="G665" t="s">
        <v>16</v>
      </c>
      <c r="H665" t="s">
        <v>5</v>
      </c>
      <c r="I665" t="s">
        <v>344</v>
      </c>
      <c r="J665" t="str">
        <f>_xlfn.XLOOKUP(E665, Product_Master!$A$2:$A$101, Product_Master!$C$2:$C$101)</f>
        <v>Accessories</v>
      </c>
      <c r="K665">
        <f>_xlfn.XLOOKUP(E665, Product_Master!$A$2:$A$101, Product_Master!$D$2:$D$101)</f>
        <v>2000</v>
      </c>
      <c r="L665">
        <f>_xlfn.XLOOKUP(E665, Product_Master!$A$2:$A$101, Product_Master!$E$2:$E$101)</f>
        <v>3000</v>
      </c>
      <c r="M665">
        <f t="shared" si="51"/>
        <v>9000</v>
      </c>
      <c r="N665">
        <f t="shared" si="52"/>
        <v>6000</v>
      </c>
      <c r="O665">
        <f t="shared" si="53"/>
        <v>3000</v>
      </c>
      <c r="P665" s="3">
        <f t="shared" si="54"/>
        <v>0.33333333333333331</v>
      </c>
      <c r="Q665" s="3" t="str">
        <v>High Profit</v>
      </c>
    </row>
    <row r="666" spans="1:17" x14ac:dyDescent="0.3">
      <c r="A666" t="s">
        <v>1113</v>
      </c>
      <c r="B666" s="2">
        <v>45884</v>
      </c>
      <c r="C666" s="2" t="str">
        <f t="shared" si="50"/>
        <v>August</v>
      </c>
      <c r="D666" t="s">
        <v>110</v>
      </c>
      <c r="E666" t="s">
        <v>351</v>
      </c>
      <c r="F666">
        <v>4</v>
      </c>
      <c r="G666" t="s">
        <v>10</v>
      </c>
      <c r="H666" t="s">
        <v>27</v>
      </c>
      <c r="I666" t="s">
        <v>332</v>
      </c>
      <c r="J666" t="str">
        <f>_xlfn.XLOOKUP(E666, Product_Master!$A$2:$A$101, Product_Master!$C$2:$C$101)</f>
        <v>Accessories</v>
      </c>
      <c r="K666">
        <f>_xlfn.XLOOKUP(E666, Product_Master!$A$2:$A$101, Product_Master!$D$2:$D$101)</f>
        <v>500</v>
      </c>
      <c r="L666">
        <f>_xlfn.XLOOKUP(E666, Product_Master!$A$2:$A$101, Product_Master!$E$2:$E$101)</f>
        <v>800</v>
      </c>
      <c r="M666">
        <f t="shared" si="51"/>
        <v>3200</v>
      </c>
      <c r="N666">
        <f t="shared" si="52"/>
        <v>2000</v>
      </c>
      <c r="O666">
        <f t="shared" si="53"/>
        <v>1200</v>
      </c>
      <c r="P666" s="3">
        <f t="shared" si="54"/>
        <v>0.375</v>
      </c>
      <c r="Q666" s="3" t="str">
        <v>High Profit</v>
      </c>
    </row>
    <row r="667" spans="1:17" x14ac:dyDescent="0.3">
      <c r="A667" t="s">
        <v>1114</v>
      </c>
      <c r="B667" s="2">
        <v>45865</v>
      </c>
      <c r="C667" s="2" t="str">
        <f t="shared" si="50"/>
        <v>July</v>
      </c>
      <c r="D667" t="s">
        <v>469</v>
      </c>
      <c r="E667" t="s">
        <v>432</v>
      </c>
      <c r="F667">
        <v>4</v>
      </c>
      <c r="G667" t="s">
        <v>1454</v>
      </c>
      <c r="H667" t="s">
        <v>1455</v>
      </c>
      <c r="I667" t="s">
        <v>344</v>
      </c>
      <c r="J667" t="str">
        <f>_xlfn.XLOOKUP(E667, Product_Master!$A$2:$A$101, Product_Master!$C$2:$C$101)</f>
        <v>Accessories</v>
      </c>
      <c r="K667">
        <f>_xlfn.XLOOKUP(E667, Product_Master!$A$2:$A$101, Product_Master!$D$2:$D$101)</f>
        <v>2000</v>
      </c>
      <c r="L667">
        <f>_xlfn.XLOOKUP(E667, Product_Master!$A$2:$A$101, Product_Master!$E$2:$E$101)</f>
        <v>3000</v>
      </c>
      <c r="M667">
        <f t="shared" si="51"/>
        <v>12000</v>
      </c>
      <c r="N667">
        <f t="shared" si="52"/>
        <v>8000</v>
      </c>
      <c r="O667">
        <f t="shared" si="53"/>
        <v>4000</v>
      </c>
      <c r="P667" s="3">
        <f t="shared" si="54"/>
        <v>0.33333333333333331</v>
      </c>
      <c r="Q667" s="3" t="str">
        <v>High Profit</v>
      </c>
    </row>
    <row r="668" spans="1:17" x14ac:dyDescent="0.3">
      <c r="A668" t="s">
        <v>1115</v>
      </c>
      <c r="B668" s="2">
        <v>45840</v>
      </c>
      <c r="C668" s="2" t="str">
        <f t="shared" si="50"/>
        <v>July</v>
      </c>
      <c r="D668" t="s">
        <v>132</v>
      </c>
      <c r="E668" t="s">
        <v>343</v>
      </c>
      <c r="F668">
        <v>2</v>
      </c>
      <c r="G668" t="s">
        <v>47</v>
      </c>
      <c r="H668" t="s">
        <v>39</v>
      </c>
      <c r="I668" t="s">
        <v>344</v>
      </c>
      <c r="J668" t="str">
        <f>_xlfn.XLOOKUP(E668, Product_Master!$A$2:$A$101, Product_Master!$C$2:$C$101)</f>
        <v>Accessories</v>
      </c>
      <c r="K668">
        <f>_xlfn.XLOOKUP(E668, Product_Master!$A$2:$A$101, Product_Master!$D$2:$D$101)</f>
        <v>2000</v>
      </c>
      <c r="L668">
        <f>_xlfn.XLOOKUP(E668, Product_Master!$A$2:$A$101, Product_Master!$E$2:$E$101)</f>
        <v>3000</v>
      </c>
      <c r="M668">
        <f t="shared" si="51"/>
        <v>6000</v>
      </c>
      <c r="N668">
        <f t="shared" si="52"/>
        <v>4000</v>
      </c>
      <c r="O668">
        <f t="shared" si="53"/>
        <v>2000</v>
      </c>
      <c r="P668" s="3">
        <f t="shared" si="54"/>
        <v>0.33333333333333331</v>
      </c>
      <c r="Q668" s="3" t="str">
        <v>High Profit</v>
      </c>
    </row>
    <row r="669" spans="1:17" x14ac:dyDescent="0.3">
      <c r="A669" t="s">
        <v>1116</v>
      </c>
      <c r="B669" s="2">
        <v>45720</v>
      </c>
      <c r="C669" s="2" t="str">
        <f t="shared" si="50"/>
        <v>March</v>
      </c>
      <c r="D669" t="s">
        <v>167</v>
      </c>
      <c r="E669" t="s">
        <v>352</v>
      </c>
      <c r="F669">
        <v>2</v>
      </c>
      <c r="G669" t="s">
        <v>37</v>
      </c>
      <c r="H669" t="s">
        <v>17</v>
      </c>
      <c r="I669" t="s">
        <v>353</v>
      </c>
      <c r="J669" t="str">
        <f>_xlfn.XLOOKUP(E669, Product_Master!$A$2:$A$101, Product_Master!$C$2:$C$101)</f>
        <v>Electronics</v>
      </c>
      <c r="K669">
        <f>_xlfn.XLOOKUP(E669, Product_Master!$A$2:$A$101, Product_Master!$D$2:$D$101)</f>
        <v>12000</v>
      </c>
      <c r="L669">
        <f>_xlfn.XLOOKUP(E669, Product_Master!$A$2:$A$101, Product_Master!$E$2:$E$101)</f>
        <v>15000</v>
      </c>
      <c r="M669">
        <f t="shared" si="51"/>
        <v>30000</v>
      </c>
      <c r="N669">
        <f t="shared" si="52"/>
        <v>24000</v>
      </c>
      <c r="O669">
        <f t="shared" si="53"/>
        <v>6000</v>
      </c>
      <c r="P669" s="3">
        <f t="shared" si="54"/>
        <v>0.2</v>
      </c>
      <c r="Q669" s="3" t="str">
        <v>Low Profit</v>
      </c>
    </row>
    <row r="670" spans="1:17" x14ac:dyDescent="0.3">
      <c r="A670" t="s">
        <v>1117</v>
      </c>
      <c r="B670" s="2">
        <v>45854</v>
      </c>
      <c r="C670" s="2" t="str">
        <f t="shared" si="50"/>
        <v>July</v>
      </c>
      <c r="D670" t="s">
        <v>71</v>
      </c>
      <c r="E670" t="s">
        <v>430</v>
      </c>
      <c r="F670">
        <v>4</v>
      </c>
      <c r="G670" t="s">
        <v>19</v>
      </c>
      <c r="H670" t="s">
        <v>17</v>
      </c>
      <c r="I670" t="s">
        <v>346</v>
      </c>
      <c r="J670" t="str">
        <f>_xlfn.XLOOKUP(E670, Product_Master!$A$2:$A$101, Product_Master!$C$2:$C$101)</f>
        <v>Accessories</v>
      </c>
      <c r="K670">
        <f>_xlfn.XLOOKUP(E670, Product_Master!$A$2:$A$101, Product_Master!$D$2:$D$101)</f>
        <v>9000</v>
      </c>
      <c r="L670">
        <f>_xlfn.XLOOKUP(E670, Product_Master!$A$2:$A$101, Product_Master!$E$2:$E$101)</f>
        <v>12000</v>
      </c>
      <c r="M670">
        <f t="shared" si="51"/>
        <v>48000</v>
      </c>
      <c r="N670">
        <f t="shared" si="52"/>
        <v>36000</v>
      </c>
      <c r="O670">
        <f t="shared" si="53"/>
        <v>12000</v>
      </c>
      <c r="P670" s="3">
        <f t="shared" si="54"/>
        <v>0.25</v>
      </c>
      <c r="Q670" s="3" t="str">
        <v>High Profit</v>
      </c>
    </row>
    <row r="671" spans="1:17" x14ac:dyDescent="0.3">
      <c r="A671" t="s">
        <v>1118</v>
      </c>
      <c r="B671" s="2">
        <v>45803</v>
      </c>
      <c r="C671" s="2" t="str">
        <f t="shared" si="50"/>
        <v>May</v>
      </c>
      <c r="D671" t="s">
        <v>108</v>
      </c>
      <c r="E671" t="s">
        <v>381</v>
      </c>
      <c r="F671">
        <v>2</v>
      </c>
      <c r="G671" t="s">
        <v>22</v>
      </c>
      <c r="H671" t="s">
        <v>27</v>
      </c>
      <c r="I671" t="s">
        <v>329</v>
      </c>
      <c r="J671" t="str">
        <f>_xlfn.XLOOKUP(E671, Product_Master!$A$2:$A$101, Product_Master!$C$2:$C$101)</f>
        <v>Electronics</v>
      </c>
      <c r="K671">
        <f>_xlfn.XLOOKUP(E671, Product_Master!$A$2:$A$101, Product_Master!$D$2:$D$101)</f>
        <v>20000</v>
      </c>
      <c r="L671">
        <f>_xlfn.XLOOKUP(E671, Product_Master!$A$2:$A$101, Product_Master!$E$2:$E$101)</f>
        <v>25000</v>
      </c>
      <c r="M671">
        <f t="shared" si="51"/>
        <v>50000</v>
      </c>
      <c r="N671">
        <f t="shared" si="52"/>
        <v>40000</v>
      </c>
      <c r="O671">
        <f t="shared" si="53"/>
        <v>10000</v>
      </c>
      <c r="P671" s="3">
        <f t="shared" si="54"/>
        <v>0.2</v>
      </c>
      <c r="Q671" s="3" t="str">
        <v>Low Profit</v>
      </c>
    </row>
    <row r="672" spans="1:17" x14ac:dyDescent="0.3">
      <c r="A672" t="s">
        <v>1119</v>
      </c>
      <c r="B672" s="2">
        <v>45938</v>
      </c>
      <c r="C672" s="2" t="str">
        <f t="shared" si="50"/>
        <v>October</v>
      </c>
      <c r="D672" t="s">
        <v>305</v>
      </c>
      <c r="E672" t="s">
        <v>432</v>
      </c>
      <c r="F672">
        <v>5</v>
      </c>
      <c r="G672" t="s">
        <v>4</v>
      </c>
      <c r="H672" t="s">
        <v>27</v>
      </c>
      <c r="I672" t="s">
        <v>344</v>
      </c>
      <c r="J672" t="str">
        <f>_xlfn.XLOOKUP(E672, Product_Master!$A$2:$A$101, Product_Master!$C$2:$C$101)</f>
        <v>Accessories</v>
      </c>
      <c r="K672">
        <f>_xlfn.XLOOKUP(E672, Product_Master!$A$2:$A$101, Product_Master!$D$2:$D$101)</f>
        <v>2000</v>
      </c>
      <c r="L672">
        <f>_xlfn.XLOOKUP(E672, Product_Master!$A$2:$A$101, Product_Master!$E$2:$E$101)</f>
        <v>3000</v>
      </c>
      <c r="M672">
        <f t="shared" si="51"/>
        <v>15000</v>
      </c>
      <c r="N672">
        <f t="shared" si="52"/>
        <v>10000</v>
      </c>
      <c r="O672">
        <f t="shared" si="53"/>
        <v>5000</v>
      </c>
      <c r="P672" s="3">
        <f t="shared" si="54"/>
        <v>0.33333333333333331</v>
      </c>
      <c r="Q672" s="3" t="str">
        <v>High Profit</v>
      </c>
    </row>
    <row r="673" spans="1:17" x14ac:dyDescent="0.3">
      <c r="A673" t="s">
        <v>1120</v>
      </c>
      <c r="B673" s="2">
        <v>45868</v>
      </c>
      <c r="C673" s="2" t="str">
        <f t="shared" si="50"/>
        <v>July</v>
      </c>
      <c r="D673" t="s">
        <v>60</v>
      </c>
      <c r="E673" t="s">
        <v>415</v>
      </c>
      <c r="F673">
        <v>4</v>
      </c>
      <c r="G673" t="s">
        <v>29</v>
      </c>
      <c r="H673" t="s">
        <v>20</v>
      </c>
      <c r="I673" t="s">
        <v>329</v>
      </c>
      <c r="J673" t="str">
        <f>_xlfn.XLOOKUP(E673, Product_Master!$A$2:$A$101, Product_Master!$C$2:$C$101)</f>
        <v>Electronics</v>
      </c>
      <c r="K673">
        <f>_xlfn.XLOOKUP(E673, Product_Master!$A$2:$A$101, Product_Master!$D$2:$D$101)</f>
        <v>20000</v>
      </c>
      <c r="L673">
        <f>_xlfn.XLOOKUP(E673, Product_Master!$A$2:$A$101, Product_Master!$E$2:$E$101)</f>
        <v>25000</v>
      </c>
      <c r="M673">
        <f t="shared" si="51"/>
        <v>100000</v>
      </c>
      <c r="N673">
        <f t="shared" si="52"/>
        <v>80000</v>
      </c>
      <c r="O673">
        <f t="shared" si="53"/>
        <v>20000</v>
      </c>
      <c r="P673" s="3">
        <f t="shared" si="54"/>
        <v>0.2</v>
      </c>
      <c r="Q673" s="3" t="str">
        <v>Low Profit</v>
      </c>
    </row>
    <row r="674" spans="1:17" x14ac:dyDescent="0.3">
      <c r="A674" t="s">
        <v>1121</v>
      </c>
      <c r="B674" s="2">
        <v>45990</v>
      </c>
      <c r="C674" s="2" t="str">
        <f t="shared" si="50"/>
        <v>November</v>
      </c>
      <c r="D674" t="s">
        <v>36</v>
      </c>
      <c r="E674" t="s">
        <v>403</v>
      </c>
      <c r="F674">
        <v>4</v>
      </c>
      <c r="G674" t="s">
        <v>37</v>
      </c>
      <c r="H674" t="s">
        <v>8</v>
      </c>
      <c r="I674" t="s">
        <v>353</v>
      </c>
      <c r="J674" t="str">
        <f>_xlfn.XLOOKUP(E674, Product_Master!$A$2:$A$101, Product_Master!$C$2:$C$101)</f>
        <v>Electronics</v>
      </c>
      <c r="K674">
        <f>_xlfn.XLOOKUP(E674, Product_Master!$A$2:$A$101, Product_Master!$D$2:$D$101)</f>
        <v>12000</v>
      </c>
      <c r="L674">
        <f>_xlfn.XLOOKUP(E674, Product_Master!$A$2:$A$101, Product_Master!$E$2:$E$101)</f>
        <v>15000</v>
      </c>
      <c r="M674">
        <f t="shared" si="51"/>
        <v>60000</v>
      </c>
      <c r="N674">
        <f t="shared" si="52"/>
        <v>48000</v>
      </c>
      <c r="O674">
        <f t="shared" si="53"/>
        <v>12000</v>
      </c>
      <c r="P674" s="3">
        <f t="shared" si="54"/>
        <v>0.2</v>
      </c>
      <c r="Q674" s="3" t="str">
        <v>Low Profit</v>
      </c>
    </row>
    <row r="675" spans="1:17" x14ac:dyDescent="0.3">
      <c r="A675" t="s">
        <v>1122</v>
      </c>
      <c r="B675" s="2">
        <v>45990</v>
      </c>
      <c r="C675" s="2" t="str">
        <f t="shared" si="50"/>
        <v>November</v>
      </c>
      <c r="D675" t="s">
        <v>259</v>
      </c>
      <c r="E675" t="s">
        <v>438</v>
      </c>
      <c r="F675">
        <v>2</v>
      </c>
      <c r="G675" t="s">
        <v>7</v>
      </c>
      <c r="H675" t="s">
        <v>14</v>
      </c>
      <c r="I675" t="s">
        <v>329</v>
      </c>
      <c r="J675" t="str">
        <f>_xlfn.XLOOKUP(E675, Product_Master!$A$2:$A$101, Product_Master!$C$2:$C$101)</f>
        <v>Electronics</v>
      </c>
      <c r="K675">
        <f>_xlfn.XLOOKUP(E675, Product_Master!$A$2:$A$101, Product_Master!$D$2:$D$101)</f>
        <v>20000</v>
      </c>
      <c r="L675">
        <f>_xlfn.XLOOKUP(E675, Product_Master!$A$2:$A$101, Product_Master!$E$2:$E$101)</f>
        <v>25000</v>
      </c>
      <c r="M675">
        <f t="shared" si="51"/>
        <v>50000</v>
      </c>
      <c r="N675">
        <f t="shared" si="52"/>
        <v>40000</v>
      </c>
      <c r="O675">
        <f t="shared" si="53"/>
        <v>10000</v>
      </c>
      <c r="P675" s="3">
        <f t="shared" si="54"/>
        <v>0.2</v>
      </c>
      <c r="Q675" s="3" t="str">
        <v>Low Profit</v>
      </c>
    </row>
    <row r="676" spans="1:17" x14ac:dyDescent="0.3">
      <c r="A676" t="s">
        <v>1123</v>
      </c>
      <c r="B676" s="2">
        <v>45710</v>
      </c>
      <c r="C676" s="2" t="str">
        <f t="shared" si="50"/>
        <v>February</v>
      </c>
      <c r="D676" t="s">
        <v>38</v>
      </c>
      <c r="E676" t="s">
        <v>364</v>
      </c>
      <c r="F676">
        <v>2</v>
      </c>
      <c r="G676" t="s">
        <v>10</v>
      </c>
      <c r="H676" t="s">
        <v>39</v>
      </c>
      <c r="I676" t="s">
        <v>346</v>
      </c>
      <c r="J676" t="str">
        <f>_xlfn.XLOOKUP(E676, Product_Master!$A$2:$A$101, Product_Master!$C$2:$C$101)</f>
        <v>Accessories</v>
      </c>
      <c r="K676">
        <f>_xlfn.XLOOKUP(E676, Product_Master!$A$2:$A$101, Product_Master!$D$2:$D$101)</f>
        <v>9000</v>
      </c>
      <c r="L676">
        <f>_xlfn.XLOOKUP(E676, Product_Master!$A$2:$A$101, Product_Master!$E$2:$E$101)</f>
        <v>12000</v>
      </c>
      <c r="M676">
        <f t="shared" si="51"/>
        <v>24000</v>
      </c>
      <c r="N676">
        <f t="shared" si="52"/>
        <v>18000</v>
      </c>
      <c r="O676">
        <f t="shared" si="53"/>
        <v>6000</v>
      </c>
      <c r="P676" s="3">
        <f t="shared" si="54"/>
        <v>0.25</v>
      </c>
      <c r="Q676" s="3" t="str">
        <v>High Profit</v>
      </c>
    </row>
    <row r="677" spans="1:17" x14ac:dyDescent="0.3">
      <c r="A677" t="s">
        <v>1124</v>
      </c>
      <c r="B677" s="2">
        <v>45683</v>
      </c>
      <c r="C677" s="2" t="str">
        <f t="shared" si="50"/>
        <v>January</v>
      </c>
      <c r="D677" t="s">
        <v>58</v>
      </c>
      <c r="E677" t="s">
        <v>372</v>
      </c>
      <c r="F677">
        <v>1</v>
      </c>
      <c r="G677" t="s">
        <v>45</v>
      </c>
      <c r="H677" t="s">
        <v>14</v>
      </c>
      <c r="I677" t="s">
        <v>340</v>
      </c>
      <c r="J677" t="str">
        <f>_xlfn.XLOOKUP(E677, Product_Master!$A$2:$A$101, Product_Master!$C$2:$C$101)</f>
        <v>Electronics</v>
      </c>
      <c r="K677">
        <f>_xlfn.XLOOKUP(E677, Product_Master!$A$2:$A$101, Product_Master!$D$2:$D$101)</f>
        <v>42000</v>
      </c>
      <c r="L677">
        <f>_xlfn.XLOOKUP(E677, Product_Master!$A$2:$A$101, Product_Master!$E$2:$E$101)</f>
        <v>50000</v>
      </c>
      <c r="M677">
        <f t="shared" si="51"/>
        <v>50000</v>
      </c>
      <c r="N677">
        <f t="shared" si="52"/>
        <v>42000</v>
      </c>
      <c r="O677">
        <f t="shared" si="53"/>
        <v>8000</v>
      </c>
      <c r="P677" s="3">
        <f t="shared" si="54"/>
        <v>0.16</v>
      </c>
      <c r="Q677" s="3" t="str">
        <v>Low Profit</v>
      </c>
    </row>
    <row r="678" spans="1:17" x14ac:dyDescent="0.3">
      <c r="A678" t="s">
        <v>1125</v>
      </c>
      <c r="B678" s="2">
        <v>45885</v>
      </c>
      <c r="C678" s="2" t="str">
        <f t="shared" si="50"/>
        <v>August</v>
      </c>
      <c r="D678" t="s">
        <v>91</v>
      </c>
      <c r="E678" t="s">
        <v>380</v>
      </c>
      <c r="F678">
        <v>3</v>
      </c>
      <c r="G678" t="s">
        <v>12</v>
      </c>
      <c r="H678" t="s">
        <v>27</v>
      </c>
      <c r="I678" t="s">
        <v>340</v>
      </c>
      <c r="J678" t="str">
        <f>_xlfn.XLOOKUP(E678, Product_Master!$A$2:$A$101, Product_Master!$C$2:$C$101)</f>
        <v>Electronics</v>
      </c>
      <c r="K678">
        <f>_xlfn.XLOOKUP(E678, Product_Master!$A$2:$A$101, Product_Master!$D$2:$D$101)</f>
        <v>42000</v>
      </c>
      <c r="L678">
        <f>_xlfn.XLOOKUP(E678, Product_Master!$A$2:$A$101, Product_Master!$E$2:$E$101)</f>
        <v>50000</v>
      </c>
      <c r="M678">
        <f t="shared" si="51"/>
        <v>150000</v>
      </c>
      <c r="N678">
        <f t="shared" si="52"/>
        <v>126000</v>
      </c>
      <c r="O678">
        <f t="shared" si="53"/>
        <v>24000</v>
      </c>
      <c r="P678" s="3">
        <f t="shared" si="54"/>
        <v>0.16</v>
      </c>
      <c r="Q678" s="3" t="str">
        <v>Low Profit</v>
      </c>
    </row>
    <row r="679" spans="1:17" x14ac:dyDescent="0.3">
      <c r="A679" t="s">
        <v>1126</v>
      </c>
      <c r="B679" s="2">
        <v>45926</v>
      </c>
      <c r="C679" s="2" t="str">
        <f t="shared" si="50"/>
        <v>September</v>
      </c>
      <c r="D679" t="s">
        <v>303</v>
      </c>
      <c r="E679" t="s">
        <v>395</v>
      </c>
      <c r="F679">
        <v>3</v>
      </c>
      <c r="G679" t="s">
        <v>7</v>
      </c>
      <c r="H679" t="s">
        <v>5</v>
      </c>
      <c r="I679" t="s">
        <v>340</v>
      </c>
      <c r="J679" t="str">
        <f>_xlfn.XLOOKUP(E679, Product_Master!$A$2:$A$101, Product_Master!$C$2:$C$101)</f>
        <v>Electronics</v>
      </c>
      <c r="K679">
        <f>_xlfn.XLOOKUP(E679, Product_Master!$A$2:$A$101, Product_Master!$D$2:$D$101)</f>
        <v>42000</v>
      </c>
      <c r="L679">
        <f>_xlfn.XLOOKUP(E679, Product_Master!$A$2:$A$101, Product_Master!$E$2:$E$101)</f>
        <v>50000</v>
      </c>
      <c r="M679">
        <f t="shared" si="51"/>
        <v>150000</v>
      </c>
      <c r="N679">
        <f t="shared" si="52"/>
        <v>126000</v>
      </c>
      <c r="O679">
        <f t="shared" si="53"/>
        <v>24000</v>
      </c>
      <c r="P679" s="3">
        <f t="shared" si="54"/>
        <v>0.16</v>
      </c>
      <c r="Q679" s="3" t="str">
        <v>Low Profit</v>
      </c>
    </row>
    <row r="680" spans="1:17" x14ac:dyDescent="0.3">
      <c r="A680" t="s">
        <v>1127</v>
      </c>
      <c r="B680" s="2">
        <v>45834</v>
      </c>
      <c r="C680" s="2" t="str">
        <f t="shared" si="50"/>
        <v>June</v>
      </c>
      <c r="D680" t="s">
        <v>51</v>
      </c>
      <c r="E680" t="s">
        <v>438</v>
      </c>
      <c r="F680">
        <v>2</v>
      </c>
      <c r="G680" t="s">
        <v>7</v>
      </c>
      <c r="H680" t="s">
        <v>27</v>
      </c>
      <c r="I680" t="s">
        <v>329</v>
      </c>
      <c r="J680" t="str">
        <f>_xlfn.XLOOKUP(E680, Product_Master!$A$2:$A$101, Product_Master!$C$2:$C$101)</f>
        <v>Electronics</v>
      </c>
      <c r="K680">
        <f>_xlfn.XLOOKUP(E680, Product_Master!$A$2:$A$101, Product_Master!$D$2:$D$101)</f>
        <v>20000</v>
      </c>
      <c r="L680">
        <f>_xlfn.XLOOKUP(E680, Product_Master!$A$2:$A$101, Product_Master!$E$2:$E$101)</f>
        <v>25000</v>
      </c>
      <c r="M680">
        <f t="shared" si="51"/>
        <v>50000</v>
      </c>
      <c r="N680">
        <f t="shared" si="52"/>
        <v>40000</v>
      </c>
      <c r="O680">
        <f t="shared" si="53"/>
        <v>10000</v>
      </c>
      <c r="P680" s="3">
        <f t="shared" si="54"/>
        <v>0.2</v>
      </c>
      <c r="Q680" s="3" t="str">
        <v>Low Profit</v>
      </c>
    </row>
    <row r="681" spans="1:17" x14ac:dyDescent="0.3">
      <c r="A681" t="s">
        <v>1128</v>
      </c>
      <c r="B681" s="2">
        <v>45898</v>
      </c>
      <c r="C681" s="2" t="str">
        <f t="shared" si="50"/>
        <v>August</v>
      </c>
      <c r="D681" t="s">
        <v>23</v>
      </c>
      <c r="E681" t="s">
        <v>345</v>
      </c>
      <c r="F681">
        <v>1</v>
      </c>
      <c r="G681" t="s">
        <v>24</v>
      </c>
      <c r="H681" t="s">
        <v>8</v>
      </c>
      <c r="I681" t="s">
        <v>346</v>
      </c>
      <c r="J681" t="str">
        <f>_xlfn.XLOOKUP(E681, Product_Master!$A$2:$A$101, Product_Master!$C$2:$C$101)</f>
        <v>Accessories</v>
      </c>
      <c r="K681">
        <f>_xlfn.XLOOKUP(E681, Product_Master!$A$2:$A$101, Product_Master!$D$2:$D$101)</f>
        <v>9000</v>
      </c>
      <c r="L681">
        <f>_xlfn.XLOOKUP(E681, Product_Master!$A$2:$A$101, Product_Master!$E$2:$E$101)</f>
        <v>12000</v>
      </c>
      <c r="M681">
        <f t="shared" si="51"/>
        <v>12000</v>
      </c>
      <c r="N681">
        <f t="shared" si="52"/>
        <v>9000</v>
      </c>
      <c r="O681">
        <f t="shared" si="53"/>
        <v>3000</v>
      </c>
      <c r="P681" s="3">
        <f t="shared" si="54"/>
        <v>0.25</v>
      </c>
      <c r="Q681" s="3" t="str">
        <v>High Profit</v>
      </c>
    </row>
    <row r="682" spans="1:17" x14ac:dyDescent="0.3">
      <c r="A682" t="s">
        <v>1129</v>
      </c>
      <c r="B682" s="2">
        <v>45780</v>
      </c>
      <c r="C682" s="2" t="str">
        <f t="shared" si="50"/>
        <v>May</v>
      </c>
      <c r="D682" t="s">
        <v>281</v>
      </c>
      <c r="E682" t="s">
        <v>443</v>
      </c>
      <c r="F682">
        <v>3</v>
      </c>
      <c r="G682" t="s">
        <v>47</v>
      </c>
      <c r="H682" t="s">
        <v>14</v>
      </c>
      <c r="I682" t="s">
        <v>344</v>
      </c>
      <c r="J682" t="str">
        <f>_xlfn.XLOOKUP(E682, Product_Master!$A$2:$A$101, Product_Master!$C$2:$C$101)</f>
        <v>Accessories</v>
      </c>
      <c r="K682">
        <f>_xlfn.XLOOKUP(E682, Product_Master!$A$2:$A$101, Product_Master!$D$2:$D$101)</f>
        <v>2000</v>
      </c>
      <c r="L682">
        <f>_xlfn.XLOOKUP(E682, Product_Master!$A$2:$A$101, Product_Master!$E$2:$E$101)</f>
        <v>3000</v>
      </c>
      <c r="M682">
        <f t="shared" si="51"/>
        <v>9000</v>
      </c>
      <c r="N682">
        <f t="shared" si="52"/>
        <v>6000</v>
      </c>
      <c r="O682">
        <f t="shared" si="53"/>
        <v>3000</v>
      </c>
      <c r="P682" s="3">
        <f t="shared" si="54"/>
        <v>0.33333333333333331</v>
      </c>
      <c r="Q682" s="3" t="str">
        <v>High Profit</v>
      </c>
    </row>
    <row r="683" spans="1:17" x14ac:dyDescent="0.3">
      <c r="A683" t="s">
        <v>1130</v>
      </c>
      <c r="B683" s="2">
        <v>46022</v>
      </c>
      <c r="C683" s="2" t="str">
        <f t="shared" si="50"/>
        <v>December</v>
      </c>
      <c r="D683" t="s">
        <v>204</v>
      </c>
      <c r="E683" t="s">
        <v>416</v>
      </c>
      <c r="F683">
        <v>4</v>
      </c>
      <c r="G683" t="s">
        <v>16</v>
      </c>
      <c r="H683" t="s">
        <v>27</v>
      </c>
      <c r="I683" t="s">
        <v>340</v>
      </c>
      <c r="J683" t="str">
        <f>_xlfn.XLOOKUP(E683, Product_Master!$A$2:$A$101, Product_Master!$C$2:$C$101)</f>
        <v>Electronics</v>
      </c>
      <c r="K683">
        <f>_xlfn.XLOOKUP(E683, Product_Master!$A$2:$A$101, Product_Master!$D$2:$D$101)</f>
        <v>42000</v>
      </c>
      <c r="L683">
        <f>_xlfn.XLOOKUP(E683, Product_Master!$A$2:$A$101, Product_Master!$E$2:$E$101)</f>
        <v>50000</v>
      </c>
      <c r="M683">
        <f t="shared" si="51"/>
        <v>200000</v>
      </c>
      <c r="N683">
        <f t="shared" si="52"/>
        <v>168000</v>
      </c>
      <c r="O683">
        <f t="shared" si="53"/>
        <v>32000</v>
      </c>
      <c r="P683" s="3">
        <f t="shared" si="54"/>
        <v>0.16</v>
      </c>
      <c r="Q683" s="3" t="str">
        <v>Low Profit</v>
      </c>
    </row>
    <row r="684" spans="1:17" x14ac:dyDescent="0.3">
      <c r="A684" t="s">
        <v>1131</v>
      </c>
      <c r="B684" s="2">
        <v>45812</v>
      </c>
      <c r="C684" s="2" t="str">
        <f t="shared" si="50"/>
        <v>June</v>
      </c>
      <c r="D684" t="s">
        <v>220</v>
      </c>
      <c r="E684" t="s">
        <v>357</v>
      </c>
      <c r="F684">
        <v>3</v>
      </c>
      <c r="G684" t="s">
        <v>10</v>
      </c>
      <c r="H684" t="s">
        <v>27</v>
      </c>
      <c r="I684" t="s">
        <v>340</v>
      </c>
      <c r="J684" t="str">
        <f>_xlfn.XLOOKUP(E684, Product_Master!$A$2:$A$101, Product_Master!$C$2:$C$101)</f>
        <v>Electronics</v>
      </c>
      <c r="K684">
        <f>_xlfn.XLOOKUP(E684, Product_Master!$A$2:$A$101, Product_Master!$D$2:$D$101)</f>
        <v>42000</v>
      </c>
      <c r="L684">
        <f>_xlfn.XLOOKUP(E684, Product_Master!$A$2:$A$101, Product_Master!$E$2:$E$101)</f>
        <v>50000</v>
      </c>
      <c r="M684">
        <f t="shared" si="51"/>
        <v>150000</v>
      </c>
      <c r="N684">
        <f t="shared" si="52"/>
        <v>126000</v>
      </c>
      <c r="O684">
        <f t="shared" si="53"/>
        <v>24000</v>
      </c>
      <c r="P684" s="3">
        <f t="shared" si="54"/>
        <v>0.16</v>
      </c>
      <c r="Q684" s="3" t="str">
        <v>Low Profit</v>
      </c>
    </row>
    <row r="685" spans="1:17" x14ac:dyDescent="0.3">
      <c r="A685" t="s">
        <v>1132</v>
      </c>
      <c r="B685" s="2">
        <v>45702</v>
      </c>
      <c r="C685" s="2" t="str">
        <f t="shared" si="50"/>
        <v>February</v>
      </c>
      <c r="D685" t="s">
        <v>295</v>
      </c>
      <c r="E685" t="s">
        <v>425</v>
      </c>
      <c r="F685">
        <v>3</v>
      </c>
      <c r="G685" t="s">
        <v>10</v>
      </c>
      <c r="H685" t="s">
        <v>8</v>
      </c>
      <c r="I685" t="s">
        <v>337</v>
      </c>
      <c r="J685" t="str">
        <f>_xlfn.XLOOKUP(E685, Product_Master!$A$2:$A$101, Product_Master!$C$2:$C$101)</f>
        <v>Electronics</v>
      </c>
      <c r="K685">
        <f>_xlfn.XLOOKUP(E685, Product_Master!$A$2:$A$101, Product_Master!$D$2:$D$101)</f>
        <v>15000</v>
      </c>
      <c r="L685">
        <f>_xlfn.XLOOKUP(E685, Product_Master!$A$2:$A$101, Product_Master!$E$2:$E$101)</f>
        <v>18000</v>
      </c>
      <c r="M685">
        <f t="shared" si="51"/>
        <v>54000</v>
      </c>
      <c r="N685">
        <f t="shared" si="52"/>
        <v>45000</v>
      </c>
      <c r="O685">
        <f t="shared" si="53"/>
        <v>9000</v>
      </c>
      <c r="P685" s="3">
        <f t="shared" si="54"/>
        <v>0.16666666666666666</v>
      </c>
      <c r="Q685" s="3" t="str">
        <v>Low Profit</v>
      </c>
    </row>
    <row r="686" spans="1:17" x14ac:dyDescent="0.3">
      <c r="A686" t="s">
        <v>1133</v>
      </c>
      <c r="B686" s="2">
        <v>46005</v>
      </c>
      <c r="C686" s="2" t="str">
        <f t="shared" si="50"/>
        <v>December</v>
      </c>
      <c r="D686" t="s">
        <v>258</v>
      </c>
      <c r="E686" t="s">
        <v>439</v>
      </c>
      <c r="F686">
        <v>1</v>
      </c>
      <c r="G686" t="s">
        <v>16</v>
      </c>
      <c r="H686" t="s">
        <v>14</v>
      </c>
      <c r="I686" t="s">
        <v>353</v>
      </c>
      <c r="J686" t="str">
        <f>_xlfn.XLOOKUP(E686, Product_Master!$A$2:$A$101, Product_Master!$C$2:$C$101)</f>
        <v>Electronics</v>
      </c>
      <c r="K686">
        <f>_xlfn.XLOOKUP(E686, Product_Master!$A$2:$A$101, Product_Master!$D$2:$D$101)</f>
        <v>12000</v>
      </c>
      <c r="L686">
        <f>_xlfn.XLOOKUP(E686, Product_Master!$A$2:$A$101, Product_Master!$E$2:$E$101)</f>
        <v>15000</v>
      </c>
      <c r="M686">
        <f t="shared" si="51"/>
        <v>15000</v>
      </c>
      <c r="N686">
        <f t="shared" si="52"/>
        <v>12000</v>
      </c>
      <c r="O686">
        <f t="shared" si="53"/>
        <v>3000</v>
      </c>
      <c r="P686" s="3">
        <f t="shared" si="54"/>
        <v>0.2</v>
      </c>
      <c r="Q686" s="3" t="str">
        <v>Low Profit</v>
      </c>
    </row>
    <row r="687" spans="1:17" x14ac:dyDescent="0.3">
      <c r="A687" t="s">
        <v>1134</v>
      </c>
      <c r="B687" s="2">
        <v>45778</v>
      </c>
      <c r="C687" s="2" t="str">
        <f t="shared" si="50"/>
        <v>May</v>
      </c>
      <c r="D687" t="s">
        <v>235</v>
      </c>
      <c r="E687" t="s">
        <v>408</v>
      </c>
      <c r="F687">
        <v>3</v>
      </c>
      <c r="G687" t="s">
        <v>19</v>
      </c>
      <c r="H687" t="s">
        <v>14</v>
      </c>
      <c r="I687" t="s">
        <v>332</v>
      </c>
      <c r="J687" t="str">
        <f>_xlfn.XLOOKUP(E687, Product_Master!$A$2:$A$101, Product_Master!$C$2:$C$101)</f>
        <v>Accessories</v>
      </c>
      <c r="K687">
        <f>_xlfn.XLOOKUP(E687, Product_Master!$A$2:$A$101, Product_Master!$D$2:$D$101)</f>
        <v>500</v>
      </c>
      <c r="L687">
        <f>_xlfn.XLOOKUP(E687, Product_Master!$A$2:$A$101, Product_Master!$E$2:$E$101)</f>
        <v>800</v>
      </c>
      <c r="M687">
        <f t="shared" si="51"/>
        <v>2400</v>
      </c>
      <c r="N687">
        <f t="shared" si="52"/>
        <v>1500</v>
      </c>
      <c r="O687">
        <f t="shared" si="53"/>
        <v>900</v>
      </c>
      <c r="P687" s="3">
        <f t="shared" si="54"/>
        <v>0.375</v>
      </c>
      <c r="Q687" s="3" t="str">
        <v>High Profit</v>
      </c>
    </row>
    <row r="688" spans="1:17" x14ac:dyDescent="0.3">
      <c r="A688" t="s">
        <v>1135</v>
      </c>
      <c r="B688" s="2">
        <v>45948</v>
      </c>
      <c r="C688" s="2" t="str">
        <f t="shared" si="50"/>
        <v>October</v>
      </c>
      <c r="D688" t="s">
        <v>97</v>
      </c>
      <c r="E688" t="s">
        <v>391</v>
      </c>
      <c r="F688">
        <v>1</v>
      </c>
      <c r="G688" t="s">
        <v>12</v>
      </c>
      <c r="H688" t="s">
        <v>14</v>
      </c>
      <c r="I688" t="s">
        <v>332</v>
      </c>
      <c r="J688" t="str">
        <f>_xlfn.XLOOKUP(E688, Product_Master!$A$2:$A$101, Product_Master!$C$2:$C$101)</f>
        <v>Accessories</v>
      </c>
      <c r="K688">
        <f>_xlfn.XLOOKUP(E688, Product_Master!$A$2:$A$101, Product_Master!$D$2:$D$101)</f>
        <v>500</v>
      </c>
      <c r="L688">
        <f>_xlfn.XLOOKUP(E688, Product_Master!$A$2:$A$101, Product_Master!$E$2:$E$101)</f>
        <v>800</v>
      </c>
      <c r="M688">
        <f t="shared" si="51"/>
        <v>800</v>
      </c>
      <c r="N688">
        <f t="shared" si="52"/>
        <v>500</v>
      </c>
      <c r="O688">
        <f t="shared" si="53"/>
        <v>300</v>
      </c>
      <c r="P688" s="3">
        <f t="shared" si="54"/>
        <v>0.375</v>
      </c>
      <c r="Q688" s="3" t="str">
        <v>High Profit</v>
      </c>
    </row>
    <row r="689" spans="1:17" x14ac:dyDescent="0.3">
      <c r="A689" t="s">
        <v>1136</v>
      </c>
      <c r="B689" s="2">
        <v>45863</v>
      </c>
      <c r="C689" s="2" t="str">
        <f t="shared" si="50"/>
        <v>July</v>
      </c>
      <c r="D689" t="s">
        <v>242</v>
      </c>
      <c r="E689" t="s">
        <v>421</v>
      </c>
      <c r="F689">
        <v>2</v>
      </c>
      <c r="G689" t="s">
        <v>10</v>
      </c>
      <c r="H689" t="s">
        <v>14</v>
      </c>
      <c r="I689" t="s">
        <v>337</v>
      </c>
      <c r="J689" t="str">
        <f>_xlfn.XLOOKUP(E689, Product_Master!$A$2:$A$101, Product_Master!$C$2:$C$101)</f>
        <v>Electronics</v>
      </c>
      <c r="K689">
        <f>_xlfn.XLOOKUP(E689, Product_Master!$A$2:$A$101, Product_Master!$D$2:$D$101)</f>
        <v>15000</v>
      </c>
      <c r="L689">
        <f>_xlfn.XLOOKUP(E689, Product_Master!$A$2:$A$101, Product_Master!$E$2:$E$101)</f>
        <v>18000</v>
      </c>
      <c r="M689">
        <f t="shared" si="51"/>
        <v>36000</v>
      </c>
      <c r="N689">
        <f t="shared" si="52"/>
        <v>30000</v>
      </c>
      <c r="O689">
        <f t="shared" si="53"/>
        <v>6000</v>
      </c>
      <c r="P689" s="3">
        <f t="shared" si="54"/>
        <v>0.16666666666666666</v>
      </c>
      <c r="Q689" s="3" t="str">
        <v>Low Profit</v>
      </c>
    </row>
    <row r="690" spans="1:17" x14ac:dyDescent="0.3">
      <c r="A690" t="s">
        <v>1137</v>
      </c>
      <c r="B690" s="2">
        <v>45873</v>
      </c>
      <c r="C690" s="2" t="str">
        <f t="shared" si="50"/>
        <v>August</v>
      </c>
      <c r="D690" t="s">
        <v>469</v>
      </c>
      <c r="E690" t="s">
        <v>413</v>
      </c>
      <c r="F690">
        <v>3</v>
      </c>
      <c r="G690" t="s">
        <v>1454</v>
      </c>
      <c r="H690" t="s">
        <v>1455</v>
      </c>
      <c r="I690" t="s">
        <v>340</v>
      </c>
      <c r="J690" t="str">
        <f>_xlfn.XLOOKUP(E690, Product_Master!$A$2:$A$101, Product_Master!$C$2:$C$101)</f>
        <v>Electronics</v>
      </c>
      <c r="K690">
        <f>_xlfn.XLOOKUP(E690, Product_Master!$A$2:$A$101, Product_Master!$D$2:$D$101)</f>
        <v>42000</v>
      </c>
      <c r="L690">
        <f>_xlfn.XLOOKUP(E690, Product_Master!$A$2:$A$101, Product_Master!$E$2:$E$101)</f>
        <v>50000</v>
      </c>
      <c r="M690">
        <f t="shared" si="51"/>
        <v>150000</v>
      </c>
      <c r="N690">
        <f t="shared" si="52"/>
        <v>126000</v>
      </c>
      <c r="O690">
        <f t="shared" si="53"/>
        <v>24000</v>
      </c>
      <c r="P690" s="3">
        <f t="shared" si="54"/>
        <v>0.16</v>
      </c>
      <c r="Q690" s="3" t="str">
        <v>Low Profit</v>
      </c>
    </row>
    <row r="691" spans="1:17" x14ac:dyDescent="0.3">
      <c r="A691" t="s">
        <v>1138</v>
      </c>
      <c r="B691" s="2">
        <v>46012</v>
      </c>
      <c r="C691" s="2" t="str">
        <f t="shared" si="50"/>
        <v>December</v>
      </c>
      <c r="D691" t="s">
        <v>186</v>
      </c>
      <c r="E691" t="s">
        <v>359</v>
      </c>
      <c r="F691">
        <v>4</v>
      </c>
      <c r="G691" t="s">
        <v>7</v>
      </c>
      <c r="H691" t="s">
        <v>17</v>
      </c>
      <c r="I691" t="s">
        <v>329</v>
      </c>
      <c r="J691" t="str">
        <f>_xlfn.XLOOKUP(E691, Product_Master!$A$2:$A$101, Product_Master!$C$2:$C$101)</f>
        <v>Electronics</v>
      </c>
      <c r="K691">
        <f>_xlfn.XLOOKUP(E691, Product_Master!$A$2:$A$101, Product_Master!$D$2:$D$101)</f>
        <v>20000</v>
      </c>
      <c r="L691">
        <f>_xlfn.XLOOKUP(E691, Product_Master!$A$2:$A$101, Product_Master!$E$2:$E$101)</f>
        <v>25000</v>
      </c>
      <c r="M691">
        <f t="shared" si="51"/>
        <v>100000</v>
      </c>
      <c r="N691">
        <f t="shared" si="52"/>
        <v>80000</v>
      </c>
      <c r="O691">
        <f t="shared" si="53"/>
        <v>20000</v>
      </c>
      <c r="P691" s="3">
        <f t="shared" si="54"/>
        <v>0.2</v>
      </c>
      <c r="Q691" s="3" t="str">
        <v>Low Profit</v>
      </c>
    </row>
    <row r="692" spans="1:17" x14ac:dyDescent="0.3">
      <c r="A692" t="s">
        <v>1139</v>
      </c>
      <c r="B692" s="2">
        <v>45847</v>
      </c>
      <c r="C692" s="2" t="str">
        <f t="shared" si="50"/>
        <v>July</v>
      </c>
      <c r="D692" t="s">
        <v>181</v>
      </c>
      <c r="E692" t="s">
        <v>370</v>
      </c>
      <c r="F692">
        <v>5</v>
      </c>
      <c r="G692" t="s">
        <v>10</v>
      </c>
      <c r="H692" t="s">
        <v>20</v>
      </c>
      <c r="I692" t="s">
        <v>335</v>
      </c>
      <c r="J692" t="str">
        <f>_xlfn.XLOOKUP(E692, Product_Master!$A$2:$A$101, Product_Master!$C$2:$C$101)</f>
        <v>Accessories</v>
      </c>
      <c r="K692">
        <f>_xlfn.XLOOKUP(E692, Product_Master!$A$2:$A$101, Product_Master!$D$2:$D$101)</f>
        <v>900</v>
      </c>
      <c r="L692">
        <f>_xlfn.XLOOKUP(E692, Product_Master!$A$2:$A$101, Product_Master!$E$2:$E$101)</f>
        <v>1500</v>
      </c>
      <c r="M692">
        <f t="shared" si="51"/>
        <v>7500</v>
      </c>
      <c r="N692">
        <f t="shared" si="52"/>
        <v>4500</v>
      </c>
      <c r="O692">
        <f t="shared" si="53"/>
        <v>3000</v>
      </c>
      <c r="P692" s="3">
        <f t="shared" si="54"/>
        <v>0.4</v>
      </c>
      <c r="Q692" s="3" t="str">
        <v>High Profit</v>
      </c>
    </row>
    <row r="693" spans="1:17" x14ac:dyDescent="0.3">
      <c r="A693" t="s">
        <v>1140</v>
      </c>
      <c r="B693" s="2">
        <v>45875</v>
      </c>
      <c r="C693" s="2" t="str">
        <f t="shared" si="50"/>
        <v>August</v>
      </c>
      <c r="D693" t="s">
        <v>214</v>
      </c>
      <c r="E693" t="s">
        <v>331</v>
      </c>
      <c r="F693">
        <v>5</v>
      </c>
      <c r="G693" t="s">
        <v>37</v>
      </c>
      <c r="H693" t="s">
        <v>39</v>
      </c>
      <c r="I693" t="s">
        <v>332</v>
      </c>
      <c r="J693" t="str">
        <f>_xlfn.XLOOKUP(E693, Product_Master!$A$2:$A$101, Product_Master!$C$2:$C$101)</f>
        <v>Accessories</v>
      </c>
      <c r="K693">
        <f>_xlfn.XLOOKUP(E693, Product_Master!$A$2:$A$101, Product_Master!$D$2:$D$101)</f>
        <v>500</v>
      </c>
      <c r="L693">
        <f>_xlfn.XLOOKUP(E693, Product_Master!$A$2:$A$101, Product_Master!$E$2:$E$101)</f>
        <v>800</v>
      </c>
      <c r="M693">
        <f t="shared" si="51"/>
        <v>4000</v>
      </c>
      <c r="N693">
        <f t="shared" si="52"/>
        <v>2500</v>
      </c>
      <c r="O693">
        <f t="shared" si="53"/>
        <v>1500</v>
      </c>
      <c r="P693" s="3">
        <f t="shared" si="54"/>
        <v>0.375</v>
      </c>
      <c r="Q693" s="3" t="str">
        <v>High Profit</v>
      </c>
    </row>
    <row r="694" spans="1:17" x14ac:dyDescent="0.3">
      <c r="A694" t="s">
        <v>1141</v>
      </c>
      <c r="B694" s="2">
        <v>45674</v>
      </c>
      <c r="C694" s="2" t="str">
        <f t="shared" si="50"/>
        <v>January</v>
      </c>
      <c r="D694" t="s">
        <v>245</v>
      </c>
      <c r="E694" t="s">
        <v>360</v>
      </c>
      <c r="F694">
        <v>3</v>
      </c>
      <c r="G694" t="s">
        <v>37</v>
      </c>
      <c r="H694" t="s">
        <v>20</v>
      </c>
      <c r="I694" t="s">
        <v>340</v>
      </c>
      <c r="J694" t="str">
        <f>_xlfn.XLOOKUP(E694, Product_Master!$A$2:$A$101, Product_Master!$C$2:$C$101)</f>
        <v>Electronics</v>
      </c>
      <c r="K694">
        <f>_xlfn.XLOOKUP(E694, Product_Master!$A$2:$A$101, Product_Master!$D$2:$D$101)</f>
        <v>42000</v>
      </c>
      <c r="L694">
        <f>_xlfn.XLOOKUP(E694, Product_Master!$A$2:$A$101, Product_Master!$E$2:$E$101)</f>
        <v>50000</v>
      </c>
      <c r="M694">
        <f t="shared" si="51"/>
        <v>150000</v>
      </c>
      <c r="N694">
        <f t="shared" si="52"/>
        <v>126000</v>
      </c>
      <c r="O694">
        <f t="shared" si="53"/>
        <v>24000</v>
      </c>
      <c r="P694" s="3">
        <f t="shared" si="54"/>
        <v>0.16</v>
      </c>
      <c r="Q694" s="3" t="str">
        <v>Low Profit</v>
      </c>
    </row>
    <row r="695" spans="1:17" x14ac:dyDescent="0.3">
      <c r="A695" t="s">
        <v>1142</v>
      </c>
      <c r="B695" s="2">
        <v>45792</v>
      </c>
      <c r="C695" s="2" t="str">
        <f t="shared" si="50"/>
        <v>May</v>
      </c>
      <c r="D695" t="s">
        <v>139</v>
      </c>
      <c r="E695" t="s">
        <v>356</v>
      </c>
      <c r="F695">
        <v>4</v>
      </c>
      <c r="G695" t="s">
        <v>37</v>
      </c>
      <c r="H695" t="s">
        <v>14</v>
      </c>
      <c r="I695" t="s">
        <v>340</v>
      </c>
      <c r="J695" t="str">
        <f>_xlfn.XLOOKUP(E695, Product_Master!$A$2:$A$101, Product_Master!$C$2:$C$101)</f>
        <v>Electronics</v>
      </c>
      <c r="K695">
        <f>_xlfn.XLOOKUP(E695, Product_Master!$A$2:$A$101, Product_Master!$D$2:$D$101)</f>
        <v>42000</v>
      </c>
      <c r="L695">
        <f>_xlfn.XLOOKUP(E695, Product_Master!$A$2:$A$101, Product_Master!$E$2:$E$101)</f>
        <v>50000</v>
      </c>
      <c r="M695">
        <f t="shared" si="51"/>
        <v>200000</v>
      </c>
      <c r="N695">
        <f t="shared" si="52"/>
        <v>168000</v>
      </c>
      <c r="O695">
        <f t="shared" si="53"/>
        <v>32000</v>
      </c>
      <c r="P695" s="3">
        <f t="shared" si="54"/>
        <v>0.16</v>
      </c>
      <c r="Q695" s="3" t="str">
        <v>Low Profit</v>
      </c>
    </row>
    <row r="696" spans="1:17" x14ac:dyDescent="0.3">
      <c r="A696" t="s">
        <v>1143</v>
      </c>
      <c r="B696" s="2">
        <v>45939</v>
      </c>
      <c r="C696" s="2" t="str">
        <f t="shared" si="50"/>
        <v>October</v>
      </c>
      <c r="D696" t="s">
        <v>228</v>
      </c>
      <c r="E696" t="s">
        <v>364</v>
      </c>
      <c r="F696">
        <v>5</v>
      </c>
      <c r="G696" t="s">
        <v>47</v>
      </c>
      <c r="H696" t="s">
        <v>20</v>
      </c>
      <c r="I696" t="s">
        <v>346</v>
      </c>
      <c r="J696" t="str">
        <f>_xlfn.XLOOKUP(E696, Product_Master!$A$2:$A$101, Product_Master!$C$2:$C$101)</f>
        <v>Accessories</v>
      </c>
      <c r="K696">
        <f>_xlfn.XLOOKUP(E696, Product_Master!$A$2:$A$101, Product_Master!$D$2:$D$101)</f>
        <v>9000</v>
      </c>
      <c r="L696">
        <f>_xlfn.XLOOKUP(E696, Product_Master!$A$2:$A$101, Product_Master!$E$2:$E$101)</f>
        <v>12000</v>
      </c>
      <c r="M696">
        <f t="shared" si="51"/>
        <v>60000</v>
      </c>
      <c r="N696">
        <f t="shared" si="52"/>
        <v>45000</v>
      </c>
      <c r="O696">
        <f t="shared" si="53"/>
        <v>15000</v>
      </c>
      <c r="P696" s="3">
        <f t="shared" si="54"/>
        <v>0.25</v>
      </c>
      <c r="Q696" s="3" t="str">
        <v>High Profit</v>
      </c>
    </row>
    <row r="697" spans="1:17" x14ac:dyDescent="0.3">
      <c r="A697" t="s">
        <v>1144</v>
      </c>
      <c r="B697" s="2">
        <v>45873</v>
      </c>
      <c r="C697" s="2" t="str">
        <f t="shared" si="50"/>
        <v>August</v>
      </c>
      <c r="D697" t="s">
        <v>135</v>
      </c>
      <c r="E697" t="s">
        <v>336</v>
      </c>
      <c r="F697">
        <v>5</v>
      </c>
      <c r="G697" t="s">
        <v>10</v>
      </c>
      <c r="H697" t="s">
        <v>17</v>
      </c>
      <c r="I697" t="s">
        <v>337</v>
      </c>
      <c r="J697" t="str">
        <f>_xlfn.XLOOKUP(E697, Product_Master!$A$2:$A$101, Product_Master!$C$2:$C$101)</f>
        <v>Electronics</v>
      </c>
      <c r="K697">
        <f>_xlfn.XLOOKUP(E697, Product_Master!$A$2:$A$101, Product_Master!$D$2:$D$101)</f>
        <v>15000</v>
      </c>
      <c r="L697">
        <f>_xlfn.XLOOKUP(E697, Product_Master!$A$2:$A$101, Product_Master!$E$2:$E$101)</f>
        <v>18000</v>
      </c>
      <c r="M697">
        <f t="shared" si="51"/>
        <v>90000</v>
      </c>
      <c r="N697">
        <f t="shared" si="52"/>
        <v>75000</v>
      </c>
      <c r="O697">
        <f t="shared" si="53"/>
        <v>15000</v>
      </c>
      <c r="P697" s="3">
        <f t="shared" si="54"/>
        <v>0.16666666666666666</v>
      </c>
      <c r="Q697" s="3" t="str">
        <v>Low Profit</v>
      </c>
    </row>
    <row r="698" spans="1:17" x14ac:dyDescent="0.3">
      <c r="A698" t="s">
        <v>1145</v>
      </c>
      <c r="B698" s="2">
        <v>46003</v>
      </c>
      <c r="C698" s="2" t="str">
        <f t="shared" si="50"/>
        <v>December</v>
      </c>
      <c r="D698" t="s">
        <v>459</v>
      </c>
      <c r="E698" t="s">
        <v>433</v>
      </c>
      <c r="F698">
        <v>4</v>
      </c>
      <c r="G698" t="s">
        <v>1454</v>
      </c>
      <c r="H698" t="s">
        <v>1455</v>
      </c>
      <c r="I698" t="s">
        <v>353</v>
      </c>
      <c r="J698" t="str">
        <f>_xlfn.XLOOKUP(E698, Product_Master!$A$2:$A$101, Product_Master!$C$2:$C$101)</f>
        <v>Electronics</v>
      </c>
      <c r="K698">
        <f>_xlfn.XLOOKUP(E698, Product_Master!$A$2:$A$101, Product_Master!$D$2:$D$101)</f>
        <v>12000</v>
      </c>
      <c r="L698">
        <f>_xlfn.XLOOKUP(E698, Product_Master!$A$2:$A$101, Product_Master!$E$2:$E$101)</f>
        <v>15000</v>
      </c>
      <c r="M698">
        <f t="shared" si="51"/>
        <v>60000</v>
      </c>
      <c r="N698">
        <f t="shared" si="52"/>
        <v>48000</v>
      </c>
      <c r="O698">
        <f t="shared" si="53"/>
        <v>12000</v>
      </c>
      <c r="P698" s="3">
        <f t="shared" si="54"/>
        <v>0.2</v>
      </c>
      <c r="Q698" s="3" t="str">
        <v>Low Profit</v>
      </c>
    </row>
    <row r="699" spans="1:17" x14ac:dyDescent="0.3">
      <c r="A699" t="s">
        <v>1146</v>
      </c>
      <c r="B699" s="2">
        <v>45660</v>
      </c>
      <c r="C699" s="2" t="str">
        <f t="shared" si="50"/>
        <v>January</v>
      </c>
      <c r="D699" t="s">
        <v>212</v>
      </c>
      <c r="E699" t="s">
        <v>403</v>
      </c>
      <c r="F699">
        <v>5</v>
      </c>
      <c r="G699" t="s">
        <v>4</v>
      </c>
      <c r="H699" t="s">
        <v>39</v>
      </c>
      <c r="I699" t="s">
        <v>353</v>
      </c>
      <c r="J699" t="str">
        <f>_xlfn.XLOOKUP(E699, Product_Master!$A$2:$A$101, Product_Master!$C$2:$C$101)</f>
        <v>Electronics</v>
      </c>
      <c r="K699">
        <f>_xlfn.XLOOKUP(E699, Product_Master!$A$2:$A$101, Product_Master!$D$2:$D$101)</f>
        <v>12000</v>
      </c>
      <c r="L699">
        <f>_xlfn.XLOOKUP(E699, Product_Master!$A$2:$A$101, Product_Master!$E$2:$E$101)</f>
        <v>15000</v>
      </c>
      <c r="M699">
        <f t="shared" si="51"/>
        <v>75000</v>
      </c>
      <c r="N699">
        <f t="shared" si="52"/>
        <v>60000</v>
      </c>
      <c r="O699">
        <f t="shared" si="53"/>
        <v>15000</v>
      </c>
      <c r="P699" s="3">
        <f t="shared" si="54"/>
        <v>0.2</v>
      </c>
      <c r="Q699" s="3" t="str">
        <v>Low Profit</v>
      </c>
    </row>
    <row r="700" spans="1:17" x14ac:dyDescent="0.3">
      <c r="A700" t="s">
        <v>1147</v>
      </c>
      <c r="B700" s="2">
        <v>45812</v>
      </c>
      <c r="C700" s="2" t="str">
        <f t="shared" si="50"/>
        <v>June</v>
      </c>
      <c r="D700" t="s">
        <v>114</v>
      </c>
      <c r="E700" t="s">
        <v>413</v>
      </c>
      <c r="F700">
        <v>1</v>
      </c>
      <c r="G700" t="s">
        <v>12</v>
      </c>
      <c r="H700" t="s">
        <v>14</v>
      </c>
      <c r="I700" t="s">
        <v>340</v>
      </c>
      <c r="J700" t="str">
        <f>_xlfn.XLOOKUP(E700, Product_Master!$A$2:$A$101, Product_Master!$C$2:$C$101)</f>
        <v>Electronics</v>
      </c>
      <c r="K700">
        <f>_xlfn.XLOOKUP(E700, Product_Master!$A$2:$A$101, Product_Master!$D$2:$D$101)</f>
        <v>42000</v>
      </c>
      <c r="L700">
        <f>_xlfn.XLOOKUP(E700, Product_Master!$A$2:$A$101, Product_Master!$E$2:$E$101)</f>
        <v>50000</v>
      </c>
      <c r="M700">
        <f t="shared" si="51"/>
        <v>50000</v>
      </c>
      <c r="N700">
        <f t="shared" si="52"/>
        <v>42000</v>
      </c>
      <c r="O700">
        <f t="shared" si="53"/>
        <v>8000</v>
      </c>
      <c r="P700" s="3">
        <f t="shared" si="54"/>
        <v>0.16</v>
      </c>
      <c r="Q700" s="3" t="str">
        <v>Low Profit</v>
      </c>
    </row>
    <row r="701" spans="1:17" x14ac:dyDescent="0.3">
      <c r="A701" t="s">
        <v>1148</v>
      </c>
      <c r="B701" s="2">
        <v>45858</v>
      </c>
      <c r="C701" s="2" t="str">
        <f t="shared" si="50"/>
        <v>July</v>
      </c>
      <c r="D701" t="s">
        <v>187</v>
      </c>
      <c r="E701" t="s">
        <v>334</v>
      </c>
      <c r="F701">
        <v>1</v>
      </c>
      <c r="G701" t="s">
        <v>37</v>
      </c>
      <c r="H701" t="s">
        <v>1455</v>
      </c>
      <c r="I701" t="s">
        <v>335</v>
      </c>
      <c r="J701" t="str">
        <f>_xlfn.XLOOKUP(E701, Product_Master!$A$2:$A$101, Product_Master!$C$2:$C$101)</f>
        <v>Accessories</v>
      </c>
      <c r="K701">
        <f>_xlfn.XLOOKUP(E701, Product_Master!$A$2:$A$101, Product_Master!$D$2:$D$101)</f>
        <v>900</v>
      </c>
      <c r="L701">
        <f>_xlfn.XLOOKUP(E701, Product_Master!$A$2:$A$101, Product_Master!$E$2:$E$101)</f>
        <v>1500</v>
      </c>
      <c r="M701">
        <f t="shared" si="51"/>
        <v>1500</v>
      </c>
      <c r="N701">
        <f t="shared" si="52"/>
        <v>900</v>
      </c>
      <c r="O701">
        <f t="shared" si="53"/>
        <v>600</v>
      </c>
      <c r="P701" s="3">
        <f t="shared" si="54"/>
        <v>0.4</v>
      </c>
      <c r="Q701" s="3" t="str">
        <v>High Profit</v>
      </c>
    </row>
    <row r="702" spans="1:17" x14ac:dyDescent="0.3">
      <c r="A702" t="s">
        <v>1149</v>
      </c>
      <c r="B702" s="2">
        <v>45843</v>
      </c>
      <c r="C702" s="2" t="str">
        <f t="shared" si="50"/>
        <v>July</v>
      </c>
      <c r="D702" t="s">
        <v>97</v>
      </c>
      <c r="E702" t="s">
        <v>397</v>
      </c>
      <c r="F702">
        <v>4</v>
      </c>
      <c r="G702" t="s">
        <v>12</v>
      </c>
      <c r="H702" t="s">
        <v>14</v>
      </c>
      <c r="I702" t="s">
        <v>344</v>
      </c>
      <c r="J702" t="str">
        <f>_xlfn.XLOOKUP(E702, Product_Master!$A$2:$A$101, Product_Master!$C$2:$C$101)</f>
        <v>Accessories</v>
      </c>
      <c r="K702">
        <f>_xlfn.XLOOKUP(E702, Product_Master!$A$2:$A$101, Product_Master!$D$2:$D$101)</f>
        <v>2000</v>
      </c>
      <c r="L702">
        <f>_xlfn.XLOOKUP(E702, Product_Master!$A$2:$A$101, Product_Master!$E$2:$E$101)</f>
        <v>3000</v>
      </c>
      <c r="M702">
        <f t="shared" si="51"/>
        <v>12000</v>
      </c>
      <c r="N702">
        <f t="shared" si="52"/>
        <v>8000</v>
      </c>
      <c r="O702">
        <f t="shared" si="53"/>
        <v>4000</v>
      </c>
      <c r="P702" s="3">
        <f t="shared" si="54"/>
        <v>0.33333333333333331</v>
      </c>
      <c r="Q702" s="3" t="str">
        <v>High Profit</v>
      </c>
    </row>
    <row r="703" spans="1:17" x14ac:dyDescent="0.3">
      <c r="A703" t="s">
        <v>1150</v>
      </c>
      <c r="B703" s="2">
        <v>45717</v>
      </c>
      <c r="C703" s="2" t="str">
        <f t="shared" si="50"/>
        <v>March</v>
      </c>
      <c r="D703" t="s">
        <v>41</v>
      </c>
      <c r="E703" t="s">
        <v>366</v>
      </c>
      <c r="F703">
        <v>3</v>
      </c>
      <c r="G703" t="s">
        <v>37</v>
      </c>
      <c r="H703" t="s">
        <v>31</v>
      </c>
      <c r="I703" t="s">
        <v>340</v>
      </c>
      <c r="J703" t="str">
        <f>_xlfn.XLOOKUP(E703, Product_Master!$A$2:$A$101, Product_Master!$C$2:$C$101)</f>
        <v>Electronics</v>
      </c>
      <c r="K703">
        <f>_xlfn.XLOOKUP(E703, Product_Master!$A$2:$A$101, Product_Master!$D$2:$D$101)</f>
        <v>42000</v>
      </c>
      <c r="L703">
        <f>_xlfn.XLOOKUP(E703, Product_Master!$A$2:$A$101, Product_Master!$E$2:$E$101)</f>
        <v>50000</v>
      </c>
      <c r="M703">
        <f t="shared" si="51"/>
        <v>150000</v>
      </c>
      <c r="N703">
        <f t="shared" si="52"/>
        <v>126000</v>
      </c>
      <c r="O703">
        <f t="shared" si="53"/>
        <v>24000</v>
      </c>
      <c r="P703" s="3">
        <f t="shared" si="54"/>
        <v>0.16</v>
      </c>
      <c r="Q703" s="3" t="str">
        <v>Low Profit</v>
      </c>
    </row>
    <row r="704" spans="1:17" x14ac:dyDescent="0.3">
      <c r="A704" t="s">
        <v>1151</v>
      </c>
      <c r="B704" s="2">
        <v>45738</v>
      </c>
      <c r="C704" s="2" t="str">
        <f t="shared" si="50"/>
        <v>March</v>
      </c>
      <c r="D704" t="s">
        <v>116</v>
      </c>
      <c r="E704" t="s">
        <v>376</v>
      </c>
      <c r="F704">
        <v>4</v>
      </c>
      <c r="G704" t="s">
        <v>7</v>
      </c>
      <c r="H704" t="s">
        <v>14</v>
      </c>
      <c r="I704" t="s">
        <v>353</v>
      </c>
      <c r="J704" t="str">
        <f>_xlfn.XLOOKUP(E704, Product_Master!$A$2:$A$101, Product_Master!$C$2:$C$101)</f>
        <v>Electronics</v>
      </c>
      <c r="K704">
        <f>_xlfn.XLOOKUP(E704, Product_Master!$A$2:$A$101, Product_Master!$D$2:$D$101)</f>
        <v>12000</v>
      </c>
      <c r="L704">
        <f>_xlfn.XLOOKUP(E704, Product_Master!$A$2:$A$101, Product_Master!$E$2:$E$101)</f>
        <v>15000</v>
      </c>
      <c r="M704">
        <f t="shared" si="51"/>
        <v>60000</v>
      </c>
      <c r="N704">
        <f t="shared" si="52"/>
        <v>48000</v>
      </c>
      <c r="O704">
        <f t="shared" si="53"/>
        <v>12000</v>
      </c>
      <c r="P704" s="3">
        <f t="shared" si="54"/>
        <v>0.2</v>
      </c>
      <c r="Q704" s="3" t="str">
        <v>Low Profit</v>
      </c>
    </row>
    <row r="705" spans="1:17" x14ac:dyDescent="0.3">
      <c r="A705" t="s">
        <v>1152</v>
      </c>
      <c r="B705" s="2">
        <v>45835</v>
      </c>
      <c r="C705" s="2" t="str">
        <f t="shared" si="50"/>
        <v>June</v>
      </c>
      <c r="D705" t="s">
        <v>167</v>
      </c>
      <c r="E705" t="s">
        <v>388</v>
      </c>
      <c r="F705">
        <v>2</v>
      </c>
      <c r="G705" t="s">
        <v>37</v>
      </c>
      <c r="H705" t="s">
        <v>17</v>
      </c>
      <c r="I705" t="s">
        <v>344</v>
      </c>
      <c r="J705" t="str">
        <f>_xlfn.XLOOKUP(E705, Product_Master!$A$2:$A$101, Product_Master!$C$2:$C$101)</f>
        <v>Accessories</v>
      </c>
      <c r="K705">
        <f>_xlfn.XLOOKUP(E705, Product_Master!$A$2:$A$101, Product_Master!$D$2:$D$101)</f>
        <v>2000</v>
      </c>
      <c r="L705">
        <f>_xlfn.XLOOKUP(E705, Product_Master!$A$2:$A$101, Product_Master!$E$2:$E$101)</f>
        <v>3000</v>
      </c>
      <c r="M705">
        <f t="shared" si="51"/>
        <v>6000</v>
      </c>
      <c r="N705">
        <f t="shared" si="52"/>
        <v>4000</v>
      </c>
      <c r="O705">
        <f t="shared" si="53"/>
        <v>2000</v>
      </c>
      <c r="P705" s="3">
        <f t="shared" si="54"/>
        <v>0.33333333333333331</v>
      </c>
      <c r="Q705" s="3" t="str">
        <v>High Profit</v>
      </c>
    </row>
    <row r="706" spans="1:17" x14ac:dyDescent="0.3">
      <c r="A706" t="s">
        <v>1153</v>
      </c>
      <c r="B706" s="2">
        <v>45900</v>
      </c>
      <c r="C706" s="2" t="str">
        <f t="shared" si="50"/>
        <v>August</v>
      </c>
      <c r="D706" t="s">
        <v>215</v>
      </c>
      <c r="E706" t="s">
        <v>358</v>
      </c>
      <c r="F706">
        <v>2</v>
      </c>
      <c r="G706" t="s">
        <v>45</v>
      </c>
      <c r="H706" t="s">
        <v>8</v>
      </c>
      <c r="I706" t="s">
        <v>332</v>
      </c>
      <c r="J706" t="str">
        <f>_xlfn.XLOOKUP(E706, Product_Master!$A$2:$A$101, Product_Master!$C$2:$C$101)</f>
        <v>Accessories</v>
      </c>
      <c r="K706">
        <f>_xlfn.XLOOKUP(E706, Product_Master!$A$2:$A$101, Product_Master!$D$2:$D$101)</f>
        <v>500</v>
      </c>
      <c r="L706">
        <f>_xlfn.XLOOKUP(E706, Product_Master!$A$2:$A$101, Product_Master!$E$2:$E$101)</f>
        <v>800</v>
      </c>
      <c r="M706">
        <f t="shared" si="51"/>
        <v>1600</v>
      </c>
      <c r="N706">
        <f t="shared" si="52"/>
        <v>1000</v>
      </c>
      <c r="O706">
        <f t="shared" si="53"/>
        <v>600</v>
      </c>
      <c r="P706" s="3">
        <f t="shared" si="54"/>
        <v>0.375</v>
      </c>
      <c r="Q706" s="3" t="str">
        <v>High Profit</v>
      </c>
    </row>
    <row r="707" spans="1:17" x14ac:dyDescent="0.3">
      <c r="A707" t="s">
        <v>1154</v>
      </c>
      <c r="B707" s="2">
        <v>45840</v>
      </c>
      <c r="C707" s="2" t="str">
        <f t="shared" ref="C707:C770" si="55">TEXT(B707,"MMMM")</f>
        <v>July</v>
      </c>
      <c r="D707" t="s">
        <v>97</v>
      </c>
      <c r="E707" t="s">
        <v>352</v>
      </c>
      <c r="F707">
        <v>1</v>
      </c>
      <c r="G707" t="s">
        <v>12</v>
      </c>
      <c r="H707" t="s">
        <v>14</v>
      </c>
      <c r="I707" t="s">
        <v>353</v>
      </c>
      <c r="J707" t="str">
        <f>_xlfn.XLOOKUP(E707, Product_Master!$A$2:$A$101, Product_Master!$C$2:$C$101)</f>
        <v>Electronics</v>
      </c>
      <c r="K707">
        <f>_xlfn.XLOOKUP(E707, Product_Master!$A$2:$A$101, Product_Master!$D$2:$D$101)</f>
        <v>12000</v>
      </c>
      <c r="L707">
        <f>_xlfn.XLOOKUP(E707, Product_Master!$A$2:$A$101, Product_Master!$E$2:$E$101)</f>
        <v>15000</v>
      </c>
      <c r="M707">
        <f t="shared" ref="M707:M770" si="56">F707*L707</f>
        <v>15000</v>
      </c>
      <c r="N707">
        <f t="shared" ref="N707:N770" si="57">F707*K707</f>
        <v>12000</v>
      </c>
      <c r="O707">
        <f t="shared" ref="O707:O770" si="58">M707-N707</f>
        <v>3000</v>
      </c>
      <c r="P707" s="3">
        <f t="shared" ref="P707:P770" si="59">O707/M707</f>
        <v>0.2</v>
      </c>
      <c r="Q707" s="3" t="str">
        <v>Low Profit</v>
      </c>
    </row>
    <row r="708" spans="1:17" x14ac:dyDescent="0.3">
      <c r="A708" t="s">
        <v>1155</v>
      </c>
      <c r="B708" s="2">
        <v>45681</v>
      </c>
      <c r="C708" s="2" t="str">
        <f t="shared" si="55"/>
        <v>January</v>
      </c>
      <c r="D708" t="s">
        <v>126</v>
      </c>
      <c r="E708" t="s">
        <v>354</v>
      </c>
      <c r="F708">
        <v>2</v>
      </c>
      <c r="G708" t="s">
        <v>19</v>
      </c>
      <c r="H708" t="s">
        <v>17</v>
      </c>
      <c r="I708" t="s">
        <v>329</v>
      </c>
      <c r="J708" t="str">
        <f>_xlfn.XLOOKUP(E708, Product_Master!$A$2:$A$101, Product_Master!$C$2:$C$101)</f>
        <v>Electronics</v>
      </c>
      <c r="K708">
        <f>_xlfn.XLOOKUP(E708, Product_Master!$A$2:$A$101, Product_Master!$D$2:$D$101)</f>
        <v>20000</v>
      </c>
      <c r="L708">
        <f>_xlfn.XLOOKUP(E708, Product_Master!$A$2:$A$101, Product_Master!$E$2:$E$101)</f>
        <v>25000</v>
      </c>
      <c r="M708">
        <f t="shared" si="56"/>
        <v>50000</v>
      </c>
      <c r="N708">
        <f t="shared" si="57"/>
        <v>40000</v>
      </c>
      <c r="O708">
        <f t="shared" si="58"/>
        <v>10000</v>
      </c>
      <c r="P708" s="3">
        <f t="shared" si="59"/>
        <v>0.2</v>
      </c>
      <c r="Q708" s="3" t="str">
        <v>Low Profit</v>
      </c>
    </row>
    <row r="709" spans="1:17" x14ac:dyDescent="0.3">
      <c r="A709" t="s">
        <v>1156</v>
      </c>
      <c r="B709" s="2">
        <v>45680</v>
      </c>
      <c r="C709" s="2" t="str">
        <f t="shared" si="55"/>
        <v>January</v>
      </c>
      <c r="D709" t="s">
        <v>229</v>
      </c>
      <c r="E709" t="s">
        <v>339</v>
      </c>
      <c r="F709">
        <v>1</v>
      </c>
      <c r="G709" t="s">
        <v>37</v>
      </c>
      <c r="H709" t="s">
        <v>14</v>
      </c>
      <c r="I709" t="s">
        <v>340</v>
      </c>
      <c r="J709" t="str">
        <f>_xlfn.XLOOKUP(E709, Product_Master!$A$2:$A$101, Product_Master!$C$2:$C$101)</f>
        <v>Electronics</v>
      </c>
      <c r="K709">
        <f>_xlfn.XLOOKUP(E709, Product_Master!$A$2:$A$101, Product_Master!$D$2:$D$101)</f>
        <v>42000</v>
      </c>
      <c r="L709">
        <f>_xlfn.XLOOKUP(E709, Product_Master!$A$2:$A$101, Product_Master!$E$2:$E$101)</f>
        <v>50000</v>
      </c>
      <c r="M709">
        <f t="shared" si="56"/>
        <v>50000</v>
      </c>
      <c r="N709">
        <f t="shared" si="57"/>
        <v>42000</v>
      </c>
      <c r="O709">
        <f t="shared" si="58"/>
        <v>8000</v>
      </c>
      <c r="P709" s="3">
        <f t="shared" si="59"/>
        <v>0.16</v>
      </c>
      <c r="Q709" s="3" t="str">
        <v>Low Profit</v>
      </c>
    </row>
    <row r="710" spans="1:17" x14ac:dyDescent="0.3">
      <c r="A710" t="s">
        <v>1157</v>
      </c>
      <c r="B710" s="2">
        <v>45865</v>
      </c>
      <c r="C710" s="2" t="str">
        <f t="shared" si="55"/>
        <v>July</v>
      </c>
      <c r="D710" t="s">
        <v>89</v>
      </c>
      <c r="E710" t="s">
        <v>410</v>
      </c>
      <c r="F710">
        <v>5</v>
      </c>
      <c r="G710" t="s">
        <v>19</v>
      </c>
      <c r="H710" t="s">
        <v>1455</v>
      </c>
      <c r="I710" t="s">
        <v>353</v>
      </c>
      <c r="J710" t="str">
        <f>_xlfn.XLOOKUP(E710, Product_Master!$A$2:$A$101, Product_Master!$C$2:$C$101)</f>
        <v>Electronics</v>
      </c>
      <c r="K710">
        <f>_xlfn.XLOOKUP(E710, Product_Master!$A$2:$A$101, Product_Master!$D$2:$D$101)</f>
        <v>12000</v>
      </c>
      <c r="L710">
        <f>_xlfn.XLOOKUP(E710, Product_Master!$A$2:$A$101, Product_Master!$E$2:$E$101)</f>
        <v>15000</v>
      </c>
      <c r="M710">
        <f t="shared" si="56"/>
        <v>75000</v>
      </c>
      <c r="N710">
        <f t="shared" si="57"/>
        <v>60000</v>
      </c>
      <c r="O710">
        <f t="shared" si="58"/>
        <v>15000</v>
      </c>
      <c r="P710" s="3">
        <f t="shared" si="59"/>
        <v>0.2</v>
      </c>
      <c r="Q710" s="3" t="str">
        <v>Low Profit</v>
      </c>
    </row>
    <row r="711" spans="1:17" x14ac:dyDescent="0.3">
      <c r="A711" t="s">
        <v>1158</v>
      </c>
      <c r="B711" s="2">
        <v>45786</v>
      </c>
      <c r="C711" s="2" t="str">
        <f t="shared" si="55"/>
        <v>May</v>
      </c>
      <c r="D711" t="s">
        <v>32</v>
      </c>
      <c r="E711" t="s">
        <v>357</v>
      </c>
      <c r="F711">
        <v>4</v>
      </c>
      <c r="G711" t="s">
        <v>4</v>
      </c>
      <c r="H711" t="s">
        <v>14</v>
      </c>
      <c r="I711" t="s">
        <v>340</v>
      </c>
      <c r="J711" t="str">
        <f>_xlfn.XLOOKUP(E711, Product_Master!$A$2:$A$101, Product_Master!$C$2:$C$101)</f>
        <v>Electronics</v>
      </c>
      <c r="K711">
        <f>_xlfn.XLOOKUP(E711, Product_Master!$A$2:$A$101, Product_Master!$D$2:$D$101)</f>
        <v>42000</v>
      </c>
      <c r="L711">
        <f>_xlfn.XLOOKUP(E711, Product_Master!$A$2:$A$101, Product_Master!$E$2:$E$101)</f>
        <v>50000</v>
      </c>
      <c r="M711">
        <f t="shared" si="56"/>
        <v>200000</v>
      </c>
      <c r="N711">
        <f t="shared" si="57"/>
        <v>168000</v>
      </c>
      <c r="O711">
        <f t="shared" si="58"/>
        <v>32000</v>
      </c>
      <c r="P711" s="3">
        <f t="shared" si="59"/>
        <v>0.16</v>
      </c>
      <c r="Q711" s="3" t="str">
        <v>Low Profit</v>
      </c>
    </row>
    <row r="712" spans="1:17" x14ac:dyDescent="0.3">
      <c r="A712" t="s">
        <v>1159</v>
      </c>
      <c r="B712" s="2">
        <v>45893</v>
      </c>
      <c r="C712" s="2" t="str">
        <f t="shared" si="55"/>
        <v>August</v>
      </c>
      <c r="D712" t="s">
        <v>195</v>
      </c>
      <c r="E712" t="s">
        <v>403</v>
      </c>
      <c r="F712">
        <v>2</v>
      </c>
      <c r="G712" t="s">
        <v>12</v>
      </c>
      <c r="H712" t="s">
        <v>17</v>
      </c>
      <c r="I712" t="s">
        <v>353</v>
      </c>
      <c r="J712" t="str">
        <f>_xlfn.XLOOKUP(E712, Product_Master!$A$2:$A$101, Product_Master!$C$2:$C$101)</f>
        <v>Electronics</v>
      </c>
      <c r="K712">
        <f>_xlfn.XLOOKUP(E712, Product_Master!$A$2:$A$101, Product_Master!$D$2:$D$101)</f>
        <v>12000</v>
      </c>
      <c r="L712">
        <f>_xlfn.XLOOKUP(E712, Product_Master!$A$2:$A$101, Product_Master!$E$2:$E$101)</f>
        <v>15000</v>
      </c>
      <c r="M712">
        <f t="shared" si="56"/>
        <v>30000</v>
      </c>
      <c r="N712">
        <f t="shared" si="57"/>
        <v>24000</v>
      </c>
      <c r="O712">
        <f t="shared" si="58"/>
        <v>6000</v>
      </c>
      <c r="P712" s="3">
        <f t="shared" si="59"/>
        <v>0.2</v>
      </c>
      <c r="Q712" s="3" t="str">
        <v>Low Profit</v>
      </c>
    </row>
    <row r="713" spans="1:17" x14ac:dyDescent="0.3">
      <c r="A713" t="s">
        <v>1160</v>
      </c>
      <c r="B713" s="2">
        <v>45734</v>
      </c>
      <c r="C713" s="2" t="str">
        <f t="shared" si="55"/>
        <v>March</v>
      </c>
      <c r="D713" t="s">
        <v>296</v>
      </c>
      <c r="E713" t="s">
        <v>381</v>
      </c>
      <c r="F713">
        <v>1</v>
      </c>
      <c r="G713" t="s">
        <v>37</v>
      </c>
      <c r="H713" t="s">
        <v>14</v>
      </c>
      <c r="I713" t="s">
        <v>329</v>
      </c>
      <c r="J713" t="str">
        <f>_xlfn.XLOOKUP(E713, Product_Master!$A$2:$A$101, Product_Master!$C$2:$C$101)</f>
        <v>Electronics</v>
      </c>
      <c r="K713">
        <f>_xlfn.XLOOKUP(E713, Product_Master!$A$2:$A$101, Product_Master!$D$2:$D$101)</f>
        <v>20000</v>
      </c>
      <c r="L713">
        <f>_xlfn.XLOOKUP(E713, Product_Master!$A$2:$A$101, Product_Master!$E$2:$E$101)</f>
        <v>25000</v>
      </c>
      <c r="M713">
        <f t="shared" si="56"/>
        <v>25000</v>
      </c>
      <c r="N713">
        <f t="shared" si="57"/>
        <v>20000</v>
      </c>
      <c r="O713">
        <f t="shared" si="58"/>
        <v>5000</v>
      </c>
      <c r="P713" s="3">
        <f t="shared" si="59"/>
        <v>0.2</v>
      </c>
      <c r="Q713" s="3" t="str">
        <v>Low Profit</v>
      </c>
    </row>
    <row r="714" spans="1:17" x14ac:dyDescent="0.3">
      <c r="A714" t="s">
        <v>1161</v>
      </c>
      <c r="B714" s="2">
        <v>45913</v>
      </c>
      <c r="C714" s="2" t="str">
        <f t="shared" si="55"/>
        <v>September</v>
      </c>
      <c r="D714" t="s">
        <v>157</v>
      </c>
      <c r="E714" t="s">
        <v>352</v>
      </c>
      <c r="F714">
        <v>4</v>
      </c>
      <c r="G714" t="s">
        <v>19</v>
      </c>
      <c r="H714" t="s">
        <v>14</v>
      </c>
      <c r="I714" t="s">
        <v>353</v>
      </c>
      <c r="J714" t="str">
        <f>_xlfn.XLOOKUP(E714, Product_Master!$A$2:$A$101, Product_Master!$C$2:$C$101)</f>
        <v>Electronics</v>
      </c>
      <c r="K714">
        <f>_xlfn.XLOOKUP(E714, Product_Master!$A$2:$A$101, Product_Master!$D$2:$D$101)</f>
        <v>12000</v>
      </c>
      <c r="L714">
        <f>_xlfn.XLOOKUP(E714, Product_Master!$A$2:$A$101, Product_Master!$E$2:$E$101)</f>
        <v>15000</v>
      </c>
      <c r="M714">
        <f t="shared" si="56"/>
        <v>60000</v>
      </c>
      <c r="N714">
        <f t="shared" si="57"/>
        <v>48000</v>
      </c>
      <c r="O714">
        <f t="shared" si="58"/>
        <v>12000</v>
      </c>
      <c r="P714" s="3">
        <f t="shared" si="59"/>
        <v>0.2</v>
      </c>
      <c r="Q714" s="3" t="str">
        <v>Low Profit</v>
      </c>
    </row>
    <row r="715" spans="1:17" x14ac:dyDescent="0.3">
      <c r="A715" t="s">
        <v>1162</v>
      </c>
      <c r="B715" s="2">
        <v>45797</v>
      </c>
      <c r="C715" s="2" t="str">
        <f t="shared" si="55"/>
        <v>May</v>
      </c>
      <c r="D715" t="s">
        <v>227</v>
      </c>
      <c r="E715" t="s">
        <v>380</v>
      </c>
      <c r="F715">
        <v>4</v>
      </c>
      <c r="G715" t="s">
        <v>24</v>
      </c>
      <c r="H715" t="s">
        <v>39</v>
      </c>
      <c r="I715" t="s">
        <v>340</v>
      </c>
      <c r="J715" t="str">
        <f>_xlfn.XLOOKUP(E715, Product_Master!$A$2:$A$101, Product_Master!$C$2:$C$101)</f>
        <v>Electronics</v>
      </c>
      <c r="K715">
        <f>_xlfn.XLOOKUP(E715, Product_Master!$A$2:$A$101, Product_Master!$D$2:$D$101)</f>
        <v>42000</v>
      </c>
      <c r="L715">
        <f>_xlfn.XLOOKUP(E715, Product_Master!$A$2:$A$101, Product_Master!$E$2:$E$101)</f>
        <v>50000</v>
      </c>
      <c r="M715">
        <f t="shared" si="56"/>
        <v>200000</v>
      </c>
      <c r="N715">
        <f t="shared" si="57"/>
        <v>168000</v>
      </c>
      <c r="O715">
        <f t="shared" si="58"/>
        <v>32000</v>
      </c>
      <c r="P715" s="3">
        <f t="shared" si="59"/>
        <v>0.16</v>
      </c>
      <c r="Q715" s="3" t="str">
        <v>Low Profit</v>
      </c>
    </row>
    <row r="716" spans="1:17" x14ac:dyDescent="0.3">
      <c r="A716" t="s">
        <v>1163</v>
      </c>
      <c r="B716" s="2">
        <v>45785</v>
      </c>
      <c r="C716" s="2" t="str">
        <f t="shared" si="55"/>
        <v>May</v>
      </c>
      <c r="D716" t="s">
        <v>243</v>
      </c>
      <c r="E716" t="s">
        <v>383</v>
      </c>
      <c r="F716">
        <v>3</v>
      </c>
      <c r="G716" t="s">
        <v>19</v>
      </c>
      <c r="H716" t="s">
        <v>39</v>
      </c>
      <c r="I716" t="s">
        <v>335</v>
      </c>
      <c r="J716" t="str">
        <f>_xlfn.XLOOKUP(E716, Product_Master!$A$2:$A$101, Product_Master!$C$2:$C$101)</f>
        <v>Accessories</v>
      </c>
      <c r="K716">
        <f>_xlfn.XLOOKUP(E716, Product_Master!$A$2:$A$101, Product_Master!$D$2:$D$101)</f>
        <v>900</v>
      </c>
      <c r="L716">
        <f>_xlfn.XLOOKUP(E716, Product_Master!$A$2:$A$101, Product_Master!$E$2:$E$101)</f>
        <v>1500</v>
      </c>
      <c r="M716">
        <f t="shared" si="56"/>
        <v>4500</v>
      </c>
      <c r="N716">
        <f t="shared" si="57"/>
        <v>2700</v>
      </c>
      <c r="O716">
        <f t="shared" si="58"/>
        <v>1800</v>
      </c>
      <c r="P716" s="3">
        <f t="shared" si="59"/>
        <v>0.4</v>
      </c>
      <c r="Q716" s="3" t="str">
        <v>High Profit</v>
      </c>
    </row>
    <row r="717" spans="1:17" x14ac:dyDescent="0.3">
      <c r="A717" t="s">
        <v>1164</v>
      </c>
      <c r="B717" s="2">
        <v>45809</v>
      </c>
      <c r="C717" s="2" t="str">
        <f t="shared" si="55"/>
        <v>June</v>
      </c>
      <c r="D717" t="s">
        <v>86</v>
      </c>
      <c r="E717" t="s">
        <v>427</v>
      </c>
      <c r="F717">
        <v>1</v>
      </c>
      <c r="G717" t="s">
        <v>19</v>
      </c>
      <c r="H717" t="s">
        <v>39</v>
      </c>
      <c r="I717" t="s">
        <v>329</v>
      </c>
      <c r="J717" t="str">
        <f>_xlfn.XLOOKUP(E717, Product_Master!$A$2:$A$101, Product_Master!$C$2:$C$101)</f>
        <v>Electronics</v>
      </c>
      <c r="K717">
        <f>_xlfn.XLOOKUP(E717, Product_Master!$A$2:$A$101, Product_Master!$D$2:$D$101)</f>
        <v>20000</v>
      </c>
      <c r="L717">
        <f>_xlfn.XLOOKUP(E717, Product_Master!$A$2:$A$101, Product_Master!$E$2:$E$101)</f>
        <v>25000</v>
      </c>
      <c r="M717">
        <f t="shared" si="56"/>
        <v>25000</v>
      </c>
      <c r="N717">
        <f t="shared" si="57"/>
        <v>20000</v>
      </c>
      <c r="O717">
        <f t="shared" si="58"/>
        <v>5000</v>
      </c>
      <c r="P717" s="3">
        <f t="shared" si="59"/>
        <v>0.2</v>
      </c>
      <c r="Q717" s="3" t="str">
        <v>Low Profit</v>
      </c>
    </row>
    <row r="718" spans="1:17" x14ac:dyDescent="0.3">
      <c r="A718" t="s">
        <v>1165</v>
      </c>
      <c r="B718" s="2">
        <v>45679</v>
      </c>
      <c r="C718" s="2" t="str">
        <f t="shared" si="55"/>
        <v>January</v>
      </c>
      <c r="D718" t="s">
        <v>79</v>
      </c>
      <c r="E718" t="s">
        <v>420</v>
      </c>
      <c r="F718">
        <v>2</v>
      </c>
      <c r="G718" t="s">
        <v>47</v>
      </c>
      <c r="H718" t="s">
        <v>20</v>
      </c>
      <c r="I718" t="s">
        <v>329</v>
      </c>
      <c r="J718" t="str">
        <f>_xlfn.XLOOKUP(E718, Product_Master!$A$2:$A$101, Product_Master!$C$2:$C$101)</f>
        <v>Electronics</v>
      </c>
      <c r="K718">
        <f>_xlfn.XLOOKUP(E718, Product_Master!$A$2:$A$101, Product_Master!$D$2:$D$101)</f>
        <v>20000</v>
      </c>
      <c r="L718">
        <f>_xlfn.XLOOKUP(E718, Product_Master!$A$2:$A$101, Product_Master!$E$2:$E$101)</f>
        <v>25000</v>
      </c>
      <c r="M718">
        <f t="shared" si="56"/>
        <v>50000</v>
      </c>
      <c r="N718">
        <f t="shared" si="57"/>
        <v>40000</v>
      </c>
      <c r="O718">
        <f t="shared" si="58"/>
        <v>10000</v>
      </c>
      <c r="P718" s="3">
        <f t="shared" si="59"/>
        <v>0.2</v>
      </c>
      <c r="Q718" s="3" t="str">
        <v>Low Profit</v>
      </c>
    </row>
    <row r="719" spans="1:17" x14ac:dyDescent="0.3">
      <c r="A719" t="s">
        <v>1166</v>
      </c>
      <c r="B719" s="2">
        <v>45700</v>
      </c>
      <c r="C719" s="2" t="str">
        <f t="shared" si="55"/>
        <v>February</v>
      </c>
      <c r="D719" t="s">
        <v>293</v>
      </c>
      <c r="E719" t="s">
        <v>334</v>
      </c>
      <c r="F719">
        <v>1</v>
      </c>
      <c r="G719" t="s">
        <v>4</v>
      </c>
      <c r="H719" t="s">
        <v>1455</v>
      </c>
      <c r="I719" t="s">
        <v>335</v>
      </c>
      <c r="J719" t="str">
        <f>_xlfn.XLOOKUP(E719, Product_Master!$A$2:$A$101, Product_Master!$C$2:$C$101)</f>
        <v>Accessories</v>
      </c>
      <c r="K719">
        <f>_xlfn.XLOOKUP(E719, Product_Master!$A$2:$A$101, Product_Master!$D$2:$D$101)</f>
        <v>900</v>
      </c>
      <c r="L719">
        <f>_xlfn.XLOOKUP(E719, Product_Master!$A$2:$A$101, Product_Master!$E$2:$E$101)</f>
        <v>1500</v>
      </c>
      <c r="M719">
        <f t="shared" si="56"/>
        <v>1500</v>
      </c>
      <c r="N719">
        <f t="shared" si="57"/>
        <v>900</v>
      </c>
      <c r="O719">
        <f t="shared" si="58"/>
        <v>600</v>
      </c>
      <c r="P719" s="3">
        <f t="shared" si="59"/>
        <v>0.4</v>
      </c>
      <c r="Q719" s="3" t="str">
        <v>High Profit</v>
      </c>
    </row>
    <row r="720" spans="1:17" x14ac:dyDescent="0.3">
      <c r="A720" t="s">
        <v>1167</v>
      </c>
      <c r="B720" s="2">
        <v>45741</v>
      </c>
      <c r="C720" s="2" t="str">
        <f t="shared" si="55"/>
        <v>March</v>
      </c>
      <c r="D720" t="s">
        <v>119</v>
      </c>
      <c r="E720" t="s">
        <v>345</v>
      </c>
      <c r="F720">
        <v>5</v>
      </c>
      <c r="G720" t="s">
        <v>24</v>
      </c>
      <c r="H720" t="s">
        <v>14</v>
      </c>
      <c r="I720" t="s">
        <v>346</v>
      </c>
      <c r="J720" t="str">
        <f>_xlfn.XLOOKUP(E720, Product_Master!$A$2:$A$101, Product_Master!$C$2:$C$101)</f>
        <v>Accessories</v>
      </c>
      <c r="K720">
        <f>_xlfn.XLOOKUP(E720, Product_Master!$A$2:$A$101, Product_Master!$D$2:$D$101)</f>
        <v>9000</v>
      </c>
      <c r="L720">
        <f>_xlfn.XLOOKUP(E720, Product_Master!$A$2:$A$101, Product_Master!$E$2:$E$101)</f>
        <v>12000</v>
      </c>
      <c r="M720">
        <f t="shared" si="56"/>
        <v>60000</v>
      </c>
      <c r="N720">
        <f t="shared" si="57"/>
        <v>45000</v>
      </c>
      <c r="O720">
        <f t="shared" si="58"/>
        <v>15000</v>
      </c>
      <c r="P720" s="3">
        <f t="shared" si="59"/>
        <v>0.25</v>
      </c>
      <c r="Q720" s="3" t="str">
        <v>High Profit</v>
      </c>
    </row>
    <row r="721" spans="1:17" x14ac:dyDescent="0.3">
      <c r="A721" t="s">
        <v>1168</v>
      </c>
      <c r="B721" s="2">
        <v>45975</v>
      </c>
      <c r="C721" s="2" t="str">
        <f t="shared" si="55"/>
        <v>November</v>
      </c>
      <c r="D721" t="s">
        <v>176</v>
      </c>
      <c r="E721" t="s">
        <v>362</v>
      </c>
      <c r="F721">
        <v>4</v>
      </c>
      <c r="G721" t="s">
        <v>45</v>
      </c>
      <c r="H721" t="s">
        <v>20</v>
      </c>
      <c r="I721" t="s">
        <v>332</v>
      </c>
      <c r="J721" t="str">
        <f>_xlfn.XLOOKUP(E721, Product_Master!$A$2:$A$101, Product_Master!$C$2:$C$101)</f>
        <v>Accessories</v>
      </c>
      <c r="K721">
        <f>_xlfn.XLOOKUP(E721, Product_Master!$A$2:$A$101, Product_Master!$D$2:$D$101)</f>
        <v>500</v>
      </c>
      <c r="L721">
        <f>_xlfn.XLOOKUP(E721, Product_Master!$A$2:$A$101, Product_Master!$E$2:$E$101)</f>
        <v>800</v>
      </c>
      <c r="M721">
        <f t="shared" si="56"/>
        <v>3200</v>
      </c>
      <c r="N721">
        <f t="shared" si="57"/>
        <v>2000</v>
      </c>
      <c r="O721">
        <f t="shared" si="58"/>
        <v>1200</v>
      </c>
      <c r="P721" s="3">
        <f t="shared" si="59"/>
        <v>0.375</v>
      </c>
      <c r="Q721" s="3" t="str">
        <v>High Profit</v>
      </c>
    </row>
    <row r="722" spans="1:17" x14ac:dyDescent="0.3">
      <c r="A722" t="s">
        <v>1169</v>
      </c>
      <c r="B722" s="2">
        <v>45994</v>
      </c>
      <c r="C722" s="2" t="str">
        <f t="shared" si="55"/>
        <v>December</v>
      </c>
      <c r="D722" t="s">
        <v>132</v>
      </c>
      <c r="E722" t="s">
        <v>436</v>
      </c>
      <c r="F722">
        <v>4</v>
      </c>
      <c r="G722" t="s">
        <v>47</v>
      </c>
      <c r="H722" t="s">
        <v>39</v>
      </c>
      <c r="I722" t="s">
        <v>353</v>
      </c>
      <c r="J722" t="str">
        <f>_xlfn.XLOOKUP(E722, Product_Master!$A$2:$A$101, Product_Master!$C$2:$C$101)</f>
        <v>Electronics</v>
      </c>
      <c r="K722">
        <f>_xlfn.XLOOKUP(E722, Product_Master!$A$2:$A$101, Product_Master!$D$2:$D$101)</f>
        <v>12000</v>
      </c>
      <c r="L722">
        <f>_xlfn.XLOOKUP(E722, Product_Master!$A$2:$A$101, Product_Master!$E$2:$E$101)</f>
        <v>15000</v>
      </c>
      <c r="M722">
        <f t="shared" si="56"/>
        <v>60000</v>
      </c>
      <c r="N722">
        <f t="shared" si="57"/>
        <v>48000</v>
      </c>
      <c r="O722">
        <f t="shared" si="58"/>
        <v>12000</v>
      </c>
      <c r="P722" s="3">
        <f t="shared" si="59"/>
        <v>0.2</v>
      </c>
      <c r="Q722" s="3" t="str">
        <v>Low Profit</v>
      </c>
    </row>
    <row r="723" spans="1:17" x14ac:dyDescent="0.3">
      <c r="A723" t="s">
        <v>1170</v>
      </c>
      <c r="B723" s="2">
        <v>45868</v>
      </c>
      <c r="C723" s="2" t="str">
        <f t="shared" si="55"/>
        <v>July</v>
      </c>
      <c r="D723" t="s">
        <v>143</v>
      </c>
      <c r="E723" t="s">
        <v>381</v>
      </c>
      <c r="F723">
        <v>5</v>
      </c>
      <c r="G723" t="s">
        <v>4</v>
      </c>
      <c r="H723" t="s">
        <v>20</v>
      </c>
      <c r="I723" t="s">
        <v>329</v>
      </c>
      <c r="J723" t="str">
        <f>_xlfn.XLOOKUP(E723, Product_Master!$A$2:$A$101, Product_Master!$C$2:$C$101)</f>
        <v>Electronics</v>
      </c>
      <c r="K723">
        <f>_xlfn.XLOOKUP(E723, Product_Master!$A$2:$A$101, Product_Master!$D$2:$D$101)</f>
        <v>20000</v>
      </c>
      <c r="L723">
        <f>_xlfn.XLOOKUP(E723, Product_Master!$A$2:$A$101, Product_Master!$E$2:$E$101)</f>
        <v>25000</v>
      </c>
      <c r="M723">
        <f t="shared" si="56"/>
        <v>125000</v>
      </c>
      <c r="N723">
        <f t="shared" si="57"/>
        <v>100000</v>
      </c>
      <c r="O723">
        <f t="shared" si="58"/>
        <v>25000</v>
      </c>
      <c r="P723" s="3">
        <f t="shared" si="59"/>
        <v>0.2</v>
      </c>
      <c r="Q723" s="3" t="str">
        <v>Low Profit</v>
      </c>
    </row>
    <row r="724" spans="1:17" x14ac:dyDescent="0.3">
      <c r="A724" t="s">
        <v>1171</v>
      </c>
      <c r="B724" s="2">
        <v>45848</v>
      </c>
      <c r="C724" s="2" t="str">
        <f t="shared" si="55"/>
        <v>July</v>
      </c>
      <c r="D724" t="s">
        <v>469</v>
      </c>
      <c r="E724" t="s">
        <v>406</v>
      </c>
      <c r="F724">
        <v>3</v>
      </c>
      <c r="G724" t="s">
        <v>1454</v>
      </c>
      <c r="H724" t="s">
        <v>1455</v>
      </c>
      <c r="I724" t="s">
        <v>344</v>
      </c>
      <c r="J724" t="str">
        <f>_xlfn.XLOOKUP(E724, Product_Master!$A$2:$A$101, Product_Master!$C$2:$C$101)</f>
        <v>Accessories</v>
      </c>
      <c r="K724">
        <f>_xlfn.XLOOKUP(E724, Product_Master!$A$2:$A$101, Product_Master!$D$2:$D$101)</f>
        <v>2000</v>
      </c>
      <c r="L724">
        <f>_xlfn.XLOOKUP(E724, Product_Master!$A$2:$A$101, Product_Master!$E$2:$E$101)</f>
        <v>3000</v>
      </c>
      <c r="M724">
        <f t="shared" si="56"/>
        <v>9000</v>
      </c>
      <c r="N724">
        <f t="shared" si="57"/>
        <v>6000</v>
      </c>
      <c r="O724">
        <f t="shared" si="58"/>
        <v>3000</v>
      </c>
      <c r="P724" s="3">
        <f t="shared" si="59"/>
        <v>0.33333333333333331</v>
      </c>
      <c r="Q724" s="3" t="str">
        <v>High Profit</v>
      </c>
    </row>
    <row r="725" spans="1:17" x14ac:dyDescent="0.3">
      <c r="A725" t="s">
        <v>1172</v>
      </c>
      <c r="B725" s="2">
        <v>45803</v>
      </c>
      <c r="C725" s="2" t="str">
        <f t="shared" si="55"/>
        <v>May</v>
      </c>
      <c r="D725" t="s">
        <v>235</v>
      </c>
      <c r="E725" t="s">
        <v>361</v>
      </c>
      <c r="F725">
        <v>3</v>
      </c>
      <c r="G725" t="s">
        <v>19</v>
      </c>
      <c r="H725" t="s">
        <v>14</v>
      </c>
      <c r="I725" t="s">
        <v>344</v>
      </c>
      <c r="J725" t="str">
        <f>_xlfn.XLOOKUP(E725, Product_Master!$A$2:$A$101, Product_Master!$C$2:$C$101)</f>
        <v>Accessories</v>
      </c>
      <c r="K725">
        <f>_xlfn.XLOOKUP(E725, Product_Master!$A$2:$A$101, Product_Master!$D$2:$D$101)</f>
        <v>2000</v>
      </c>
      <c r="L725">
        <f>_xlfn.XLOOKUP(E725, Product_Master!$A$2:$A$101, Product_Master!$E$2:$E$101)</f>
        <v>3000</v>
      </c>
      <c r="M725">
        <f t="shared" si="56"/>
        <v>9000</v>
      </c>
      <c r="N725">
        <f t="shared" si="57"/>
        <v>6000</v>
      </c>
      <c r="O725">
        <f t="shared" si="58"/>
        <v>3000</v>
      </c>
      <c r="P725" s="3">
        <f t="shared" si="59"/>
        <v>0.33333333333333331</v>
      </c>
      <c r="Q725" s="3" t="str">
        <v>High Profit</v>
      </c>
    </row>
    <row r="726" spans="1:17" x14ac:dyDescent="0.3">
      <c r="A726" t="s">
        <v>1173</v>
      </c>
      <c r="B726" s="2">
        <v>45887</v>
      </c>
      <c r="C726" s="2" t="str">
        <f t="shared" si="55"/>
        <v>August</v>
      </c>
      <c r="D726" t="s">
        <v>308</v>
      </c>
      <c r="E726" t="s">
        <v>400</v>
      </c>
      <c r="F726">
        <v>5</v>
      </c>
      <c r="G726" t="s">
        <v>10</v>
      </c>
      <c r="H726" t="s">
        <v>17</v>
      </c>
      <c r="I726" t="s">
        <v>335</v>
      </c>
      <c r="J726" t="str">
        <f>_xlfn.XLOOKUP(E726, Product_Master!$A$2:$A$101, Product_Master!$C$2:$C$101)</f>
        <v>Accessories</v>
      </c>
      <c r="K726">
        <f>_xlfn.XLOOKUP(E726, Product_Master!$A$2:$A$101, Product_Master!$D$2:$D$101)</f>
        <v>900</v>
      </c>
      <c r="L726">
        <f>_xlfn.XLOOKUP(E726, Product_Master!$A$2:$A$101, Product_Master!$E$2:$E$101)</f>
        <v>1500</v>
      </c>
      <c r="M726">
        <f t="shared" si="56"/>
        <v>7500</v>
      </c>
      <c r="N726">
        <f t="shared" si="57"/>
        <v>4500</v>
      </c>
      <c r="O726">
        <f t="shared" si="58"/>
        <v>3000</v>
      </c>
      <c r="P726" s="3">
        <f t="shared" si="59"/>
        <v>0.4</v>
      </c>
      <c r="Q726" s="3" t="str">
        <v>High Profit</v>
      </c>
    </row>
    <row r="727" spans="1:17" x14ac:dyDescent="0.3">
      <c r="A727" t="s">
        <v>1174</v>
      </c>
      <c r="B727" s="2">
        <v>45866</v>
      </c>
      <c r="C727" s="2" t="str">
        <f t="shared" si="55"/>
        <v>July</v>
      </c>
      <c r="D727" t="s">
        <v>236</v>
      </c>
      <c r="E727" t="s">
        <v>366</v>
      </c>
      <c r="F727">
        <v>3</v>
      </c>
      <c r="G727" t="s">
        <v>47</v>
      </c>
      <c r="H727" t="s">
        <v>1455</v>
      </c>
      <c r="I727" t="s">
        <v>340</v>
      </c>
      <c r="J727" t="str">
        <f>_xlfn.XLOOKUP(E727, Product_Master!$A$2:$A$101, Product_Master!$C$2:$C$101)</f>
        <v>Electronics</v>
      </c>
      <c r="K727">
        <f>_xlfn.XLOOKUP(E727, Product_Master!$A$2:$A$101, Product_Master!$D$2:$D$101)</f>
        <v>42000</v>
      </c>
      <c r="L727">
        <f>_xlfn.XLOOKUP(E727, Product_Master!$A$2:$A$101, Product_Master!$E$2:$E$101)</f>
        <v>50000</v>
      </c>
      <c r="M727">
        <f t="shared" si="56"/>
        <v>150000</v>
      </c>
      <c r="N727">
        <f t="shared" si="57"/>
        <v>126000</v>
      </c>
      <c r="O727">
        <f t="shared" si="58"/>
        <v>24000</v>
      </c>
      <c r="P727" s="3">
        <f t="shared" si="59"/>
        <v>0.16</v>
      </c>
      <c r="Q727" s="3" t="str">
        <v>Low Profit</v>
      </c>
    </row>
    <row r="728" spans="1:17" x14ac:dyDescent="0.3">
      <c r="A728" t="s">
        <v>1175</v>
      </c>
      <c r="B728" s="2">
        <v>45666</v>
      </c>
      <c r="C728" s="2" t="str">
        <f t="shared" si="55"/>
        <v>January</v>
      </c>
      <c r="D728" t="s">
        <v>268</v>
      </c>
      <c r="E728" t="s">
        <v>356</v>
      </c>
      <c r="F728">
        <v>3</v>
      </c>
      <c r="G728" t="s">
        <v>10</v>
      </c>
      <c r="H728" t="s">
        <v>17</v>
      </c>
      <c r="I728" t="s">
        <v>340</v>
      </c>
      <c r="J728" t="str">
        <f>_xlfn.XLOOKUP(E728, Product_Master!$A$2:$A$101, Product_Master!$C$2:$C$101)</f>
        <v>Electronics</v>
      </c>
      <c r="K728">
        <f>_xlfn.XLOOKUP(E728, Product_Master!$A$2:$A$101, Product_Master!$D$2:$D$101)</f>
        <v>42000</v>
      </c>
      <c r="L728">
        <f>_xlfn.XLOOKUP(E728, Product_Master!$A$2:$A$101, Product_Master!$E$2:$E$101)</f>
        <v>50000</v>
      </c>
      <c r="M728">
        <f t="shared" si="56"/>
        <v>150000</v>
      </c>
      <c r="N728">
        <f t="shared" si="57"/>
        <v>126000</v>
      </c>
      <c r="O728">
        <f t="shared" si="58"/>
        <v>24000</v>
      </c>
      <c r="P728" s="3">
        <f t="shared" si="59"/>
        <v>0.16</v>
      </c>
      <c r="Q728" s="3" t="str">
        <v>Low Profit</v>
      </c>
    </row>
    <row r="729" spans="1:17" x14ac:dyDescent="0.3">
      <c r="A729" t="s">
        <v>1176</v>
      </c>
      <c r="B729" s="2">
        <v>45724</v>
      </c>
      <c r="C729" s="2" t="str">
        <f t="shared" si="55"/>
        <v>March</v>
      </c>
      <c r="D729" t="s">
        <v>294</v>
      </c>
      <c r="E729" t="s">
        <v>374</v>
      </c>
      <c r="F729">
        <v>1</v>
      </c>
      <c r="G729" t="s">
        <v>4</v>
      </c>
      <c r="H729" t="s">
        <v>27</v>
      </c>
      <c r="I729" t="s">
        <v>346</v>
      </c>
      <c r="J729" t="str">
        <f>_xlfn.XLOOKUP(E729, Product_Master!$A$2:$A$101, Product_Master!$C$2:$C$101)</f>
        <v>Accessories</v>
      </c>
      <c r="K729">
        <f>_xlfn.XLOOKUP(E729, Product_Master!$A$2:$A$101, Product_Master!$D$2:$D$101)</f>
        <v>9000</v>
      </c>
      <c r="L729">
        <f>_xlfn.XLOOKUP(E729, Product_Master!$A$2:$A$101, Product_Master!$E$2:$E$101)</f>
        <v>12000</v>
      </c>
      <c r="M729">
        <f t="shared" si="56"/>
        <v>12000</v>
      </c>
      <c r="N729">
        <f t="shared" si="57"/>
        <v>9000</v>
      </c>
      <c r="O729">
        <f t="shared" si="58"/>
        <v>3000</v>
      </c>
      <c r="P729" s="3">
        <f t="shared" si="59"/>
        <v>0.25</v>
      </c>
      <c r="Q729" s="3" t="str">
        <v>High Profit</v>
      </c>
    </row>
    <row r="730" spans="1:17" x14ac:dyDescent="0.3">
      <c r="A730" t="s">
        <v>1177</v>
      </c>
      <c r="B730" s="2">
        <v>45941</v>
      </c>
      <c r="C730" s="2" t="str">
        <f t="shared" si="55"/>
        <v>October</v>
      </c>
      <c r="D730" t="s">
        <v>279</v>
      </c>
      <c r="E730" t="s">
        <v>334</v>
      </c>
      <c r="F730">
        <v>1</v>
      </c>
      <c r="G730" t="s">
        <v>22</v>
      </c>
      <c r="H730" t="s">
        <v>31</v>
      </c>
      <c r="I730" t="s">
        <v>335</v>
      </c>
      <c r="J730" t="str">
        <f>_xlfn.XLOOKUP(E730, Product_Master!$A$2:$A$101, Product_Master!$C$2:$C$101)</f>
        <v>Accessories</v>
      </c>
      <c r="K730">
        <f>_xlfn.XLOOKUP(E730, Product_Master!$A$2:$A$101, Product_Master!$D$2:$D$101)</f>
        <v>900</v>
      </c>
      <c r="L730">
        <f>_xlfn.XLOOKUP(E730, Product_Master!$A$2:$A$101, Product_Master!$E$2:$E$101)</f>
        <v>1500</v>
      </c>
      <c r="M730">
        <f t="shared" si="56"/>
        <v>1500</v>
      </c>
      <c r="N730">
        <f t="shared" si="57"/>
        <v>900</v>
      </c>
      <c r="O730">
        <f t="shared" si="58"/>
        <v>600</v>
      </c>
      <c r="P730" s="3">
        <f t="shared" si="59"/>
        <v>0.4</v>
      </c>
      <c r="Q730" s="3" t="str">
        <v>High Profit</v>
      </c>
    </row>
    <row r="731" spans="1:17" x14ac:dyDescent="0.3">
      <c r="A731" t="s">
        <v>1178</v>
      </c>
      <c r="B731" s="2">
        <v>46007</v>
      </c>
      <c r="C731" s="2" t="str">
        <f t="shared" si="55"/>
        <v>December</v>
      </c>
      <c r="D731" t="s">
        <v>242</v>
      </c>
      <c r="E731" t="s">
        <v>437</v>
      </c>
      <c r="F731">
        <v>1</v>
      </c>
      <c r="G731" t="s">
        <v>10</v>
      </c>
      <c r="H731" t="s">
        <v>14</v>
      </c>
      <c r="I731" t="s">
        <v>344</v>
      </c>
      <c r="J731" t="str">
        <f>_xlfn.XLOOKUP(E731, Product_Master!$A$2:$A$101, Product_Master!$C$2:$C$101)</f>
        <v>Accessories</v>
      </c>
      <c r="K731">
        <f>_xlfn.XLOOKUP(E731, Product_Master!$A$2:$A$101, Product_Master!$D$2:$D$101)</f>
        <v>2000</v>
      </c>
      <c r="L731">
        <f>_xlfn.XLOOKUP(E731, Product_Master!$A$2:$A$101, Product_Master!$E$2:$E$101)</f>
        <v>3000</v>
      </c>
      <c r="M731">
        <f t="shared" si="56"/>
        <v>3000</v>
      </c>
      <c r="N731">
        <f t="shared" si="57"/>
        <v>2000</v>
      </c>
      <c r="O731">
        <f t="shared" si="58"/>
        <v>1000</v>
      </c>
      <c r="P731" s="3">
        <f t="shared" si="59"/>
        <v>0.33333333333333331</v>
      </c>
      <c r="Q731" s="3" t="str">
        <v>High Profit</v>
      </c>
    </row>
    <row r="732" spans="1:17" x14ac:dyDescent="0.3">
      <c r="A732" t="s">
        <v>1179</v>
      </c>
      <c r="B732" s="2">
        <v>45810</v>
      </c>
      <c r="C732" s="2" t="str">
        <f t="shared" si="55"/>
        <v>June</v>
      </c>
      <c r="D732" t="s">
        <v>270</v>
      </c>
      <c r="E732" t="s">
        <v>387</v>
      </c>
      <c r="F732">
        <v>3</v>
      </c>
      <c r="G732" t="s">
        <v>16</v>
      </c>
      <c r="H732" t="s">
        <v>5</v>
      </c>
      <c r="I732" t="s">
        <v>332</v>
      </c>
      <c r="J732" t="str">
        <f>_xlfn.XLOOKUP(E732, Product_Master!$A$2:$A$101, Product_Master!$C$2:$C$101)</f>
        <v>Accessories</v>
      </c>
      <c r="K732">
        <f>_xlfn.XLOOKUP(E732, Product_Master!$A$2:$A$101, Product_Master!$D$2:$D$101)</f>
        <v>500</v>
      </c>
      <c r="L732">
        <f>_xlfn.XLOOKUP(E732, Product_Master!$A$2:$A$101, Product_Master!$E$2:$E$101)</f>
        <v>800</v>
      </c>
      <c r="M732">
        <f t="shared" si="56"/>
        <v>2400</v>
      </c>
      <c r="N732">
        <f t="shared" si="57"/>
        <v>1500</v>
      </c>
      <c r="O732">
        <f t="shared" si="58"/>
        <v>900</v>
      </c>
      <c r="P732" s="3">
        <f t="shared" si="59"/>
        <v>0.375</v>
      </c>
      <c r="Q732" s="3" t="str">
        <v>High Profit</v>
      </c>
    </row>
    <row r="733" spans="1:17" x14ac:dyDescent="0.3">
      <c r="A733" t="s">
        <v>1180</v>
      </c>
      <c r="B733" s="2">
        <v>45850</v>
      </c>
      <c r="C733" s="2" t="str">
        <f t="shared" si="55"/>
        <v>July</v>
      </c>
      <c r="D733" t="s">
        <v>136</v>
      </c>
      <c r="E733" t="s">
        <v>430</v>
      </c>
      <c r="F733">
        <v>1</v>
      </c>
      <c r="G733" t="s">
        <v>4</v>
      </c>
      <c r="H733" t="s">
        <v>14</v>
      </c>
      <c r="I733" t="s">
        <v>346</v>
      </c>
      <c r="J733" t="str">
        <f>_xlfn.XLOOKUP(E733, Product_Master!$A$2:$A$101, Product_Master!$C$2:$C$101)</f>
        <v>Accessories</v>
      </c>
      <c r="K733">
        <f>_xlfn.XLOOKUP(E733, Product_Master!$A$2:$A$101, Product_Master!$D$2:$D$101)</f>
        <v>9000</v>
      </c>
      <c r="L733">
        <f>_xlfn.XLOOKUP(E733, Product_Master!$A$2:$A$101, Product_Master!$E$2:$E$101)</f>
        <v>12000</v>
      </c>
      <c r="M733">
        <f t="shared" si="56"/>
        <v>12000</v>
      </c>
      <c r="N733">
        <f t="shared" si="57"/>
        <v>9000</v>
      </c>
      <c r="O733">
        <f t="shared" si="58"/>
        <v>3000</v>
      </c>
      <c r="P733" s="3">
        <f t="shared" si="59"/>
        <v>0.25</v>
      </c>
      <c r="Q733" s="3" t="str">
        <v>High Profit</v>
      </c>
    </row>
    <row r="734" spans="1:17" x14ac:dyDescent="0.3">
      <c r="A734" t="s">
        <v>1181</v>
      </c>
      <c r="B734" s="2">
        <v>45928</v>
      </c>
      <c r="C734" s="2" t="str">
        <f t="shared" si="55"/>
        <v>September</v>
      </c>
      <c r="D734" t="s">
        <v>124</v>
      </c>
      <c r="E734" t="s">
        <v>394</v>
      </c>
      <c r="F734">
        <v>1</v>
      </c>
      <c r="G734" t="s">
        <v>10</v>
      </c>
      <c r="H734" t="s">
        <v>14</v>
      </c>
      <c r="I734" t="s">
        <v>332</v>
      </c>
      <c r="J734" t="str">
        <f>_xlfn.XLOOKUP(E734, Product_Master!$A$2:$A$101, Product_Master!$C$2:$C$101)</f>
        <v>Accessories</v>
      </c>
      <c r="K734">
        <f>_xlfn.XLOOKUP(E734, Product_Master!$A$2:$A$101, Product_Master!$D$2:$D$101)</f>
        <v>500</v>
      </c>
      <c r="L734">
        <f>_xlfn.XLOOKUP(E734, Product_Master!$A$2:$A$101, Product_Master!$E$2:$E$101)</f>
        <v>800</v>
      </c>
      <c r="M734">
        <f t="shared" si="56"/>
        <v>800</v>
      </c>
      <c r="N734">
        <f t="shared" si="57"/>
        <v>500</v>
      </c>
      <c r="O734">
        <f t="shared" si="58"/>
        <v>300</v>
      </c>
      <c r="P734" s="3">
        <f t="shared" si="59"/>
        <v>0.375</v>
      </c>
      <c r="Q734" s="3" t="str">
        <v>High Profit</v>
      </c>
    </row>
    <row r="735" spans="1:17" x14ac:dyDescent="0.3">
      <c r="A735" t="s">
        <v>1182</v>
      </c>
      <c r="B735" s="2">
        <v>46007</v>
      </c>
      <c r="C735" s="2" t="str">
        <f t="shared" si="55"/>
        <v>December</v>
      </c>
      <c r="D735" t="s">
        <v>120</v>
      </c>
      <c r="E735" t="s">
        <v>376</v>
      </c>
      <c r="F735">
        <v>5</v>
      </c>
      <c r="G735" t="s">
        <v>19</v>
      </c>
      <c r="H735" t="s">
        <v>1455</v>
      </c>
      <c r="I735" t="s">
        <v>353</v>
      </c>
      <c r="J735" t="str">
        <f>_xlfn.XLOOKUP(E735, Product_Master!$A$2:$A$101, Product_Master!$C$2:$C$101)</f>
        <v>Electronics</v>
      </c>
      <c r="K735">
        <f>_xlfn.XLOOKUP(E735, Product_Master!$A$2:$A$101, Product_Master!$D$2:$D$101)</f>
        <v>12000</v>
      </c>
      <c r="L735">
        <f>_xlfn.XLOOKUP(E735, Product_Master!$A$2:$A$101, Product_Master!$E$2:$E$101)</f>
        <v>15000</v>
      </c>
      <c r="M735">
        <f t="shared" si="56"/>
        <v>75000</v>
      </c>
      <c r="N735">
        <f t="shared" si="57"/>
        <v>60000</v>
      </c>
      <c r="O735">
        <f t="shared" si="58"/>
        <v>15000</v>
      </c>
      <c r="P735" s="3">
        <f t="shared" si="59"/>
        <v>0.2</v>
      </c>
      <c r="Q735" s="3" t="str">
        <v>Low Profit</v>
      </c>
    </row>
    <row r="736" spans="1:17" x14ac:dyDescent="0.3">
      <c r="A736" t="s">
        <v>1183</v>
      </c>
      <c r="B736" s="2">
        <v>45938</v>
      </c>
      <c r="C736" s="2" t="str">
        <f t="shared" si="55"/>
        <v>October</v>
      </c>
      <c r="D736" t="s">
        <v>124</v>
      </c>
      <c r="E736" t="s">
        <v>428</v>
      </c>
      <c r="F736">
        <v>4</v>
      </c>
      <c r="G736" t="s">
        <v>10</v>
      </c>
      <c r="H736" t="s">
        <v>14</v>
      </c>
      <c r="I736" t="s">
        <v>335</v>
      </c>
      <c r="J736" t="str">
        <f>_xlfn.XLOOKUP(E736, Product_Master!$A$2:$A$101, Product_Master!$C$2:$C$101)</f>
        <v>Accessories</v>
      </c>
      <c r="K736">
        <f>_xlfn.XLOOKUP(E736, Product_Master!$A$2:$A$101, Product_Master!$D$2:$D$101)</f>
        <v>900</v>
      </c>
      <c r="L736">
        <f>_xlfn.XLOOKUP(E736, Product_Master!$A$2:$A$101, Product_Master!$E$2:$E$101)</f>
        <v>1500</v>
      </c>
      <c r="M736">
        <f t="shared" si="56"/>
        <v>6000</v>
      </c>
      <c r="N736">
        <f t="shared" si="57"/>
        <v>3600</v>
      </c>
      <c r="O736">
        <f t="shared" si="58"/>
        <v>2400</v>
      </c>
      <c r="P736" s="3">
        <f t="shared" si="59"/>
        <v>0.4</v>
      </c>
      <c r="Q736" s="3" t="str">
        <v>High Profit</v>
      </c>
    </row>
    <row r="737" spans="1:17" x14ac:dyDescent="0.3">
      <c r="A737" t="s">
        <v>1184</v>
      </c>
      <c r="B737" s="2">
        <v>45774</v>
      </c>
      <c r="C737" s="2" t="str">
        <f t="shared" si="55"/>
        <v>April</v>
      </c>
      <c r="D737" t="s">
        <v>254</v>
      </c>
      <c r="E737" t="s">
        <v>430</v>
      </c>
      <c r="F737">
        <v>5</v>
      </c>
      <c r="G737" t="s">
        <v>24</v>
      </c>
      <c r="H737" t="s">
        <v>20</v>
      </c>
      <c r="I737" t="s">
        <v>346</v>
      </c>
      <c r="J737" t="str">
        <f>_xlfn.XLOOKUP(E737, Product_Master!$A$2:$A$101, Product_Master!$C$2:$C$101)</f>
        <v>Accessories</v>
      </c>
      <c r="K737">
        <f>_xlfn.XLOOKUP(E737, Product_Master!$A$2:$A$101, Product_Master!$D$2:$D$101)</f>
        <v>9000</v>
      </c>
      <c r="L737">
        <f>_xlfn.XLOOKUP(E737, Product_Master!$A$2:$A$101, Product_Master!$E$2:$E$101)</f>
        <v>12000</v>
      </c>
      <c r="M737">
        <f t="shared" si="56"/>
        <v>60000</v>
      </c>
      <c r="N737">
        <f t="shared" si="57"/>
        <v>45000</v>
      </c>
      <c r="O737">
        <f t="shared" si="58"/>
        <v>15000</v>
      </c>
      <c r="P737" s="3">
        <f t="shared" si="59"/>
        <v>0.25</v>
      </c>
      <c r="Q737" s="3" t="str">
        <v>High Profit</v>
      </c>
    </row>
    <row r="738" spans="1:17" x14ac:dyDescent="0.3">
      <c r="A738" t="s">
        <v>1185</v>
      </c>
      <c r="B738" s="2">
        <v>45714</v>
      </c>
      <c r="C738" s="2" t="str">
        <f t="shared" si="55"/>
        <v>February</v>
      </c>
      <c r="D738" t="s">
        <v>176</v>
      </c>
      <c r="E738" t="s">
        <v>349</v>
      </c>
      <c r="F738">
        <v>4</v>
      </c>
      <c r="G738" t="s">
        <v>45</v>
      </c>
      <c r="H738" t="s">
        <v>20</v>
      </c>
      <c r="I738" t="s">
        <v>346</v>
      </c>
      <c r="J738" t="str">
        <f>_xlfn.XLOOKUP(E738, Product_Master!$A$2:$A$101, Product_Master!$C$2:$C$101)</f>
        <v>Accessories</v>
      </c>
      <c r="K738">
        <f>_xlfn.XLOOKUP(E738, Product_Master!$A$2:$A$101, Product_Master!$D$2:$D$101)</f>
        <v>9000</v>
      </c>
      <c r="L738">
        <f>_xlfn.XLOOKUP(E738, Product_Master!$A$2:$A$101, Product_Master!$E$2:$E$101)</f>
        <v>12000</v>
      </c>
      <c r="M738">
        <f t="shared" si="56"/>
        <v>48000</v>
      </c>
      <c r="N738">
        <f t="shared" si="57"/>
        <v>36000</v>
      </c>
      <c r="O738">
        <f t="shared" si="58"/>
        <v>12000</v>
      </c>
      <c r="P738" s="3">
        <f t="shared" si="59"/>
        <v>0.25</v>
      </c>
      <c r="Q738" s="3" t="str">
        <v>High Profit</v>
      </c>
    </row>
    <row r="739" spans="1:17" x14ac:dyDescent="0.3">
      <c r="A739" t="s">
        <v>1186</v>
      </c>
      <c r="B739" s="2">
        <v>45887</v>
      </c>
      <c r="C739" s="2" t="str">
        <f t="shared" si="55"/>
        <v>August</v>
      </c>
      <c r="D739" t="s">
        <v>93</v>
      </c>
      <c r="E739" t="s">
        <v>372</v>
      </c>
      <c r="F739">
        <v>4</v>
      </c>
      <c r="G739" t="s">
        <v>45</v>
      </c>
      <c r="H739" t="s">
        <v>14</v>
      </c>
      <c r="I739" t="s">
        <v>340</v>
      </c>
      <c r="J739" t="str">
        <f>_xlfn.XLOOKUP(E739, Product_Master!$A$2:$A$101, Product_Master!$C$2:$C$101)</f>
        <v>Electronics</v>
      </c>
      <c r="K739">
        <f>_xlfn.XLOOKUP(E739, Product_Master!$A$2:$A$101, Product_Master!$D$2:$D$101)</f>
        <v>42000</v>
      </c>
      <c r="L739">
        <f>_xlfn.XLOOKUP(E739, Product_Master!$A$2:$A$101, Product_Master!$E$2:$E$101)</f>
        <v>50000</v>
      </c>
      <c r="M739">
        <f t="shared" si="56"/>
        <v>200000</v>
      </c>
      <c r="N739">
        <f t="shared" si="57"/>
        <v>168000</v>
      </c>
      <c r="O739">
        <f t="shared" si="58"/>
        <v>32000</v>
      </c>
      <c r="P739" s="3">
        <f t="shared" si="59"/>
        <v>0.16</v>
      </c>
      <c r="Q739" s="3" t="str">
        <v>Low Profit</v>
      </c>
    </row>
    <row r="740" spans="1:17" x14ac:dyDescent="0.3">
      <c r="A740" t="s">
        <v>1187</v>
      </c>
      <c r="B740" s="2">
        <v>45880</v>
      </c>
      <c r="C740" s="2" t="str">
        <f t="shared" si="55"/>
        <v>August</v>
      </c>
      <c r="D740" t="s">
        <v>160</v>
      </c>
      <c r="E740" t="s">
        <v>401</v>
      </c>
      <c r="F740">
        <v>2</v>
      </c>
      <c r="G740" t="s">
        <v>7</v>
      </c>
      <c r="H740" t="s">
        <v>31</v>
      </c>
      <c r="I740" t="s">
        <v>335</v>
      </c>
      <c r="J740" t="str">
        <f>_xlfn.XLOOKUP(E740, Product_Master!$A$2:$A$101, Product_Master!$C$2:$C$101)</f>
        <v>Accessories</v>
      </c>
      <c r="K740">
        <f>_xlfn.XLOOKUP(E740, Product_Master!$A$2:$A$101, Product_Master!$D$2:$D$101)</f>
        <v>900</v>
      </c>
      <c r="L740">
        <f>_xlfn.XLOOKUP(E740, Product_Master!$A$2:$A$101, Product_Master!$E$2:$E$101)</f>
        <v>1500</v>
      </c>
      <c r="M740">
        <f t="shared" si="56"/>
        <v>3000</v>
      </c>
      <c r="N740">
        <f t="shared" si="57"/>
        <v>1800</v>
      </c>
      <c r="O740">
        <f t="shared" si="58"/>
        <v>1200</v>
      </c>
      <c r="P740" s="3">
        <f t="shared" si="59"/>
        <v>0.4</v>
      </c>
      <c r="Q740" s="3" t="str">
        <v>High Profit</v>
      </c>
    </row>
    <row r="741" spans="1:17" x14ac:dyDescent="0.3">
      <c r="A741" t="s">
        <v>1188</v>
      </c>
      <c r="B741" s="2">
        <v>45957</v>
      </c>
      <c r="C741" s="2" t="str">
        <f t="shared" si="55"/>
        <v>October</v>
      </c>
      <c r="D741" t="s">
        <v>217</v>
      </c>
      <c r="E741" t="s">
        <v>424</v>
      </c>
      <c r="F741">
        <v>2</v>
      </c>
      <c r="G741" t="s">
        <v>10</v>
      </c>
      <c r="H741" t="s">
        <v>31</v>
      </c>
      <c r="I741" t="s">
        <v>337</v>
      </c>
      <c r="J741" t="str">
        <f>_xlfn.XLOOKUP(E741, Product_Master!$A$2:$A$101, Product_Master!$C$2:$C$101)</f>
        <v>Electronics</v>
      </c>
      <c r="K741">
        <f>_xlfn.XLOOKUP(E741, Product_Master!$A$2:$A$101, Product_Master!$D$2:$D$101)</f>
        <v>15000</v>
      </c>
      <c r="L741">
        <f>_xlfn.XLOOKUP(E741, Product_Master!$A$2:$A$101, Product_Master!$E$2:$E$101)</f>
        <v>18000</v>
      </c>
      <c r="M741">
        <f t="shared" si="56"/>
        <v>36000</v>
      </c>
      <c r="N741">
        <f t="shared" si="57"/>
        <v>30000</v>
      </c>
      <c r="O741">
        <f t="shared" si="58"/>
        <v>6000</v>
      </c>
      <c r="P741" s="3">
        <f t="shared" si="59"/>
        <v>0.16666666666666666</v>
      </c>
      <c r="Q741" s="3" t="str">
        <v>Low Profit</v>
      </c>
    </row>
    <row r="742" spans="1:17" x14ac:dyDescent="0.3">
      <c r="A742" t="s">
        <v>1189</v>
      </c>
      <c r="B742" s="2">
        <v>45676</v>
      </c>
      <c r="C742" s="2" t="str">
        <f t="shared" si="55"/>
        <v>January</v>
      </c>
      <c r="D742" t="s">
        <v>116</v>
      </c>
      <c r="E742" t="s">
        <v>433</v>
      </c>
      <c r="F742">
        <v>1</v>
      </c>
      <c r="G742" t="s">
        <v>7</v>
      </c>
      <c r="H742" t="s">
        <v>14</v>
      </c>
      <c r="I742" t="s">
        <v>353</v>
      </c>
      <c r="J742" t="str">
        <f>_xlfn.XLOOKUP(E742, Product_Master!$A$2:$A$101, Product_Master!$C$2:$C$101)</f>
        <v>Electronics</v>
      </c>
      <c r="K742">
        <f>_xlfn.XLOOKUP(E742, Product_Master!$A$2:$A$101, Product_Master!$D$2:$D$101)</f>
        <v>12000</v>
      </c>
      <c r="L742">
        <f>_xlfn.XLOOKUP(E742, Product_Master!$A$2:$A$101, Product_Master!$E$2:$E$101)</f>
        <v>15000</v>
      </c>
      <c r="M742">
        <f t="shared" si="56"/>
        <v>15000</v>
      </c>
      <c r="N742">
        <f t="shared" si="57"/>
        <v>12000</v>
      </c>
      <c r="O742">
        <f t="shared" si="58"/>
        <v>3000</v>
      </c>
      <c r="P742" s="3">
        <f t="shared" si="59"/>
        <v>0.2</v>
      </c>
      <c r="Q742" s="3" t="str">
        <v>Low Profit</v>
      </c>
    </row>
    <row r="743" spans="1:17" x14ac:dyDescent="0.3">
      <c r="A743" t="s">
        <v>1190</v>
      </c>
      <c r="B743" s="2">
        <v>45952</v>
      </c>
      <c r="C743" s="2" t="str">
        <f t="shared" si="55"/>
        <v>October</v>
      </c>
      <c r="D743" t="s">
        <v>83</v>
      </c>
      <c r="E743" t="s">
        <v>400</v>
      </c>
      <c r="F743">
        <v>2</v>
      </c>
      <c r="G743" t="s">
        <v>7</v>
      </c>
      <c r="H743" t="s">
        <v>8</v>
      </c>
      <c r="I743" t="s">
        <v>335</v>
      </c>
      <c r="J743" t="str">
        <f>_xlfn.XLOOKUP(E743, Product_Master!$A$2:$A$101, Product_Master!$C$2:$C$101)</f>
        <v>Accessories</v>
      </c>
      <c r="K743">
        <f>_xlfn.XLOOKUP(E743, Product_Master!$A$2:$A$101, Product_Master!$D$2:$D$101)</f>
        <v>900</v>
      </c>
      <c r="L743">
        <f>_xlfn.XLOOKUP(E743, Product_Master!$A$2:$A$101, Product_Master!$E$2:$E$101)</f>
        <v>1500</v>
      </c>
      <c r="M743">
        <f t="shared" si="56"/>
        <v>3000</v>
      </c>
      <c r="N743">
        <f t="shared" si="57"/>
        <v>1800</v>
      </c>
      <c r="O743">
        <f t="shared" si="58"/>
        <v>1200</v>
      </c>
      <c r="P743" s="3">
        <f t="shared" si="59"/>
        <v>0.4</v>
      </c>
      <c r="Q743" s="3" t="str">
        <v>High Profit</v>
      </c>
    </row>
    <row r="744" spans="1:17" x14ac:dyDescent="0.3">
      <c r="A744" t="s">
        <v>1191</v>
      </c>
      <c r="B744" s="2">
        <v>45878</v>
      </c>
      <c r="C744" s="2" t="str">
        <f t="shared" si="55"/>
        <v>August</v>
      </c>
      <c r="D744" t="s">
        <v>314</v>
      </c>
      <c r="E744" t="s">
        <v>338</v>
      </c>
      <c r="F744">
        <v>5</v>
      </c>
      <c r="G744" t="s">
        <v>22</v>
      </c>
      <c r="H744" t="s">
        <v>8</v>
      </c>
      <c r="I744" t="s">
        <v>332</v>
      </c>
      <c r="J744" t="str">
        <f>_xlfn.XLOOKUP(E744, Product_Master!$A$2:$A$101, Product_Master!$C$2:$C$101)</f>
        <v>Accessories</v>
      </c>
      <c r="K744">
        <f>_xlfn.XLOOKUP(E744, Product_Master!$A$2:$A$101, Product_Master!$D$2:$D$101)</f>
        <v>500</v>
      </c>
      <c r="L744">
        <f>_xlfn.XLOOKUP(E744, Product_Master!$A$2:$A$101, Product_Master!$E$2:$E$101)</f>
        <v>800</v>
      </c>
      <c r="M744">
        <f t="shared" si="56"/>
        <v>4000</v>
      </c>
      <c r="N744">
        <f t="shared" si="57"/>
        <v>2500</v>
      </c>
      <c r="O744">
        <f t="shared" si="58"/>
        <v>1500</v>
      </c>
      <c r="P744" s="3">
        <f t="shared" si="59"/>
        <v>0.375</v>
      </c>
      <c r="Q744" s="3" t="str">
        <v>High Profit</v>
      </c>
    </row>
    <row r="745" spans="1:17" x14ac:dyDescent="0.3">
      <c r="A745" t="s">
        <v>1192</v>
      </c>
      <c r="B745" s="2">
        <v>45737</v>
      </c>
      <c r="C745" s="2" t="str">
        <f t="shared" si="55"/>
        <v>March</v>
      </c>
      <c r="D745" t="s">
        <v>26</v>
      </c>
      <c r="E745" t="s">
        <v>406</v>
      </c>
      <c r="F745">
        <v>3</v>
      </c>
      <c r="G745" t="s">
        <v>16</v>
      </c>
      <c r="H745" t="s">
        <v>27</v>
      </c>
      <c r="I745" t="s">
        <v>344</v>
      </c>
      <c r="J745" t="str">
        <f>_xlfn.XLOOKUP(E745, Product_Master!$A$2:$A$101, Product_Master!$C$2:$C$101)</f>
        <v>Accessories</v>
      </c>
      <c r="K745">
        <f>_xlfn.XLOOKUP(E745, Product_Master!$A$2:$A$101, Product_Master!$D$2:$D$101)</f>
        <v>2000</v>
      </c>
      <c r="L745">
        <f>_xlfn.XLOOKUP(E745, Product_Master!$A$2:$A$101, Product_Master!$E$2:$E$101)</f>
        <v>3000</v>
      </c>
      <c r="M745">
        <f t="shared" si="56"/>
        <v>9000</v>
      </c>
      <c r="N745">
        <f t="shared" si="57"/>
        <v>6000</v>
      </c>
      <c r="O745">
        <f t="shared" si="58"/>
        <v>3000</v>
      </c>
      <c r="P745" s="3">
        <f t="shared" si="59"/>
        <v>0.33333333333333331</v>
      </c>
      <c r="Q745" s="3" t="str">
        <v>High Profit</v>
      </c>
    </row>
    <row r="746" spans="1:17" x14ac:dyDescent="0.3">
      <c r="A746" t="s">
        <v>1193</v>
      </c>
      <c r="B746" s="2">
        <v>45712</v>
      </c>
      <c r="C746" s="2" t="str">
        <f t="shared" si="55"/>
        <v>February</v>
      </c>
      <c r="D746" t="s">
        <v>174</v>
      </c>
      <c r="E746" t="s">
        <v>375</v>
      </c>
      <c r="F746">
        <v>3</v>
      </c>
      <c r="G746" t="s">
        <v>24</v>
      </c>
      <c r="H746" t="s">
        <v>39</v>
      </c>
      <c r="I746" t="s">
        <v>329</v>
      </c>
      <c r="J746" t="str">
        <f>_xlfn.XLOOKUP(E746, Product_Master!$A$2:$A$101, Product_Master!$C$2:$C$101)</f>
        <v>Electronics</v>
      </c>
      <c r="K746">
        <f>_xlfn.XLOOKUP(E746, Product_Master!$A$2:$A$101, Product_Master!$D$2:$D$101)</f>
        <v>20000</v>
      </c>
      <c r="L746">
        <f>_xlfn.XLOOKUP(E746, Product_Master!$A$2:$A$101, Product_Master!$E$2:$E$101)</f>
        <v>25000</v>
      </c>
      <c r="M746">
        <f t="shared" si="56"/>
        <v>75000</v>
      </c>
      <c r="N746">
        <f t="shared" si="57"/>
        <v>60000</v>
      </c>
      <c r="O746">
        <f t="shared" si="58"/>
        <v>15000</v>
      </c>
      <c r="P746" s="3">
        <f t="shared" si="59"/>
        <v>0.2</v>
      </c>
      <c r="Q746" s="3" t="str">
        <v>Low Profit</v>
      </c>
    </row>
    <row r="747" spans="1:17" x14ac:dyDescent="0.3">
      <c r="A747" t="s">
        <v>1194</v>
      </c>
      <c r="B747" s="2">
        <v>45816</v>
      </c>
      <c r="C747" s="2" t="str">
        <f t="shared" si="55"/>
        <v>June</v>
      </c>
      <c r="D747" t="s">
        <v>57</v>
      </c>
      <c r="E747" t="s">
        <v>443</v>
      </c>
      <c r="F747">
        <v>4</v>
      </c>
      <c r="G747" t="s">
        <v>19</v>
      </c>
      <c r="H747" t="s">
        <v>14</v>
      </c>
      <c r="I747" t="s">
        <v>344</v>
      </c>
      <c r="J747" t="str">
        <f>_xlfn.XLOOKUP(E747, Product_Master!$A$2:$A$101, Product_Master!$C$2:$C$101)</f>
        <v>Accessories</v>
      </c>
      <c r="K747">
        <f>_xlfn.XLOOKUP(E747, Product_Master!$A$2:$A$101, Product_Master!$D$2:$D$101)</f>
        <v>2000</v>
      </c>
      <c r="L747">
        <f>_xlfn.XLOOKUP(E747, Product_Master!$A$2:$A$101, Product_Master!$E$2:$E$101)</f>
        <v>3000</v>
      </c>
      <c r="M747">
        <f t="shared" si="56"/>
        <v>12000</v>
      </c>
      <c r="N747">
        <f t="shared" si="57"/>
        <v>8000</v>
      </c>
      <c r="O747">
        <f t="shared" si="58"/>
        <v>4000</v>
      </c>
      <c r="P747" s="3">
        <f t="shared" si="59"/>
        <v>0.33333333333333331</v>
      </c>
      <c r="Q747" s="3" t="str">
        <v>High Profit</v>
      </c>
    </row>
    <row r="748" spans="1:17" x14ac:dyDescent="0.3">
      <c r="A748" t="s">
        <v>1195</v>
      </c>
      <c r="B748" s="2">
        <v>45916</v>
      </c>
      <c r="C748" s="2" t="str">
        <f t="shared" si="55"/>
        <v>September</v>
      </c>
      <c r="D748" t="s">
        <v>290</v>
      </c>
      <c r="E748" t="s">
        <v>400</v>
      </c>
      <c r="F748">
        <v>3</v>
      </c>
      <c r="G748" t="s">
        <v>16</v>
      </c>
      <c r="H748" t="s">
        <v>27</v>
      </c>
      <c r="I748" t="s">
        <v>335</v>
      </c>
      <c r="J748" t="str">
        <f>_xlfn.XLOOKUP(E748, Product_Master!$A$2:$A$101, Product_Master!$C$2:$C$101)</f>
        <v>Accessories</v>
      </c>
      <c r="K748">
        <f>_xlfn.XLOOKUP(E748, Product_Master!$A$2:$A$101, Product_Master!$D$2:$D$101)</f>
        <v>900</v>
      </c>
      <c r="L748">
        <f>_xlfn.XLOOKUP(E748, Product_Master!$A$2:$A$101, Product_Master!$E$2:$E$101)</f>
        <v>1500</v>
      </c>
      <c r="M748">
        <f t="shared" si="56"/>
        <v>4500</v>
      </c>
      <c r="N748">
        <f t="shared" si="57"/>
        <v>2700</v>
      </c>
      <c r="O748">
        <f t="shared" si="58"/>
        <v>1800</v>
      </c>
      <c r="P748" s="3">
        <f t="shared" si="59"/>
        <v>0.4</v>
      </c>
      <c r="Q748" s="3" t="str">
        <v>High Profit</v>
      </c>
    </row>
    <row r="749" spans="1:17" x14ac:dyDescent="0.3">
      <c r="A749" t="s">
        <v>1196</v>
      </c>
      <c r="B749" s="2">
        <v>45792</v>
      </c>
      <c r="C749" s="2" t="str">
        <f t="shared" si="55"/>
        <v>May</v>
      </c>
      <c r="D749" t="s">
        <v>173</v>
      </c>
      <c r="E749" t="s">
        <v>328</v>
      </c>
      <c r="F749">
        <v>1</v>
      </c>
      <c r="G749" t="s">
        <v>24</v>
      </c>
      <c r="H749" t="s">
        <v>31</v>
      </c>
      <c r="I749" t="s">
        <v>329</v>
      </c>
      <c r="J749" t="str">
        <f>_xlfn.XLOOKUP(E749, Product_Master!$A$2:$A$101, Product_Master!$C$2:$C$101)</f>
        <v>Electronics</v>
      </c>
      <c r="K749">
        <f>_xlfn.XLOOKUP(E749, Product_Master!$A$2:$A$101, Product_Master!$D$2:$D$101)</f>
        <v>20000</v>
      </c>
      <c r="L749">
        <f>_xlfn.XLOOKUP(E749, Product_Master!$A$2:$A$101, Product_Master!$E$2:$E$101)</f>
        <v>25000</v>
      </c>
      <c r="M749">
        <f t="shared" si="56"/>
        <v>25000</v>
      </c>
      <c r="N749">
        <f t="shared" si="57"/>
        <v>20000</v>
      </c>
      <c r="O749">
        <f t="shared" si="58"/>
        <v>5000</v>
      </c>
      <c r="P749" s="3">
        <f t="shared" si="59"/>
        <v>0.2</v>
      </c>
      <c r="Q749" s="3" t="str">
        <v>Low Profit</v>
      </c>
    </row>
    <row r="750" spans="1:17" x14ac:dyDescent="0.3">
      <c r="A750" t="s">
        <v>1197</v>
      </c>
      <c r="B750" s="2">
        <v>45979</v>
      </c>
      <c r="C750" s="2" t="str">
        <f t="shared" si="55"/>
        <v>November</v>
      </c>
      <c r="D750" t="s">
        <v>290</v>
      </c>
      <c r="E750" t="s">
        <v>342</v>
      </c>
      <c r="F750">
        <v>2</v>
      </c>
      <c r="G750" t="s">
        <v>16</v>
      </c>
      <c r="H750" t="s">
        <v>27</v>
      </c>
      <c r="I750" t="s">
        <v>337</v>
      </c>
      <c r="J750" t="str">
        <f>_xlfn.XLOOKUP(E750, Product_Master!$A$2:$A$101, Product_Master!$C$2:$C$101)</f>
        <v>Electronics</v>
      </c>
      <c r="K750">
        <f>_xlfn.XLOOKUP(E750, Product_Master!$A$2:$A$101, Product_Master!$D$2:$D$101)</f>
        <v>15000</v>
      </c>
      <c r="L750">
        <f>_xlfn.XLOOKUP(E750, Product_Master!$A$2:$A$101, Product_Master!$E$2:$E$101)</f>
        <v>18000</v>
      </c>
      <c r="M750">
        <f t="shared" si="56"/>
        <v>36000</v>
      </c>
      <c r="N750">
        <f t="shared" si="57"/>
        <v>30000</v>
      </c>
      <c r="O750">
        <f t="shared" si="58"/>
        <v>6000</v>
      </c>
      <c r="P750" s="3">
        <f t="shared" si="59"/>
        <v>0.16666666666666666</v>
      </c>
      <c r="Q750" s="3" t="str">
        <v>Low Profit</v>
      </c>
    </row>
    <row r="751" spans="1:17" x14ac:dyDescent="0.3">
      <c r="A751" t="s">
        <v>1198</v>
      </c>
      <c r="B751" s="2">
        <v>45796</v>
      </c>
      <c r="C751" s="2" t="str">
        <f t="shared" si="55"/>
        <v>May</v>
      </c>
      <c r="D751" t="s">
        <v>234</v>
      </c>
      <c r="E751" t="s">
        <v>360</v>
      </c>
      <c r="F751">
        <v>3</v>
      </c>
      <c r="G751" t="s">
        <v>16</v>
      </c>
      <c r="H751" t="s">
        <v>8</v>
      </c>
      <c r="I751" t="s">
        <v>340</v>
      </c>
      <c r="J751" t="str">
        <f>_xlfn.XLOOKUP(E751, Product_Master!$A$2:$A$101, Product_Master!$C$2:$C$101)</f>
        <v>Electronics</v>
      </c>
      <c r="K751">
        <f>_xlfn.XLOOKUP(E751, Product_Master!$A$2:$A$101, Product_Master!$D$2:$D$101)</f>
        <v>42000</v>
      </c>
      <c r="L751">
        <f>_xlfn.XLOOKUP(E751, Product_Master!$A$2:$A$101, Product_Master!$E$2:$E$101)</f>
        <v>50000</v>
      </c>
      <c r="M751">
        <f t="shared" si="56"/>
        <v>150000</v>
      </c>
      <c r="N751">
        <f t="shared" si="57"/>
        <v>126000</v>
      </c>
      <c r="O751">
        <f t="shared" si="58"/>
        <v>24000</v>
      </c>
      <c r="P751" s="3">
        <f t="shared" si="59"/>
        <v>0.16</v>
      </c>
      <c r="Q751" s="3" t="str">
        <v>Low Profit</v>
      </c>
    </row>
    <row r="752" spans="1:17" x14ac:dyDescent="0.3">
      <c r="A752" t="s">
        <v>1199</v>
      </c>
      <c r="B752" s="2">
        <v>45885</v>
      </c>
      <c r="C752" s="2" t="str">
        <f t="shared" si="55"/>
        <v>August</v>
      </c>
      <c r="D752" t="s">
        <v>137</v>
      </c>
      <c r="E752" t="s">
        <v>351</v>
      </c>
      <c r="F752">
        <v>3</v>
      </c>
      <c r="G752" t="s">
        <v>4</v>
      </c>
      <c r="H752" t="s">
        <v>5</v>
      </c>
      <c r="I752" t="s">
        <v>332</v>
      </c>
      <c r="J752" t="str">
        <f>_xlfn.XLOOKUP(E752, Product_Master!$A$2:$A$101, Product_Master!$C$2:$C$101)</f>
        <v>Accessories</v>
      </c>
      <c r="K752">
        <f>_xlfn.XLOOKUP(E752, Product_Master!$A$2:$A$101, Product_Master!$D$2:$D$101)</f>
        <v>500</v>
      </c>
      <c r="L752">
        <f>_xlfn.XLOOKUP(E752, Product_Master!$A$2:$A$101, Product_Master!$E$2:$E$101)</f>
        <v>800</v>
      </c>
      <c r="M752">
        <f t="shared" si="56"/>
        <v>2400</v>
      </c>
      <c r="N752">
        <f t="shared" si="57"/>
        <v>1500</v>
      </c>
      <c r="O752">
        <f t="shared" si="58"/>
        <v>900</v>
      </c>
      <c r="P752" s="3">
        <f t="shared" si="59"/>
        <v>0.375</v>
      </c>
      <c r="Q752" s="3" t="str">
        <v>High Profit</v>
      </c>
    </row>
    <row r="753" spans="1:17" x14ac:dyDescent="0.3">
      <c r="A753" t="s">
        <v>1200</v>
      </c>
      <c r="B753" s="2">
        <v>46009</v>
      </c>
      <c r="C753" s="2" t="str">
        <f t="shared" si="55"/>
        <v>December</v>
      </c>
      <c r="D753" t="s">
        <v>249</v>
      </c>
      <c r="E753" t="s">
        <v>371</v>
      </c>
      <c r="F753">
        <v>1</v>
      </c>
      <c r="G753" t="s">
        <v>4</v>
      </c>
      <c r="H753" t="s">
        <v>8</v>
      </c>
      <c r="I753" t="s">
        <v>329</v>
      </c>
      <c r="J753" t="str">
        <f>_xlfn.XLOOKUP(E753, Product_Master!$A$2:$A$101, Product_Master!$C$2:$C$101)</f>
        <v>Electronics</v>
      </c>
      <c r="K753">
        <f>_xlfn.XLOOKUP(E753, Product_Master!$A$2:$A$101, Product_Master!$D$2:$D$101)</f>
        <v>20000</v>
      </c>
      <c r="L753">
        <f>_xlfn.XLOOKUP(E753, Product_Master!$A$2:$A$101, Product_Master!$E$2:$E$101)</f>
        <v>25000</v>
      </c>
      <c r="M753">
        <f t="shared" si="56"/>
        <v>25000</v>
      </c>
      <c r="N753">
        <f t="shared" si="57"/>
        <v>20000</v>
      </c>
      <c r="O753">
        <f t="shared" si="58"/>
        <v>5000</v>
      </c>
      <c r="P753" s="3">
        <f t="shared" si="59"/>
        <v>0.2</v>
      </c>
      <c r="Q753" s="3" t="str">
        <v>Low Profit</v>
      </c>
    </row>
    <row r="754" spans="1:17" x14ac:dyDescent="0.3">
      <c r="A754" t="s">
        <v>1201</v>
      </c>
      <c r="B754" s="2">
        <v>45717</v>
      </c>
      <c r="C754" s="2" t="str">
        <f t="shared" si="55"/>
        <v>March</v>
      </c>
      <c r="D754" t="s">
        <v>211</v>
      </c>
      <c r="E754" t="s">
        <v>429</v>
      </c>
      <c r="F754">
        <v>3</v>
      </c>
      <c r="G754" t="s">
        <v>29</v>
      </c>
      <c r="H754" t="s">
        <v>20</v>
      </c>
      <c r="I754" t="s">
        <v>340</v>
      </c>
      <c r="J754" t="str">
        <f>_xlfn.XLOOKUP(E754, Product_Master!$A$2:$A$101, Product_Master!$C$2:$C$101)</f>
        <v>Electronics</v>
      </c>
      <c r="K754">
        <f>_xlfn.XLOOKUP(E754, Product_Master!$A$2:$A$101, Product_Master!$D$2:$D$101)</f>
        <v>42000</v>
      </c>
      <c r="L754">
        <f>_xlfn.XLOOKUP(E754, Product_Master!$A$2:$A$101, Product_Master!$E$2:$E$101)</f>
        <v>50000</v>
      </c>
      <c r="M754">
        <f t="shared" si="56"/>
        <v>150000</v>
      </c>
      <c r="N754">
        <f t="shared" si="57"/>
        <v>126000</v>
      </c>
      <c r="O754">
        <f t="shared" si="58"/>
        <v>24000</v>
      </c>
      <c r="P754" s="3">
        <f t="shared" si="59"/>
        <v>0.16</v>
      </c>
      <c r="Q754" s="3" t="str">
        <v>Low Profit</v>
      </c>
    </row>
    <row r="755" spans="1:17" x14ac:dyDescent="0.3">
      <c r="A755" t="s">
        <v>1202</v>
      </c>
      <c r="B755" s="2">
        <v>45881</v>
      </c>
      <c r="C755" s="2" t="str">
        <f t="shared" si="55"/>
        <v>August</v>
      </c>
      <c r="D755" t="s">
        <v>53</v>
      </c>
      <c r="E755" t="s">
        <v>412</v>
      </c>
      <c r="F755">
        <v>2</v>
      </c>
      <c r="G755" t="s">
        <v>7</v>
      </c>
      <c r="H755" t="s">
        <v>31</v>
      </c>
      <c r="I755" t="s">
        <v>346</v>
      </c>
      <c r="J755" t="str">
        <f>_xlfn.XLOOKUP(E755, Product_Master!$A$2:$A$101, Product_Master!$C$2:$C$101)</f>
        <v>Accessories</v>
      </c>
      <c r="K755">
        <f>_xlfn.XLOOKUP(E755, Product_Master!$A$2:$A$101, Product_Master!$D$2:$D$101)</f>
        <v>9000</v>
      </c>
      <c r="L755">
        <f>_xlfn.XLOOKUP(E755, Product_Master!$A$2:$A$101, Product_Master!$E$2:$E$101)</f>
        <v>12000</v>
      </c>
      <c r="M755">
        <f t="shared" si="56"/>
        <v>24000</v>
      </c>
      <c r="N755">
        <f t="shared" si="57"/>
        <v>18000</v>
      </c>
      <c r="O755">
        <f t="shared" si="58"/>
        <v>6000</v>
      </c>
      <c r="P755" s="3">
        <f t="shared" si="59"/>
        <v>0.25</v>
      </c>
      <c r="Q755" s="3" t="str">
        <v>High Profit</v>
      </c>
    </row>
    <row r="756" spans="1:17" x14ac:dyDescent="0.3">
      <c r="A756" t="s">
        <v>1203</v>
      </c>
      <c r="B756" s="2">
        <v>45958</v>
      </c>
      <c r="C756" s="2" t="str">
        <f t="shared" si="55"/>
        <v>October</v>
      </c>
      <c r="D756" t="s">
        <v>156</v>
      </c>
      <c r="E756" t="s">
        <v>349</v>
      </c>
      <c r="F756">
        <v>2</v>
      </c>
      <c r="G756" t="s">
        <v>4</v>
      </c>
      <c r="H756" t="s">
        <v>20</v>
      </c>
      <c r="I756" t="s">
        <v>346</v>
      </c>
      <c r="J756" t="str">
        <f>_xlfn.XLOOKUP(E756, Product_Master!$A$2:$A$101, Product_Master!$C$2:$C$101)</f>
        <v>Accessories</v>
      </c>
      <c r="K756">
        <f>_xlfn.XLOOKUP(E756, Product_Master!$A$2:$A$101, Product_Master!$D$2:$D$101)</f>
        <v>9000</v>
      </c>
      <c r="L756">
        <f>_xlfn.XLOOKUP(E756, Product_Master!$A$2:$A$101, Product_Master!$E$2:$E$101)</f>
        <v>12000</v>
      </c>
      <c r="M756">
        <f t="shared" si="56"/>
        <v>24000</v>
      </c>
      <c r="N756">
        <f t="shared" si="57"/>
        <v>18000</v>
      </c>
      <c r="O756">
        <f t="shared" si="58"/>
        <v>6000</v>
      </c>
      <c r="P756" s="3">
        <f t="shared" si="59"/>
        <v>0.25</v>
      </c>
      <c r="Q756" s="3" t="str">
        <v>High Profit</v>
      </c>
    </row>
    <row r="757" spans="1:17" x14ac:dyDescent="0.3">
      <c r="A757" t="s">
        <v>1204</v>
      </c>
      <c r="B757" s="2">
        <v>45816</v>
      </c>
      <c r="C757" s="2" t="str">
        <f t="shared" si="55"/>
        <v>June</v>
      </c>
      <c r="D757" t="s">
        <v>167</v>
      </c>
      <c r="E757" t="s">
        <v>363</v>
      </c>
      <c r="F757">
        <v>3</v>
      </c>
      <c r="G757" t="s">
        <v>37</v>
      </c>
      <c r="H757" t="s">
        <v>17</v>
      </c>
      <c r="I757" t="s">
        <v>346</v>
      </c>
      <c r="J757" t="str">
        <f>_xlfn.XLOOKUP(E757, Product_Master!$A$2:$A$101, Product_Master!$C$2:$C$101)</f>
        <v>Accessories</v>
      </c>
      <c r="K757">
        <f>_xlfn.XLOOKUP(E757, Product_Master!$A$2:$A$101, Product_Master!$D$2:$D$101)</f>
        <v>9000</v>
      </c>
      <c r="L757">
        <f>_xlfn.XLOOKUP(E757, Product_Master!$A$2:$A$101, Product_Master!$E$2:$E$101)</f>
        <v>12000</v>
      </c>
      <c r="M757">
        <f t="shared" si="56"/>
        <v>36000</v>
      </c>
      <c r="N757">
        <f t="shared" si="57"/>
        <v>27000</v>
      </c>
      <c r="O757">
        <f t="shared" si="58"/>
        <v>9000</v>
      </c>
      <c r="P757" s="3">
        <f t="shared" si="59"/>
        <v>0.25</v>
      </c>
      <c r="Q757" s="3" t="str">
        <v>High Profit</v>
      </c>
    </row>
    <row r="758" spans="1:17" x14ac:dyDescent="0.3">
      <c r="A758" t="s">
        <v>1205</v>
      </c>
      <c r="B758" s="2">
        <v>45853</v>
      </c>
      <c r="C758" s="2" t="str">
        <f t="shared" si="55"/>
        <v>July</v>
      </c>
      <c r="D758" t="s">
        <v>263</v>
      </c>
      <c r="E758" t="s">
        <v>354</v>
      </c>
      <c r="F758">
        <v>4</v>
      </c>
      <c r="G758" t="s">
        <v>4</v>
      </c>
      <c r="H758" t="s">
        <v>20</v>
      </c>
      <c r="I758" t="s">
        <v>329</v>
      </c>
      <c r="J758" t="str">
        <f>_xlfn.XLOOKUP(E758, Product_Master!$A$2:$A$101, Product_Master!$C$2:$C$101)</f>
        <v>Electronics</v>
      </c>
      <c r="K758">
        <f>_xlfn.XLOOKUP(E758, Product_Master!$A$2:$A$101, Product_Master!$D$2:$D$101)</f>
        <v>20000</v>
      </c>
      <c r="L758">
        <f>_xlfn.XLOOKUP(E758, Product_Master!$A$2:$A$101, Product_Master!$E$2:$E$101)</f>
        <v>25000</v>
      </c>
      <c r="M758">
        <f t="shared" si="56"/>
        <v>100000</v>
      </c>
      <c r="N758">
        <f t="shared" si="57"/>
        <v>80000</v>
      </c>
      <c r="O758">
        <f t="shared" si="58"/>
        <v>20000</v>
      </c>
      <c r="P758" s="3">
        <f t="shared" si="59"/>
        <v>0.2</v>
      </c>
      <c r="Q758" s="3" t="str">
        <v>Low Profit</v>
      </c>
    </row>
    <row r="759" spans="1:17" x14ac:dyDescent="0.3">
      <c r="A759" t="s">
        <v>1206</v>
      </c>
      <c r="B759" s="2">
        <v>45808</v>
      </c>
      <c r="C759" s="2" t="str">
        <f t="shared" si="55"/>
        <v>May</v>
      </c>
      <c r="D759" t="s">
        <v>287</v>
      </c>
      <c r="E759" t="s">
        <v>374</v>
      </c>
      <c r="F759">
        <v>5</v>
      </c>
      <c r="G759" t="s">
        <v>10</v>
      </c>
      <c r="H759" t="s">
        <v>8</v>
      </c>
      <c r="I759" t="s">
        <v>346</v>
      </c>
      <c r="J759" t="str">
        <f>_xlfn.XLOOKUP(E759, Product_Master!$A$2:$A$101, Product_Master!$C$2:$C$101)</f>
        <v>Accessories</v>
      </c>
      <c r="K759">
        <f>_xlfn.XLOOKUP(E759, Product_Master!$A$2:$A$101, Product_Master!$D$2:$D$101)</f>
        <v>9000</v>
      </c>
      <c r="L759">
        <f>_xlfn.XLOOKUP(E759, Product_Master!$A$2:$A$101, Product_Master!$E$2:$E$101)</f>
        <v>12000</v>
      </c>
      <c r="M759">
        <f t="shared" si="56"/>
        <v>60000</v>
      </c>
      <c r="N759">
        <f t="shared" si="57"/>
        <v>45000</v>
      </c>
      <c r="O759">
        <f t="shared" si="58"/>
        <v>15000</v>
      </c>
      <c r="P759" s="3">
        <f t="shared" si="59"/>
        <v>0.25</v>
      </c>
      <c r="Q759" s="3" t="str">
        <v>High Profit</v>
      </c>
    </row>
    <row r="760" spans="1:17" x14ac:dyDescent="0.3">
      <c r="A760" t="s">
        <v>1207</v>
      </c>
      <c r="B760" s="2">
        <v>45896</v>
      </c>
      <c r="C760" s="2" t="str">
        <f t="shared" si="55"/>
        <v>August</v>
      </c>
      <c r="D760" t="s">
        <v>71</v>
      </c>
      <c r="E760" t="s">
        <v>381</v>
      </c>
      <c r="F760">
        <v>1</v>
      </c>
      <c r="G760" t="s">
        <v>19</v>
      </c>
      <c r="H760" t="s">
        <v>17</v>
      </c>
      <c r="I760" t="s">
        <v>329</v>
      </c>
      <c r="J760" t="str">
        <f>_xlfn.XLOOKUP(E760, Product_Master!$A$2:$A$101, Product_Master!$C$2:$C$101)</f>
        <v>Electronics</v>
      </c>
      <c r="K760">
        <f>_xlfn.XLOOKUP(E760, Product_Master!$A$2:$A$101, Product_Master!$D$2:$D$101)</f>
        <v>20000</v>
      </c>
      <c r="L760">
        <f>_xlfn.XLOOKUP(E760, Product_Master!$A$2:$A$101, Product_Master!$E$2:$E$101)</f>
        <v>25000</v>
      </c>
      <c r="M760">
        <f t="shared" si="56"/>
        <v>25000</v>
      </c>
      <c r="N760">
        <f t="shared" si="57"/>
        <v>20000</v>
      </c>
      <c r="O760">
        <f t="shared" si="58"/>
        <v>5000</v>
      </c>
      <c r="P760" s="3">
        <f t="shared" si="59"/>
        <v>0.2</v>
      </c>
      <c r="Q760" s="3" t="str">
        <v>Low Profit</v>
      </c>
    </row>
    <row r="761" spans="1:17" x14ac:dyDescent="0.3">
      <c r="A761" t="s">
        <v>1208</v>
      </c>
      <c r="B761" s="2">
        <v>45971</v>
      </c>
      <c r="C761" s="2" t="str">
        <f t="shared" si="55"/>
        <v>November</v>
      </c>
      <c r="D761" t="s">
        <v>280</v>
      </c>
      <c r="E761" t="s">
        <v>341</v>
      </c>
      <c r="F761">
        <v>4</v>
      </c>
      <c r="G761" t="s">
        <v>10</v>
      </c>
      <c r="H761" t="s">
        <v>31</v>
      </c>
      <c r="I761" t="s">
        <v>329</v>
      </c>
      <c r="J761" t="str">
        <f>_xlfn.XLOOKUP(E761, Product_Master!$A$2:$A$101, Product_Master!$C$2:$C$101)</f>
        <v>Electronics</v>
      </c>
      <c r="K761">
        <f>_xlfn.XLOOKUP(E761, Product_Master!$A$2:$A$101, Product_Master!$D$2:$D$101)</f>
        <v>20000</v>
      </c>
      <c r="L761">
        <f>_xlfn.XLOOKUP(E761, Product_Master!$A$2:$A$101, Product_Master!$E$2:$E$101)</f>
        <v>25000</v>
      </c>
      <c r="M761">
        <f t="shared" si="56"/>
        <v>100000</v>
      </c>
      <c r="N761">
        <f t="shared" si="57"/>
        <v>80000</v>
      </c>
      <c r="O761">
        <f t="shared" si="58"/>
        <v>20000</v>
      </c>
      <c r="P761" s="3">
        <f t="shared" si="59"/>
        <v>0.2</v>
      </c>
      <c r="Q761" s="3" t="str">
        <v>Low Profit</v>
      </c>
    </row>
    <row r="762" spans="1:17" x14ac:dyDescent="0.3">
      <c r="A762" t="s">
        <v>1209</v>
      </c>
      <c r="B762" s="2">
        <v>45685</v>
      </c>
      <c r="C762" s="2" t="str">
        <f t="shared" si="55"/>
        <v>January</v>
      </c>
      <c r="D762" t="s">
        <v>230</v>
      </c>
      <c r="E762" t="s">
        <v>341</v>
      </c>
      <c r="F762">
        <v>4</v>
      </c>
      <c r="G762" t="s">
        <v>22</v>
      </c>
      <c r="H762" t="s">
        <v>17</v>
      </c>
      <c r="I762" t="s">
        <v>329</v>
      </c>
      <c r="J762" t="str">
        <f>_xlfn.XLOOKUP(E762, Product_Master!$A$2:$A$101, Product_Master!$C$2:$C$101)</f>
        <v>Electronics</v>
      </c>
      <c r="K762">
        <f>_xlfn.XLOOKUP(E762, Product_Master!$A$2:$A$101, Product_Master!$D$2:$D$101)</f>
        <v>20000</v>
      </c>
      <c r="L762">
        <f>_xlfn.XLOOKUP(E762, Product_Master!$A$2:$A$101, Product_Master!$E$2:$E$101)</f>
        <v>25000</v>
      </c>
      <c r="M762">
        <f t="shared" si="56"/>
        <v>100000</v>
      </c>
      <c r="N762">
        <f t="shared" si="57"/>
        <v>80000</v>
      </c>
      <c r="O762">
        <f t="shared" si="58"/>
        <v>20000</v>
      </c>
      <c r="P762" s="3">
        <f t="shared" si="59"/>
        <v>0.2</v>
      </c>
      <c r="Q762" s="3" t="str">
        <v>Low Profit</v>
      </c>
    </row>
    <row r="763" spans="1:17" x14ac:dyDescent="0.3">
      <c r="A763" t="s">
        <v>1210</v>
      </c>
      <c r="B763" s="2">
        <v>45684</v>
      </c>
      <c r="C763" s="2" t="str">
        <f t="shared" si="55"/>
        <v>January</v>
      </c>
      <c r="D763" t="s">
        <v>469</v>
      </c>
      <c r="E763" t="s">
        <v>393</v>
      </c>
      <c r="F763">
        <v>5</v>
      </c>
      <c r="G763" t="s">
        <v>1454</v>
      </c>
      <c r="H763" t="s">
        <v>1455</v>
      </c>
      <c r="I763" t="s">
        <v>344</v>
      </c>
      <c r="J763" t="str">
        <f>_xlfn.XLOOKUP(E763, Product_Master!$A$2:$A$101, Product_Master!$C$2:$C$101)</f>
        <v>Accessories</v>
      </c>
      <c r="K763">
        <f>_xlfn.XLOOKUP(E763, Product_Master!$A$2:$A$101, Product_Master!$D$2:$D$101)</f>
        <v>2000</v>
      </c>
      <c r="L763">
        <f>_xlfn.XLOOKUP(E763, Product_Master!$A$2:$A$101, Product_Master!$E$2:$E$101)</f>
        <v>3000</v>
      </c>
      <c r="M763">
        <f t="shared" si="56"/>
        <v>15000</v>
      </c>
      <c r="N763">
        <f t="shared" si="57"/>
        <v>10000</v>
      </c>
      <c r="O763">
        <f t="shared" si="58"/>
        <v>5000</v>
      </c>
      <c r="P763" s="3">
        <f t="shared" si="59"/>
        <v>0.33333333333333331</v>
      </c>
      <c r="Q763" s="3" t="str">
        <v>High Profit</v>
      </c>
    </row>
    <row r="764" spans="1:17" x14ac:dyDescent="0.3">
      <c r="A764" t="s">
        <v>1211</v>
      </c>
      <c r="B764" s="2">
        <v>45703</v>
      </c>
      <c r="C764" s="2" t="str">
        <f t="shared" si="55"/>
        <v>February</v>
      </c>
      <c r="D764" t="s">
        <v>278</v>
      </c>
      <c r="E764" t="s">
        <v>442</v>
      </c>
      <c r="F764">
        <v>4</v>
      </c>
      <c r="G764" t="s">
        <v>37</v>
      </c>
      <c r="H764" t="s">
        <v>8</v>
      </c>
      <c r="I764" t="s">
        <v>335</v>
      </c>
      <c r="J764" t="str">
        <f>_xlfn.XLOOKUP(E764, Product_Master!$A$2:$A$101, Product_Master!$C$2:$C$101)</f>
        <v>Accessories</v>
      </c>
      <c r="K764">
        <f>_xlfn.XLOOKUP(E764, Product_Master!$A$2:$A$101, Product_Master!$D$2:$D$101)</f>
        <v>900</v>
      </c>
      <c r="L764">
        <f>_xlfn.XLOOKUP(E764, Product_Master!$A$2:$A$101, Product_Master!$E$2:$E$101)</f>
        <v>1500</v>
      </c>
      <c r="M764">
        <f t="shared" si="56"/>
        <v>6000</v>
      </c>
      <c r="N764">
        <f t="shared" si="57"/>
        <v>3600</v>
      </c>
      <c r="O764">
        <f t="shared" si="58"/>
        <v>2400</v>
      </c>
      <c r="P764" s="3">
        <f t="shared" si="59"/>
        <v>0.4</v>
      </c>
      <c r="Q764" s="3" t="str">
        <v>High Profit</v>
      </c>
    </row>
    <row r="765" spans="1:17" x14ac:dyDescent="0.3">
      <c r="A765" t="s">
        <v>1212</v>
      </c>
      <c r="B765" s="2">
        <v>45982</v>
      </c>
      <c r="C765" s="2" t="str">
        <f t="shared" si="55"/>
        <v>November</v>
      </c>
      <c r="D765" t="s">
        <v>6</v>
      </c>
      <c r="E765" t="s">
        <v>422</v>
      </c>
      <c r="F765">
        <v>2</v>
      </c>
      <c r="G765" t="s">
        <v>7</v>
      </c>
      <c r="H765" t="s">
        <v>8</v>
      </c>
      <c r="I765" t="s">
        <v>332</v>
      </c>
      <c r="J765" t="str">
        <f>_xlfn.XLOOKUP(E765, Product_Master!$A$2:$A$101, Product_Master!$C$2:$C$101)</f>
        <v>Accessories</v>
      </c>
      <c r="K765">
        <f>_xlfn.XLOOKUP(E765, Product_Master!$A$2:$A$101, Product_Master!$D$2:$D$101)</f>
        <v>500</v>
      </c>
      <c r="L765">
        <f>_xlfn.XLOOKUP(E765, Product_Master!$A$2:$A$101, Product_Master!$E$2:$E$101)</f>
        <v>800</v>
      </c>
      <c r="M765">
        <f t="shared" si="56"/>
        <v>1600</v>
      </c>
      <c r="N765">
        <f t="shared" si="57"/>
        <v>1000</v>
      </c>
      <c r="O765">
        <f t="shared" si="58"/>
        <v>600</v>
      </c>
      <c r="P765" s="3">
        <f t="shared" si="59"/>
        <v>0.375</v>
      </c>
      <c r="Q765" s="3" t="str">
        <v>High Profit</v>
      </c>
    </row>
    <row r="766" spans="1:17" x14ac:dyDescent="0.3">
      <c r="A766" t="s">
        <v>1213</v>
      </c>
      <c r="B766" s="2">
        <v>45960</v>
      </c>
      <c r="C766" s="2" t="str">
        <f t="shared" si="55"/>
        <v>October</v>
      </c>
      <c r="D766" t="s">
        <v>313</v>
      </c>
      <c r="E766" t="s">
        <v>373</v>
      </c>
      <c r="F766">
        <v>5</v>
      </c>
      <c r="G766" t="s">
        <v>4</v>
      </c>
      <c r="H766" t="s">
        <v>8</v>
      </c>
      <c r="I766" t="s">
        <v>335</v>
      </c>
      <c r="J766" t="str">
        <f>_xlfn.XLOOKUP(E766, Product_Master!$A$2:$A$101, Product_Master!$C$2:$C$101)</f>
        <v>Accessories</v>
      </c>
      <c r="K766">
        <f>_xlfn.XLOOKUP(E766, Product_Master!$A$2:$A$101, Product_Master!$D$2:$D$101)</f>
        <v>900</v>
      </c>
      <c r="L766">
        <f>_xlfn.XLOOKUP(E766, Product_Master!$A$2:$A$101, Product_Master!$E$2:$E$101)</f>
        <v>1500</v>
      </c>
      <c r="M766">
        <f t="shared" si="56"/>
        <v>7500</v>
      </c>
      <c r="N766">
        <f t="shared" si="57"/>
        <v>4500</v>
      </c>
      <c r="O766">
        <f t="shared" si="58"/>
        <v>3000</v>
      </c>
      <c r="P766" s="3">
        <f t="shared" si="59"/>
        <v>0.4</v>
      </c>
      <c r="Q766" s="3" t="str">
        <v>High Profit</v>
      </c>
    </row>
    <row r="767" spans="1:17" x14ac:dyDescent="0.3">
      <c r="A767" t="s">
        <v>1214</v>
      </c>
      <c r="B767" s="2">
        <v>45916</v>
      </c>
      <c r="C767" s="2" t="str">
        <f t="shared" si="55"/>
        <v>September</v>
      </c>
      <c r="D767" t="s">
        <v>15</v>
      </c>
      <c r="E767" t="s">
        <v>358</v>
      </c>
      <c r="F767">
        <v>3</v>
      </c>
      <c r="G767" t="s">
        <v>16</v>
      </c>
      <c r="H767" t="s">
        <v>17</v>
      </c>
      <c r="I767" t="s">
        <v>332</v>
      </c>
      <c r="J767" t="str">
        <f>_xlfn.XLOOKUP(E767, Product_Master!$A$2:$A$101, Product_Master!$C$2:$C$101)</f>
        <v>Accessories</v>
      </c>
      <c r="K767">
        <f>_xlfn.XLOOKUP(E767, Product_Master!$A$2:$A$101, Product_Master!$D$2:$D$101)</f>
        <v>500</v>
      </c>
      <c r="L767">
        <f>_xlfn.XLOOKUP(E767, Product_Master!$A$2:$A$101, Product_Master!$E$2:$E$101)</f>
        <v>800</v>
      </c>
      <c r="M767">
        <f t="shared" si="56"/>
        <v>2400</v>
      </c>
      <c r="N767">
        <f t="shared" si="57"/>
        <v>1500</v>
      </c>
      <c r="O767">
        <f t="shared" si="58"/>
        <v>900</v>
      </c>
      <c r="P767" s="3">
        <f t="shared" si="59"/>
        <v>0.375</v>
      </c>
      <c r="Q767" s="3" t="str">
        <v>High Profit</v>
      </c>
    </row>
    <row r="768" spans="1:17" x14ac:dyDescent="0.3">
      <c r="A768" t="s">
        <v>1215</v>
      </c>
      <c r="B768" s="2">
        <v>46019</v>
      </c>
      <c r="C768" s="2" t="str">
        <f t="shared" si="55"/>
        <v>December</v>
      </c>
      <c r="D768" t="s">
        <v>278</v>
      </c>
      <c r="E768" t="s">
        <v>328</v>
      </c>
      <c r="F768">
        <v>1</v>
      </c>
      <c r="G768" t="s">
        <v>37</v>
      </c>
      <c r="H768" t="s">
        <v>8</v>
      </c>
      <c r="I768" t="s">
        <v>329</v>
      </c>
      <c r="J768" t="str">
        <f>_xlfn.XLOOKUP(E768, Product_Master!$A$2:$A$101, Product_Master!$C$2:$C$101)</f>
        <v>Electronics</v>
      </c>
      <c r="K768">
        <f>_xlfn.XLOOKUP(E768, Product_Master!$A$2:$A$101, Product_Master!$D$2:$D$101)</f>
        <v>20000</v>
      </c>
      <c r="L768">
        <f>_xlfn.XLOOKUP(E768, Product_Master!$A$2:$A$101, Product_Master!$E$2:$E$101)</f>
        <v>25000</v>
      </c>
      <c r="M768">
        <f t="shared" si="56"/>
        <v>25000</v>
      </c>
      <c r="N768">
        <f t="shared" si="57"/>
        <v>20000</v>
      </c>
      <c r="O768">
        <f t="shared" si="58"/>
        <v>5000</v>
      </c>
      <c r="P768" s="3">
        <f t="shared" si="59"/>
        <v>0.2</v>
      </c>
      <c r="Q768" s="3" t="str">
        <v>Low Profit</v>
      </c>
    </row>
    <row r="769" spans="1:17" x14ac:dyDescent="0.3">
      <c r="A769" t="s">
        <v>1216</v>
      </c>
      <c r="B769" s="2">
        <v>45981</v>
      </c>
      <c r="C769" s="2" t="str">
        <f t="shared" si="55"/>
        <v>November</v>
      </c>
      <c r="D769" t="s">
        <v>25</v>
      </c>
      <c r="E769" t="s">
        <v>406</v>
      </c>
      <c r="F769">
        <v>3</v>
      </c>
      <c r="G769" t="s">
        <v>10</v>
      </c>
      <c r="H769" t="s">
        <v>8</v>
      </c>
      <c r="I769" t="s">
        <v>344</v>
      </c>
      <c r="J769" t="str">
        <f>_xlfn.XLOOKUP(E769, Product_Master!$A$2:$A$101, Product_Master!$C$2:$C$101)</f>
        <v>Accessories</v>
      </c>
      <c r="K769">
        <f>_xlfn.XLOOKUP(E769, Product_Master!$A$2:$A$101, Product_Master!$D$2:$D$101)</f>
        <v>2000</v>
      </c>
      <c r="L769">
        <f>_xlfn.XLOOKUP(E769, Product_Master!$A$2:$A$101, Product_Master!$E$2:$E$101)</f>
        <v>3000</v>
      </c>
      <c r="M769">
        <f t="shared" si="56"/>
        <v>9000</v>
      </c>
      <c r="N769">
        <f t="shared" si="57"/>
        <v>6000</v>
      </c>
      <c r="O769">
        <f t="shared" si="58"/>
        <v>3000</v>
      </c>
      <c r="P769" s="3">
        <f t="shared" si="59"/>
        <v>0.33333333333333331</v>
      </c>
      <c r="Q769" s="3" t="str">
        <v>High Profit</v>
      </c>
    </row>
    <row r="770" spans="1:17" x14ac:dyDescent="0.3">
      <c r="A770" t="s">
        <v>1217</v>
      </c>
      <c r="B770" s="2">
        <v>45891</v>
      </c>
      <c r="C770" s="2" t="str">
        <f t="shared" si="55"/>
        <v>August</v>
      </c>
      <c r="D770" t="s">
        <v>231</v>
      </c>
      <c r="E770" t="s">
        <v>351</v>
      </c>
      <c r="F770">
        <v>4</v>
      </c>
      <c r="G770" t="s">
        <v>16</v>
      </c>
      <c r="H770" t="s">
        <v>31</v>
      </c>
      <c r="I770" t="s">
        <v>332</v>
      </c>
      <c r="J770" t="str">
        <f>_xlfn.XLOOKUP(E770, Product_Master!$A$2:$A$101, Product_Master!$C$2:$C$101)</f>
        <v>Accessories</v>
      </c>
      <c r="K770">
        <f>_xlfn.XLOOKUP(E770, Product_Master!$A$2:$A$101, Product_Master!$D$2:$D$101)</f>
        <v>500</v>
      </c>
      <c r="L770">
        <f>_xlfn.XLOOKUP(E770, Product_Master!$A$2:$A$101, Product_Master!$E$2:$E$101)</f>
        <v>800</v>
      </c>
      <c r="M770">
        <f t="shared" si="56"/>
        <v>3200</v>
      </c>
      <c r="N770">
        <f t="shared" si="57"/>
        <v>2000</v>
      </c>
      <c r="O770">
        <f t="shared" si="58"/>
        <v>1200</v>
      </c>
      <c r="P770" s="3">
        <f t="shared" si="59"/>
        <v>0.375</v>
      </c>
      <c r="Q770" s="3" t="str">
        <v>High Profit</v>
      </c>
    </row>
    <row r="771" spans="1:17" x14ac:dyDescent="0.3">
      <c r="A771" t="s">
        <v>1218</v>
      </c>
      <c r="B771" s="2">
        <v>45861</v>
      </c>
      <c r="C771" s="2" t="str">
        <f t="shared" ref="C771:C834" si="60">TEXT(B771,"MMMM")</f>
        <v>July</v>
      </c>
      <c r="D771" t="s">
        <v>181</v>
      </c>
      <c r="E771" t="s">
        <v>426</v>
      </c>
      <c r="F771">
        <v>4</v>
      </c>
      <c r="G771" t="s">
        <v>10</v>
      </c>
      <c r="H771" t="s">
        <v>20</v>
      </c>
      <c r="I771" t="s">
        <v>337</v>
      </c>
      <c r="J771" t="str">
        <f>_xlfn.XLOOKUP(E771, Product_Master!$A$2:$A$101, Product_Master!$C$2:$C$101)</f>
        <v>Electronics</v>
      </c>
      <c r="K771">
        <f>_xlfn.XLOOKUP(E771, Product_Master!$A$2:$A$101, Product_Master!$D$2:$D$101)</f>
        <v>15000</v>
      </c>
      <c r="L771">
        <f>_xlfn.XLOOKUP(E771, Product_Master!$A$2:$A$101, Product_Master!$E$2:$E$101)</f>
        <v>18000</v>
      </c>
      <c r="M771">
        <f t="shared" ref="M771:M834" si="61">F771*L771</f>
        <v>72000</v>
      </c>
      <c r="N771">
        <f t="shared" ref="N771:N834" si="62">F771*K771</f>
        <v>60000</v>
      </c>
      <c r="O771">
        <f t="shared" ref="O771:O834" si="63">M771-N771</f>
        <v>12000</v>
      </c>
      <c r="P771" s="3">
        <f t="shared" ref="P771:P834" si="64">O771/M771</f>
        <v>0.16666666666666666</v>
      </c>
      <c r="Q771" s="3" t="str">
        <v>Low Profit</v>
      </c>
    </row>
    <row r="772" spans="1:17" x14ac:dyDescent="0.3">
      <c r="A772" t="s">
        <v>1219</v>
      </c>
      <c r="B772" s="2">
        <v>45996</v>
      </c>
      <c r="C772" s="2" t="str">
        <f t="shared" si="60"/>
        <v>December</v>
      </c>
      <c r="D772" t="s">
        <v>304</v>
      </c>
      <c r="E772" t="s">
        <v>370</v>
      </c>
      <c r="F772">
        <v>3</v>
      </c>
      <c r="G772" t="s">
        <v>45</v>
      </c>
      <c r="H772" t="s">
        <v>8</v>
      </c>
      <c r="I772" t="s">
        <v>335</v>
      </c>
      <c r="J772" t="str">
        <f>_xlfn.XLOOKUP(E772, Product_Master!$A$2:$A$101, Product_Master!$C$2:$C$101)</f>
        <v>Accessories</v>
      </c>
      <c r="K772">
        <f>_xlfn.XLOOKUP(E772, Product_Master!$A$2:$A$101, Product_Master!$D$2:$D$101)</f>
        <v>900</v>
      </c>
      <c r="L772">
        <f>_xlfn.XLOOKUP(E772, Product_Master!$A$2:$A$101, Product_Master!$E$2:$E$101)</f>
        <v>1500</v>
      </c>
      <c r="M772">
        <f t="shared" si="61"/>
        <v>4500</v>
      </c>
      <c r="N772">
        <f t="shared" si="62"/>
        <v>2700</v>
      </c>
      <c r="O772">
        <f t="shared" si="63"/>
        <v>1800</v>
      </c>
      <c r="P772" s="3">
        <f t="shared" si="64"/>
        <v>0.4</v>
      </c>
      <c r="Q772" s="3" t="str">
        <v>High Profit</v>
      </c>
    </row>
    <row r="773" spans="1:17" x14ac:dyDescent="0.3">
      <c r="A773" t="s">
        <v>1220</v>
      </c>
      <c r="B773" s="2">
        <v>45705</v>
      </c>
      <c r="C773" s="2" t="str">
        <f t="shared" si="60"/>
        <v>February</v>
      </c>
      <c r="D773" t="s">
        <v>50</v>
      </c>
      <c r="E773" t="s">
        <v>377</v>
      </c>
      <c r="F773">
        <v>1</v>
      </c>
      <c r="G773" t="s">
        <v>16</v>
      </c>
      <c r="H773" t="s">
        <v>8</v>
      </c>
      <c r="I773" t="s">
        <v>337</v>
      </c>
      <c r="J773" t="str">
        <f>_xlfn.XLOOKUP(E773, Product_Master!$A$2:$A$101, Product_Master!$C$2:$C$101)</f>
        <v>Electronics</v>
      </c>
      <c r="K773">
        <f>_xlfn.XLOOKUP(E773, Product_Master!$A$2:$A$101, Product_Master!$D$2:$D$101)</f>
        <v>15000</v>
      </c>
      <c r="L773">
        <f>_xlfn.XLOOKUP(E773, Product_Master!$A$2:$A$101, Product_Master!$E$2:$E$101)</f>
        <v>18000</v>
      </c>
      <c r="M773">
        <f t="shared" si="61"/>
        <v>18000</v>
      </c>
      <c r="N773">
        <f t="shared" si="62"/>
        <v>15000</v>
      </c>
      <c r="O773">
        <f t="shared" si="63"/>
        <v>3000</v>
      </c>
      <c r="P773" s="3">
        <f t="shared" si="64"/>
        <v>0.16666666666666666</v>
      </c>
      <c r="Q773" s="3" t="str">
        <v>Low Profit</v>
      </c>
    </row>
    <row r="774" spans="1:17" x14ac:dyDescent="0.3">
      <c r="A774" t="s">
        <v>1221</v>
      </c>
      <c r="B774" s="2">
        <v>45796</v>
      </c>
      <c r="C774" s="2" t="str">
        <f t="shared" si="60"/>
        <v>May</v>
      </c>
      <c r="D774" t="s">
        <v>124</v>
      </c>
      <c r="E774" t="s">
        <v>373</v>
      </c>
      <c r="F774">
        <v>3</v>
      </c>
      <c r="G774" t="s">
        <v>10</v>
      </c>
      <c r="H774" t="s">
        <v>14</v>
      </c>
      <c r="I774" t="s">
        <v>335</v>
      </c>
      <c r="J774" t="str">
        <f>_xlfn.XLOOKUP(E774, Product_Master!$A$2:$A$101, Product_Master!$C$2:$C$101)</f>
        <v>Accessories</v>
      </c>
      <c r="K774">
        <f>_xlfn.XLOOKUP(E774, Product_Master!$A$2:$A$101, Product_Master!$D$2:$D$101)</f>
        <v>900</v>
      </c>
      <c r="L774">
        <f>_xlfn.XLOOKUP(E774, Product_Master!$A$2:$A$101, Product_Master!$E$2:$E$101)</f>
        <v>1500</v>
      </c>
      <c r="M774">
        <f t="shared" si="61"/>
        <v>4500</v>
      </c>
      <c r="N774">
        <f t="shared" si="62"/>
        <v>2700</v>
      </c>
      <c r="O774">
        <f t="shared" si="63"/>
        <v>1800</v>
      </c>
      <c r="P774" s="3">
        <f t="shared" si="64"/>
        <v>0.4</v>
      </c>
      <c r="Q774" s="3" t="str">
        <v>High Profit</v>
      </c>
    </row>
    <row r="775" spans="1:17" x14ac:dyDescent="0.3">
      <c r="A775" t="s">
        <v>1222</v>
      </c>
      <c r="B775" s="2">
        <v>45804</v>
      </c>
      <c r="C775" s="2" t="str">
        <f t="shared" si="60"/>
        <v>May</v>
      </c>
      <c r="D775" t="s">
        <v>242</v>
      </c>
      <c r="E775" t="s">
        <v>406</v>
      </c>
      <c r="F775">
        <v>1</v>
      </c>
      <c r="G775" t="s">
        <v>10</v>
      </c>
      <c r="H775" t="s">
        <v>14</v>
      </c>
      <c r="I775" t="s">
        <v>344</v>
      </c>
      <c r="J775" t="str">
        <f>_xlfn.XLOOKUP(E775, Product_Master!$A$2:$A$101, Product_Master!$C$2:$C$101)</f>
        <v>Accessories</v>
      </c>
      <c r="K775">
        <f>_xlfn.XLOOKUP(E775, Product_Master!$A$2:$A$101, Product_Master!$D$2:$D$101)</f>
        <v>2000</v>
      </c>
      <c r="L775">
        <f>_xlfn.XLOOKUP(E775, Product_Master!$A$2:$A$101, Product_Master!$E$2:$E$101)</f>
        <v>3000</v>
      </c>
      <c r="M775">
        <f t="shared" si="61"/>
        <v>3000</v>
      </c>
      <c r="N775">
        <f t="shared" si="62"/>
        <v>2000</v>
      </c>
      <c r="O775">
        <f t="shared" si="63"/>
        <v>1000</v>
      </c>
      <c r="P775" s="3">
        <f t="shared" si="64"/>
        <v>0.33333333333333331</v>
      </c>
      <c r="Q775" s="3" t="str">
        <v>High Profit</v>
      </c>
    </row>
    <row r="776" spans="1:17" x14ac:dyDescent="0.3">
      <c r="A776" t="s">
        <v>1223</v>
      </c>
      <c r="B776" s="2">
        <v>45724</v>
      </c>
      <c r="C776" s="2" t="str">
        <f t="shared" si="60"/>
        <v>March</v>
      </c>
      <c r="D776" t="s">
        <v>118</v>
      </c>
      <c r="E776" t="s">
        <v>403</v>
      </c>
      <c r="F776">
        <v>5</v>
      </c>
      <c r="G776" t="s">
        <v>22</v>
      </c>
      <c r="H776" t="s">
        <v>27</v>
      </c>
      <c r="I776" t="s">
        <v>353</v>
      </c>
      <c r="J776" t="str">
        <f>_xlfn.XLOOKUP(E776, Product_Master!$A$2:$A$101, Product_Master!$C$2:$C$101)</f>
        <v>Electronics</v>
      </c>
      <c r="K776">
        <f>_xlfn.XLOOKUP(E776, Product_Master!$A$2:$A$101, Product_Master!$D$2:$D$101)</f>
        <v>12000</v>
      </c>
      <c r="L776">
        <f>_xlfn.XLOOKUP(E776, Product_Master!$A$2:$A$101, Product_Master!$E$2:$E$101)</f>
        <v>15000</v>
      </c>
      <c r="M776">
        <f t="shared" si="61"/>
        <v>75000</v>
      </c>
      <c r="N776">
        <f t="shared" si="62"/>
        <v>60000</v>
      </c>
      <c r="O776">
        <f t="shared" si="63"/>
        <v>15000</v>
      </c>
      <c r="P776" s="3">
        <f t="shared" si="64"/>
        <v>0.2</v>
      </c>
      <c r="Q776" s="3" t="str">
        <v>Low Profit</v>
      </c>
    </row>
    <row r="777" spans="1:17" x14ac:dyDescent="0.3">
      <c r="A777" t="s">
        <v>1224</v>
      </c>
      <c r="B777" s="2">
        <v>45931</v>
      </c>
      <c r="C777" s="2" t="str">
        <f t="shared" si="60"/>
        <v>October</v>
      </c>
      <c r="D777" t="s">
        <v>86</v>
      </c>
      <c r="E777" t="s">
        <v>359</v>
      </c>
      <c r="F777">
        <v>1</v>
      </c>
      <c r="G777" t="s">
        <v>19</v>
      </c>
      <c r="H777" t="s">
        <v>39</v>
      </c>
      <c r="I777" t="s">
        <v>329</v>
      </c>
      <c r="J777" t="str">
        <f>_xlfn.XLOOKUP(E777, Product_Master!$A$2:$A$101, Product_Master!$C$2:$C$101)</f>
        <v>Electronics</v>
      </c>
      <c r="K777">
        <f>_xlfn.XLOOKUP(E777, Product_Master!$A$2:$A$101, Product_Master!$D$2:$D$101)</f>
        <v>20000</v>
      </c>
      <c r="L777">
        <f>_xlfn.XLOOKUP(E777, Product_Master!$A$2:$A$101, Product_Master!$E$2:$E$101)</f>
        <v>25000</v>
      </c>
      <c r="M777">
        <f t="shared" si="61"/>
        <v>25000</v>
      </c>
      <c r="N777">
        <f t="shared" si="62"/>
        <v>20000</v>
      </c>
      <c r="O777">
        <f t="shared" si="63"/>
        <v>5000</v>
      </c>
      <c r="P777" s="3">
        <f t="shared" si="64"/>
        <v>0.2</v>
      </c>
      <c r="Q777" s="3" t="str">
        <v>Low Profit</v>
      </c>
    </row>
    <row r="778" spans="1:17" x14ac:dyDescent="0.3">
      <c r="A778" t="s">
        <v>1225</v>
      </c>
      <c r="B778" s="2">
        <v>45812</v>
      </c>
      <c r="C778" s="2" t="str">
        <f t="shared" si="60"/>
        <v>June</v>
      </c>
      <c r="D778" t="s">
        <v>41</v>
      </c>
      <c r="E778" t="s">
        <v>420</v>
      </c>
      <c r="F778">
        <v>3</v>
      </c>
      <c r="G778" t="s">
        <v>37</v>
      </c>
      <c r="H778" t="s">
        <v>31</v>
      </c>
      <c r="I778" t="s">
        <v>329</v>
      </c>
      <c r="J778" t="str">
        <f>_xlfn.XLOOKUP(E778, Product_Master!$A$2:$A$101, Product_Master!$C$2:$C$101)</f>
        <v>Electronics</v>
      </c>
      <c r="K778">
        <f>_xlfn.XLOOKUP(E778, Product_Master!$A$2:$A$101, Product_Master!$D$2:$D$101)</f>
        <v>20000</v>
      </c>
      <c r="L778">
        <f>_xlfn.XLOOKUP(E778, Product_Master!$A$2:$A$101, Product_Master!$E$2:$E$101)</f>
        <v>25000</v>
      </c>
      <c r="M778">
        <f t="shared" si="61"/>
        <v>75000</v>
      </c>
      <c r="N778">
        <f t="shared" si="62"/>
        <v>60000</v>
      </c>
      <c r="O778">
        <f t="shared" si="63"/>
        <v>15000</v>
      </c>
      <c r="P778" s="3">
        <f t="shared" si="64"/>
        <v>0.2</v>
      </c>
      <c r="Q778" s="3" t="str">
        <v>Low Profit</v>
      </c>
    </row>
    <row r="779" spans="1:17" x14ac:dyDescent="0.3">
      <c r="A779" t="s">
        <v>1226</v>
      </c>
      <c r="B779" s="2">
        <v>45698</v>
      </c>
      <c r="C779" s="2" t="str">
        <f t="shared" si="60"/>
        <v>February</v>
      </c>
      <c r="D779" t="s">
        <v>122</v>
      </c>
      <c r="E779" t="s">
        <v>433</v>
      </c>
      <c r="F779">
        <v>5</v>
      </c>
      <c r="G779" t="s">
        <v>45</v>
      </c>
      <c r="H779" t="s">
        <v>5</v>
      </c>
      <c r="I779" t="s">
        <v>353</v>
      </c>
      <c r="J779" t="str">
        <f>_xlfn.XLOOKUP(E779, Product_Master!$A$2:$A$101, Product_Master!$C$2:$C$101)</f>
        <v>Electronics</v>
      </c>
      <c r="K779">
        <f>_xlfn.XLOOKUP(E779, Product_Master!$A$2:$A$101, Product_Master!$D$2:$D$101)</f>
        <v>12000</v>
      </c>
      <c r="L779">
        <f>_xlfn.XLOOKUP(E779, Product_Master!$A$2:$A$101, Product_Master!$E$2:$E$101)</f>
        <v>15000</v>
      </c>
      <c r="M779">
        <f t="shared" si="61"/>
        <v>75000</v>
      </c>
      <c r="N779">
        <f t="shared" si="62"/>
        <v>60000</v>
      </c>
      <c r="O779">
        <f t="shared" si="63"/>
        <v>15000</v>
      </c>
      <c r="P779" s="3">
        <f t="shared" si="64"/>
        <v>0.2</v>
      </c>
      <c r="Q779" s="3" t="str">
        <v>Low Profit</v>
      </c>
    </row>
    <row r="780" spans="1:17" x14ac:dyDescent="0.3">
      <c r="A780" t="s">
        <v>1227</v>
      </c>
      <c r="B780" s="2">
        <v>45709</v>
      </c>
      <c r="C780" s="2" t="str">
        <f t="shared" si="60"/>
        <v>February</v>
      </c>
      <c r="D780" t="s">
        <v>469</v>
      </c>
      <c r="E780" t="s">
        <v>429</v>
      </c>
      <c r="F780">
        <v>3</v>
      </c>
      <c r="G780" t="s">
        <v>1454</v>
      </c>
      <c r="H780" t="s">
        <v>1455</v>
      </c>
      <c r="I780" t="s">
        <v>340</v>
      </c>
      <c r="J780" t="str">
        <f>_xlfn.XLOOKUP(E780, Product_Master!$A$2:$A$101, Product_Master!$C$2:$C$101)</f>
        <v>Electronics</v>
      </c>
      <c r="K780">
        <f>_xlfn.XLOOKUP(E780, Product_Master!$A$2:$A$101, Product_Master!$D$2:$D$101)</f>
        <v>42000</v>
      </c>
      <c r="L780">
        <f>_xlfn.XLOOKUP(E780, Product_Master!$A$2:$A$101, Product_Master!$E$2:$E$101)</f>
        <v>50000</v>
      </c>
      <c r="M780">
        <f t="shared" si="61"/>
        <v>150000</v>
      </c>
      <c r="N780">
        <f t="shared" si="62"/>
        <v>126000</v>
      </c>
      <c r="O780">
        <f t="shared" si="63"/>
        <v>24000</v>
      </c>
      <c r="P780" s="3">
        <f t="shared" si="64"/>
        <v>0.16</v>
      </c>
      <c r="Q780" s="3" t="str">
        <v>Low Profit</v>
      </c>
    </row>
    <row r="781" spans="1:17" x14ac:dyDescent="0.3">
      <c r="A781" t="s">
        <v>1228</v>
      </c>
      <c r="B781" s="2">
        <v>45704</v>
      </c>
      <c r="C781" s="2" t="str">
        <f t="shared" si="60"/>
        <v>February</v>
      </c>
      <c r="D781" t="s">
        <v>254</v>
      </c>
      <c r="E781" t="s">
        <v>390</v>
      </c>
      <c r="F781">
        <v>3</v>
      </c>
      <c r="G781" t="s">
        <v>24</v>
      </c>
      <c r="H781" t="s">
        <v>20</v>
      </c>
      <c r="I781" t="s">
        <v>344</v>
      </c>
      <c r="J781" t="str">
        <f>_xlfn.XLOOKUP(E781, Product_Master!$A$2:$A$101, Product_Master!$C$2:$C$101)</f>
        <v>Accessories</v>
      </c>
      <c r="K781">
        <f>_xlfn.XLOOKUP(E781, Product_Master!$A$2:$A$101, Product_Master!$D$2:$D$101)</f>
        <v>2000</v>
      </c>
      <c r="L781">
        <f>_xlfn.XLOOKUP(E781, Product_Master!$A$2:$A$101, Product_Master!$E$2:$E$101)</f>
        <v>3000</v>
      </c>
      <c r="M781">
        <f t="shared" si="61"/>
        <v>9000</v>
      </c>
      <c r="N781">
        <f t="shared" si="62"/>
        <v>6000</v>
      </c>
      <c r="O781">
        <f t="shared" si="63"/>
        <v>3000</v>
      </c>
      <c r="P781" s="3">
        <f t="shared" si="64"/>
        <v>0.33333333333333331</v>
      </c>
      <c r="Q781" s="3" t="str">
        <v>High Profit</v>
      </c>
    </row>
    <row r="782" spans="1:17" x14ac:dyDescent="0.3">
      <c r="A782" t="s">
        <v>1229</v>
      </c>
      <c r="B782" s="2">
        <v>45917</v>
      </c>
      <c r="C782" s="2" t="str">
        <f t="shared" si="60"/>
        <v>September</v>
      </c>
      <c r="D782" t="s">
        <v>58</v>
      </c>
      <c r="E782" t="s">
        <v>410</v>
      </c>
      <c r="F782">
        <v>4</v>
      </c>
      <c r="G782" t="s">
        <v>45</v>
      </c>
      <c r="H782" t="s">
        <v>14</v>
      </c>
      <c r="I782" t="s">
        <v>353</v>
      </c>
      <c r="J782" t="str">
        <f>_xlfn.XLOOKUP(E782, Product_Master!$A$2:$A$101, Product_Master!$C$2:$C$101)</f>
        <v>Electronics</v>
      </c>
      <c r="K782">
        <f>_xlfn.XLOOKUP(E782, Product_Master!$A$2:$A$101, Product_Master!$D$2:$D$101)</f>
        <v>12000</v>
      </c>
      <c r="L782">
        <f>_xlfn.XLOOKUP(E782, Product_Master!$A$2:$A$101, Product_Master!$E$2:$E$101)</f>
        <v>15000</v>
      </c>
      <c r="M782">
        <f t="shared" si="61"/>
        <v>60000</v>
      </c>
      <c r="N782">
        <f t="shared" si="62"/>
        <v>48000</v>
      </c>
      <c r="O782">
        <f t="shared" si="63"/>
        <v>12000</v>
      </c>
      <c r="P782" s="3">
        <f t="shared" si="64"/>
        <v>0.2</v>
      </c>
      <c r="Q782" s="3" t="str">
        <v>Low Profit</v>
      </c>
    </row>
    <row r="783" spans="1:17" x14ac:dyDescent="0.3">
      <c r="A783" t="s">
        <v>1230</v>
      </c>
      <c r="B783" s="2">
        <v>45891</v>
      </c>
      <c r="C783" s="2" t="str">
        <f t="shared" si="60"/>
        <v>August</v>
      </c>
      <c r="D783" t="s">
        <v>213</v>
      </c>
      <c r="E783" t="s">
        <v>401</v>
      </c>
      <c r="F783">
        <v>4</v>
      </c>
      <c r="G783" t="s">
        <v>45</v>
      </c>
      <c r="H783" t="s">
        <v>5</v>
      </c>
      <c r="I783" t="s">
        <v>335</v>
      </c>
      <c r="J783" t="str">
        <f>_xlfn.XLOOKUP(E783, Product_Master!$A$2:$A$101, Product_Master!$C$2:$C$101)</f>
        <v>Accessories</v>
      </c>
      <c r="K783">
        <f>_xlfn.XLOOKUP(E783, Product_Master!$A$2:$A$101, Product_Master!$D$2:$D$101)</f>
        <v>900</v>
      </c>
      <c r="L783">
        <f>_xlfn.XLOOKUP(E783, Product_Master!$A$2:$A$101, Product_Master!$E$2:$E$101)</f>
        <v>1500</v>
      </c>
      <c r="M783">
        <f t="shared" si="61"/>
        <v>6000</v>
      </c>
      <c r="N783">
        <f t="shared" si="62"/>
        <v>3600</v>
      </c>
      <c r="O783">
        <f t="shared" si="63"/>
        <v>2400</v>
      </c>
      <c r="P783" s="3">
        <f t="shared" si="64"/>
        <v>0.4</v>
      </c>
      <c r="Q783" s="3" t="str">
        <v>High Profit</v>
      </c>
    </row>
    <row r="784" spans="1:17" x14ac:dyDescent="0.3">
      <c r="A784" t="s">
        <v>1231</v>
      </c>
      <c r="B784" s="2">
        <v>45667</v>
      </c>
      <c r="C784" s="2" t="str">
        <f t="shared" si="60"/>
        <v>January</v>
      </c>
      <c r="D784" t="s">
        <v>278</v>
      </c>
      <c r="E784" t="s">
        <v>385</v>
      </c>
      <c r="F784">
        <v>1</v>
      </c>
      <c r="G784" t="s">
        <v>37</v>
      </c>
      <c r="H784" t="s">
        <v>8</v>
      </c>
      <c r="I784" t="s">
        <v>340</v>
      </c>
      <c r="J784" t="str">
        <f>_xlfn.XLOOKUP(E784, Product_Master!$A$2:$A$101, Product_Master!$C$2:$C$101)</f>
        <v>Electronics</v>
      </c>
      <c r="K784">
        <f>_xlfn.XLOOKUP(E784, Product_Master!$A$2:$A$101, Product_Master!$D$2:$D$101)</f>
        <v>42000</v>
      </c>
      <c r="L784">
        <f>_xlfn.XLOOKUP(E784, Product_Master!$A$2:$A$101, Product_Master!$E$2:$E$101)</f>
        <v>50000</v>
      </c>
      <c r="M784">
        <f t="shared" si="61"/>
        <v>50000</v>
      </c>
      <c r="N784">
        <f t="shared" si="62"/>
        <v>42000</v>
      </c>
      <c r="O784">
        <f t="shared" si="63"/>
        <v>8000</v>
      </c>
      <c r="P784" s="3">
        <f t="shared" si="64"/>
        <v>0.16</v>
      </c>
      <c r="Q784" s="3" t="str">
        <v>Low Profit</v>
      </c>
    </row>
    <row r="785" spans="1:17" x14ac:dyDescent="0.3">
      <c r="A785" t="s">
        <v>1232</v>
      </c>
      <c r="B785" s="2">
        <v>45896</v>
      </c>
      <c r="C785" s="2" t="str">
        <f t="shared" si="60"/>
        <v>August</v>
      </c>
      <c r="D785" t="s">
        <v>298</v>
      </c>
      <c r="E785" t="s">
        <v>436</v>
      </c>
      <c r="F785">
        <v>3</v>
      </c>
      <c r="G785" t="s">
        <v>22</v>
      </c>
      <c r="H785" t="s">
        <v>31</v>
      </c>
      <c r="I785" t="s">
        <v>353</v>
      </c>
      <c r="J785" t="str">
        <f>_xlfn.XLOOKUP(E785, Product_Master!$A$2:$A$101, Product_Master!$C$2:$C$101)</f>
        <v>Electronics</v>
      </c>
      <c r="K785">
        <f>_xlfn.XLOOKUP(E785, Product_Master!$A$2:$A$101, Product_Master!$D$2:$D$101)</f>
        <v>12000</v>
      </c>
      <c r="L785">
        <f>_xlfn.XLOOKUP(E785, Product_Master!$A$2:$A$101, Product_Master!$E$2:$E$101)</f>
        <v>15000</v>
      </c>
      <c r="M785">
        <f t="shared" si="61"/>
        <v>45000</v>
      </c>
      <c r="N785">
        <f t="shared" si="62"/>
        <v>36000</v>
      </c>
      <c r="O785">
        <f t="shared" si="63"/>
        <v>9000</v>
      </c>
      <c r="P785" s="3">
        <f t="shared" si="64"/>
        <v>0.2</v>
      </c>
      <c r="Q785" s="3" t="str">
        <v>Low Profit</v>
      </c>
    </row>
    <row r="786" spans="1:17" x14ac:dyDescent="0.3">
      <c r="A786" t="s">
        <v>1233</v>
      </c>
      <c r="B786" s="2">
        <v>45816</v>
      </c>
      <c r="C786" s="2" t="str">
        <f t="shared" si="60"/>
        <v>June</v>
      </c>
      <c r="D786" t="s">
        <v>469</v>
      </c>
      <c r="E786" t="s">
        <v>365</v>
      </c>
      <c r="F786">
        <v>2</v>
      </c>
      <c r="G786" t="s">
        <v>1454</v>
      </c>
      <c r="H786" t="s">
        <v>1455</v>
      </c>
      <c r="I786" t="s">
        <v>340</v>
      </c>
      <c r="J786" t="str">
        <f>_xlfn.XLOOKUP(E786, Product_Master!$A$2:$A$101, Product_Master!$C$2:$C$101)</f>
        <v>Electronics</v>
      </c>
      <c r="K786">
        <f>_xlfn.XLOOKUP(E786, Product_Master!$A$2:$A$101, Product_Master!$D$2:$D$101)</f>
        <v>42000</v>
      </c>
      <c r="L786">
        <f>_xlfn.XLOOKUP(E786, Product_Master!$A$2:$A$101, Product_Master!$E$2:$E$101)</f>
        <v>50000</v>
      </c>
      <c r="M786">
        <f t="shared" si="61"/>
        <v>100000</v>
      </c>
      <c r="N786">
        <f t="shared" si="62"/>
        <v>84000</v>
      </c>
      <c r="O786">
        <f t="shared" si="63"/>
        <v>16000</v>
      </c>
      <c r="P786" s="3">
        <f t="shared" si="64"/>
        <v>0.16</v>
      </c>
      <c r="Q786" s="3" t="str">
        <v>Low Profit</v>
      </c>
    </row>
    <row r="787" spans="1:17" x14ac:dyDescent="0.3">
      <c r="A787" t="s">
        <v>1234</v>
      </c>
      <c r="B787" s="2">
        <v>45922</v>
      </c>
      <c r="C787" s="2" t="str">
        <f t="shared" si="60"/>
        <v>September</v>
      </c>
      <c r="D787" t="s">
        <v>157</v>
      </c>
      <c r="E787" t="s">
        <v>400</v>
      </c>
      <c r="F787">
        <v>5</v>
      </c>
      <c r="G787" t="s">
        <v>19</v>
      </c>
      <c r="H787" t="s">
        <v>14</v>
      </c>
      <c r="I787" t="s">
        <v>335</v>
      </c>
      <c r="J787" t="str">
        <f>_xlfn.XLOOKUP(E787, Product_Master!$A$2:$A$101, Product_Master!$C$2:$C$101)</f>
        <v>Accessories</v>
      </c>
      <c r="K787">
        <f>_xlfn.XLOOKUP(E787, Product_Master!$A$2:$A$101, Product_Master!$D$2:$D$101)</f>
        <v>900</v>
      </c>
      <c r="L787">
        <f>_xlfn.XLOOKUP(E787, Product_Master!$A$2:$A$101, Product_Master!$E$2:$E$101)</f>
        <v>1500</v>
      </c>
      <c r="M787">
        <f t="shared" si="61"/>
        <v>7500</v>
      </c>
      <c r="N787">
        <f t="shared" si="62"/>
        <v>4500</v>
      </c>
      <c r="O787">
        <f t="shared" si="63"/>
        <v>3000</v>
      </c>
      <c r="P787" s="3">
        <f t="shared" si="64"/>
        <v>0.4</v>
      </c>
      <c r="Q787" s="3" t="str">
        <v>High Profit</v>
      </c>
    </row>
    <row r="788" spans="1:17" x14ac:dyDescent="0.3">
      <c r="A788" t="s">
        <v>1235</v>
      </c>
      <c r="B788" s="2">
        <v>46006</v>
      </c>
      <c r="C788" s="2" t="str">
        <f t="shared" si="60"/>
        <v>December</v>
      </c>
      <c r="D788" t="s">
        <v>318</v>
      </c>
      <c r="E788" t="s">
        <v>434</v>
      </c>
      <c r="F788">
        <v>5</v>
      </c>
      <c r="G788" t="s">
        <v>16</v>
      </c>
      <c r="H788" t="s">
        <v>31</v>
      </c>
      <c r="I788" t="s">
        <v>346</v>
      </c>
      <c r="J788" t="str">
        <f>_xlfn.XLOOKUP(E788, Product_Master!$A$2:$A$101, Product_Master!$C$2:$C$101)</f>
        <v>Accessories</v>
      </c>
      <c r="K788">
        <f>_xlfn.XLOOKUP(E788, Product_Master!$A$2:$A$101, Product_Master!$D$2:$D$101)</f>
        <v>9000</v>
      </c>
      <c r="L788">
        <f>_xlfn.XLOOKUP(E788, Product_Master!$A$2:$A$101, Product_Master!$E$2:$E$101)</f>
        <v>12000</v>
      </c>
      <c r="M788">
        <f t="shared" si="61"/>
        <v>60000</v>
      </c>
      <c r="N788">
        <f t="shared" si="62"/>
        <v>45000</v>
      </c>
      <c r="O788">
        <f t="shared" si="63"/>
        <v>15000</v>
      </c>
      <c r="P788" s="3">
        <f t="shared" si="64"/>
        <v>0.25</v>
      </c>
      <c r="Q788" s="3" t="str">
        <v>High Profit</v>
      </c>
    </row>
    <row r="789" spans="1:17" x14ac:dyDescent="0.3">
      <c r="A789" t="s">
        <v>1236</v>
      </c>
      <c r="B789" s="2">
        <v>45892</v>
      </c>
      <c r="C789" s="2" t="str">
        <f t="shared" si="60"/>
        <v>August</v>
      </c>
      <c r="D789" t="s">
        <v>68</v>
      </c>
      <c r="E789" t="s">
        <v>390</v>
      </c>
      <c r="F789">
        <v>3</v>
      </c>
      <c r="G789" t="s">
        <v>29</v>
      </c>
      <c r="H789" t="s">
        <v>27</v>
      </c>
      <c r="I789" t="s">
        <v>344</v>
      </c>
      <c r="J789" t="str">
        <f>_xlfn.XLOOKUP(E789, Product_Master!$A$2:$A$101, Product_Master!$C$2:$C$101)</f>
        <v>Accessories</v>
      </c>
      <c r="K789">
        <f>_xlfn.XLOOKUP(E789, Product_Master!$A$2:$A$101, Product_Master!$D$2:$D$101)</f>
        <v>2000</v>
      </c>
      <c r="L789">
        <f>_xlfn.XLOOKUP(E789, Product_Master!$A$2:$A$101, Product_Master!$E$2:$E$101)</f>
        <v>3000</v>
      </c>
      <c r="M789">
        <f t="shared" si="61"/>
        <v>9000</v>
      </c>
      <c r="N789">
        <f t="shared" si="62"/>
        <v>6000</v>
      </c>
      <c r="O789">
        <f t="shared" si="63"/>
        <v>3000</v>
      </c>
      <c r="P789" s="3">
        <f t="shared" si="64"/>
        <v>0.33333333333333331</v>
      </c>
      <c r="Q789" s="3" t="str">
        <v>High Profit</v>
      </c>
    </row>
    <row r="790" spans="1:17" x14ac:dyDescent="0.3">
      <c r="A790" t="s">
        <v>1237</v>
      </c>
      <c r="B790" s="2">
        <v>45962</v>
      </c>
      <c r="C790" s="2" t="str">
        <f t="shared" si="60"/>
        <v>November</v>
      </c>
      <c r="D790" t="s">
        <v>241</v>
      </c>
      <c r="E790" t="s">
        <v>394</v>
      </c>
      <c r="F790">
        <v>1</v>
      </c>
      <c r="G790" t="s">
        <v>4</v>
      </c>
      <c r="H790" t="s">
        <v>20</v>
      </c>
      <c r="I790" t="s">
        <v>332</v>
      </c>
      <c r="J790" t="str">
        <f>_xlfn.XLOOKUP(E790, Product_Master!$A$2:$A$101, Product_Master!$C$2:$C$101)</f>
        <v>Accessories</v>
      </c>
      <c r="K790">
        <f>_xlfn.XLOOKUP(E790, Product_Master!$A$2:$A$101, Product_Master!$D$2:$D$101)</f>
        <v>500</v>
      </c>
      <c r="L790">
        <f>_xlfn.XLOOKUP(E790, Product_Master!$A$2:$A$101, Product_Master!$E$2:$E$101)</f>
        <v>800</v>
      </c>
      <c r="M790">
        <f t="shared" si="61"/>
        <v>800</v>
      </c>
      <c r="N790">
        <f t="shared" si="62"/>
        <v>500</v>
      </c>
      <c r="O790">
        <f t="shared" si="63"/>
        <v>300</v>
      </c>
      <c r="P790" s="3">
        <f t="shared" si="64"/>
        <v>0.375</v>
      </c>
      <c r="Q790" s="3" t="str">
        <v>High Profit</v>
      </c>
    </row>
    <row r="791" spans="1:17" x14ac:dyDescent="0.3">
      <c r="A791" t="s">
        <v>1238</v>
      </c>
      <c r="B791" s="2">
        <v>45877</v>
      </c>
      <c r="C791" s="2" t="str">
        <f t="shared" si="60"/>
        <v>August</v>
      </c>
      <c r="D791" t="s">
        <v>59</v>
      </c>
      <c r="E791" t="s">
        <v>356</v>
      </c>
      <c r="F791">
        <v>1</v>
      </c>
      <c r="G791" t="s">
        <v>4</v>
      </c>
      <c r="H791" t="s">
        <v>39</v>
      </c>
      <c r="I791" t="s">
        <v>340</v>
      </c>
      <c r="J791" t="str">
        <f>_xlfn.XLOOKUP(E791, Product_Master!$A$2:$A$101, Product_Master!$C$2:$C$101)</f>
        <v>Electronics</v>
      </c>
      <c r="K791">
        <f>_xlfn.XLOOKUP(E791, Product_Master!$A$2:$A$101, Product_Master!$D$2:$D$101)</f>
        <v>42000</v>
      </c>
      <c r="L791">
        <f>_xlfn.XLOOKUP(E791, Product_Master!$A$2:$A$101, Product_Master!$E$2:$E$101)</f>
        <v>50000</v>
      </c>
      <c r="M791">
        <f t="shared" si="61"/>
        <v>50000</v>
      </c>
      <c r="N791">
        <f t="shared" si="62"/>
        <v>42000</v>
      </c>
      <c r="O791">
        <f t="shared" si="63"/>
        <v>8000</v>
      </c>
      <c r="P791" s="3">
        <f t="shared" si="64"/>
        <v>0.16</v>
      </c>
      <c r="Q791" s="3" t="str">
        <v>Low Profit</v>
      </c>
    </row>
    <row r="792" spans="1:17" x14ac:dyDescent="0.3">
      <c r="A792" t="s">
        <v>1239</v>
      </c>
      <c r="B792" s="2">
        <v>45830</v>
      </c>
      <c r="C792" s="2" t="str">
        <f t="shared" si="60"/>
        <v>June</v>
      </c>
      <c r="D792" t="s">
        <v>150</v>
      </c>
      <c r="E792" t="s">
        <v>341</v>
      </c>
      <c r="F792">
        <v>5</v>
      </c>
      <c r="G792" t="s">
        <v>12</v>
      </c>
      <c r="H792" t="s">
        <v>17</v>
      </c>
      <c r="I792" t="s">
        <v>329</v>
      </c>
      <c r="J792" t="str">
        <f>_xlfn.XLOOKUP(E792, Product_Master!$A$2:$A$101, Product_Master!$C$2:$C$101)</f>
        <v>Electronics</v>
      </c>
      <c r="K792">
        <f>_xlfn.XLOOKUP(E792, Product_Master!$A$2:$A$101, Product_Master!$D$2:$D$101)</f>
        <v>20000</v>
      </c>
      <c r="L792">
        <f>_xlfn.XLOOKUP(E792, Product_Master!$A$2:$A$101, Product_Master!$E$2:$E$101)</f>
        <v>25000</v>
      </c>
      <c r="M792">
        <f t="shared" si="61"/>
        <v>125000</v>
      </c>
      <c r="N792">
        <f t="shared" si="62"/>
        <v>100000</v>
      </c>
      <c r="O792">
        <f t="shared" si="63"/>
        <v>25000</v>
      </c>
      <c r="P792" s="3">
        <f t="shared" si="64"/>
        <v>0.2</v>
      </c>
      <c r="Q792" s="3" t="str">
        <v>Low Profit</v>
      </c>
    </row>
    <row r="793" spans="1:17" x14ac:dyDescent="0.3">
      <c r="A793" t="s">
        <v>1240</v>
      </c>
      <c r="B793" s="2">
        <v>45950</v>
      </c>
      <c r="C793" s="2" t="str">
        <f t="shared" si="60"/>
        <v>October</v>
      </c>
      <c r="D793" t="s">
        <v>233</v>
      </c>
      <c r="E793" t="s">
        <v>414</v>
      </c>
      <c r="F793">
        <v>3</v>
      </c>
      <c r="G793" t="s">
        <v>45</v>
      </c>
      <c r="H793" t="s">
        <v>27</v>
      </c>
      <c r="I793" t="s">
        <v>332</v>
      </c>
      <c r="J793" t="str">
        <f>_xlfn.XLOOKUP(E793, Product_Master!$A$2:$A$101, Product_Master!$C$2:$C$101)</f>
        <v>Accessories</v>
      </c>
      <c r="K793">
        <f>_xlfn.XLOOKUP(E793, Product_Master!$A$2:$A$101, Product_Master!$D$2:$D$101)</f>
        <v>500</v>
      </c>
      <c r="L793">
        <f>_xlfn.XLOOKUP(E793, Product_Master!$A$2:$A$101, Product_Master!$E$2:$E$101)</f>
        <v>800</v>
      </c>
      <c r="M793">
        <f t="shared" si="61"/>
        <v>2400</v>
      </c>
      <c r="N793">
        <f t="shared" si="62"/>
        <v>1500</v>
      </c>
      <c r="O793">
        <f t="shared" si="63"/>
        <v>900</v>
      </c>
      <c r="P793" s="3">
        <f t="shared" si="64"/>
        <v>0.375</v>
      </c>
      <c r="Q793" s="3" t="str">
        <v>High Profit</v>
      </c>
    </row>
    <row r="794" spans="1:17" x14ac:dyDescent="0.3">
      <c r="A794" t="s">
        <v>1241</v>
      </c>
      <c r="B794" s="2">
        <v>45817</v>
      </c>
      <c r="C794" s="2" t="str">
        <f t="shared" si="60"/>
        <v>June</v>
      </c>
      <c r="D794" t="s">
        <v>152</v>
      </c>
      <c r="E794" t="s">
        <v>360</v>
      </c>
      <c r="F794">
        <v>3</v>
      </c>
      <c r="G794" t="s">
        <v>29</v>
      </c>
      <c r="H794" t="s">
        <v>5</v>
      </c>
      <c r="I794" t="s">
        <v>340</v>
      </c>
      <c r="J794" t="str">
        <f>_xlfn.XLOOKUP(E794, Product_Master!$A$2:$A$101, Product_Master!$C$2:$C$101)</f>
        <v>Electronics</v>
      </c>
      <c r="K794">
        <f>_xlfn.XLOOKUP(E794, Product_Master!$A$2:$A$101, Product_Master!$D$2:$D$101)</f>
        <v>42000</v>
      </c>
      <c r="L794">
        <f>_xlfn.XLOOKUP(E794, Product_Master!$A$2:$A$101, Product_Master!$E$2:$E$101)</f>
        <v>50000</v>
      </c>
      <c r="M794">
        <f t="shared" si="61"/>
        <v>150000</v>
      </c>
      <c r="N794">
        <f t="shared" si="62"/>
        <v>126000</v>
      </c>
      <c r="O794">
        <f t="shared" si="63"/>
        <v>24000</v>
      </c>
      <c r="P794" s="3">
        <f t="shared" si="64"/>
        <v>0.16</v>
      </c>
      <c r="Q794" s="3" t="str">
        <v>Low Profit</v>
      </c>
    </row>
    <row r="795" spans="1:17" x14ac:dyDescent="0.3">
      <c r="A795" t="s">
        <v>1242</v>
      </c>
      <c r="B795" s="2">
        <v>45833</v>
      </c>
      <c r="C795" s="2" t="str">
        <f t="shared" si="60"/>
        <v>June</v>
      </c>
      <c r="D795" t="s">
        <v>26</v>
      </c>
      <c r="E795" t="s">
        <v>389</v>
      </c>
      <c r="F795">
        <v>3</v>
      </c>
      <c r="G795" t="s">
        <v>16</v>
      </c>
      <c r="H795" t="s">
        <v>27</v>
      </c>
      <c r="I795" t="s">
        <v>337</v>
      </c>
      <c r="J795" t="str">
        <f>_xlfn.XLOOKUP(E795, Product_Master!$A$2:$A$101, Product_Master!$C$2:$C$101)</f>
        <v>Electronics</v>
      </c>
      <c r="K795">
        <f>_xlfn.XLOOKUP(E795, Product_Master!$A$2:$A$101, Product_Master!$D$2:$D$101)</f>
        <v>15000</v>
      </c>
      <c r="L795">
        <f>_xlfn.XLOOKUP(E795, Product_Master!$A$2:$A$101, Product_Master!$E$2:$E$101)</f>
        <v>18000</v>
      </c>
      <c r="M795">
        <f t="shared" si="61"/>
        <v>54000</v>
      </c>
      <c r="N795">
        <f t="shared" si="62"/>
        <v>45000</v>
      </c>
      <c r="O795">
        <f t="shared" si="63"/>
        <v>9000</v>
      </c>
      <c r="P795" s="3">
        <f t="shared" si="64"/>
        <v>0.16666666666666666</v>
      </c>
      <c r="Q795" s="3" t="str">
        <v>Low Profit</v>
      </c>
    </row>
    <row r="796" spans="1:17" x14ac:dyDescent="0.3">
      <c r="A796" t="s">
        <v>1243</v>
      </c>
      <c r="B796" s="2">
        <v>45825</v>
      </c>
      <c r="C796" s="2" t="str">
        <f t="shared" si="60"/>
        <v>June</v>
      </c>
      <c r="D796" t="s">
        <v>240</v>
      </c>
      <c r="E796" t="s">
        <v>341</v>
      </c>
      <c r="F796">
        <v>4</v>
      </c>
      <c r="G796" t="s">
        <v>47</v>
      </c>
      <c r="H796" t="s">
        <v>39</v>
      </c>
      <c r="I796" t="s">
        <v>329</v>
      </c>
      <c r="J796" t="str">
        <f>_xlfn.XLOOKUP(E796, Product_Master!$A$2:$A$101, Product_Master!$C$2:$C$101)</f>
        <v>Electronics</v>
      </c>
      <c r="K796">
        <f>_xlfn.XLOOKUP(E796, Product_Master!$A$2:$A$101, Product_Master!$D$2:$D$101)</f>
        <v>20000</v>
      </c>
      <c r="L796">
        <f>_xlfn.XLOOKUP(E796, Product_Master!$A$2:$A$101, Product_Master!$E$2:$E$101)</f>
        <v>25000</v>
      </c>
      <c r="M796">
        <f t="shared" si="61"/>
        <v>100000</v>
      </c>
      <c r="N796">
        <f t="shared" si="62"/>
        <v>80000</v>
      </c>
      <c r="O796">
        <f t="shared" si="63"/>
        <v>20000</v>
      </c>
      <c r="P796" s="3">
        <f t="shared" si="64"/>
        <v>0.2</v>
      </c>
      <c r="Q796" s="3" t="str">
        <v>Low Profit</v>
      </c>
    </row>
    <row r="797" spans="1:17" x14ac:dyDescent="0.3">
      <c r="A797" t="s">
        <v>1244</v>
      </c>
      <c r="B797" s="2">
        <v>45782</v>
      </c>
      <c r="C797" s="2" t="str">
        <f t="shared" si="60"/>
        <v>May</v>
      </c>
      <c r="D797" t="s">
        <v>280</v>
      </c>
      <c r="E797" t="s">
        <v>400</v>
      </c>
      <c r="F797">
        <v>3</v>
      </c>
      <c r="G797" t="s">
        <v>10</v>
      </c>
      <c r="H797" t="s">
        <v>31</v>
      </c>
      <c r="I797" t="s">
        <v>335</v>
      </c>
      <c r="J797" t="str">
        <f>_xlfn.XLOOKUP(E797, Product_Master!$A$2:$A$101, Product_Master!$C$2:$C$101)</f>
        <v>Accessories</v>
      </c>
      <c r="K797">
        <f>_xlfn.XLOOKUP(E797, Product_Master!$A$2:$A$101, Product_Master!$D$2:$D$101)</f>
        <v>900</v>
      </c>
      <c r="L797">
        <f>_xlfn.XLOOKUP(E797, Product_Master!$A$2:$A$101, Product_Master!$E$2:$E$101)</f>
        <v>1500</v>
      </c>
      <c r="M797">
        <f t="shared" si="61"/>
        <v>4500</v>
      </c>
      <c r="N797">
        <f t="shared" si="62"/>
        <v>2700</v>
      </c>
      <c r="O797">
        <f t="shared" si="63"/>
        <v>1800</v>
      </c>
      <c r="P797" s="3">
        <f t="shared" si="64"/>
        <v>0.4</v>
      </c>
      <c r="Q797" s="3" t="str">
        <v>High Profit</v>
      </c>
    </row>
    <row r="798" spans="1:17" x14ac:dyDescent="0.3">
      <c r="A798" t="s">
        <v>1245</v>
      </c>
      <c r="B798" s="2">
        <v>45808</v>
      </c>
      <c r="C798" s="2" t="str">
        <f t="shared" si="60"/>
        <v>May</v>
      </c>
      <c r="D798" t="s">
        <v>113</v>
      </c>
      <c r="E798" t="s">
        <v>407</v>
      </c>
      <c r="F798">
        <v>5</v>
      </c>
      <c r="G798" t="s">
        <v>22</v>
      </c>
      <c r="H798" t="s">
        <v>20</v>
      </c>
      <c r="I798" t="s">
        <v>329</v>
      </c>
      <c r="J798" t="str">
        <f>_xlfn.XLOOKUP(E798, Product_Master!$A$2:$A$101, Product_Master!$C$2:$C$101)</f>
        <v>Electronics</v>
      </c>
      <c r="K798">
        <f>_xlfn.XLOOKUP(E798, Product_Master!$A$2:$A$101, Product_Master!$D$2:$D$101)</f>
        <v>20000</v>
      </c>
      <c r="L798">
        <f>_xlfn.XLOOKUP(E798, Product_Master!$A$2:$A$101, Product_Master!$E$2:$E$101)</f>
        <v>25000</v>
      </c>
      <c r="M798">
        <f t="shared" si="61"/>
        <v>125000</v>
      </c>
      <c r="N798">
        <f t="shared" si="62"/>
        <v>100000</v>
      </c>
      <c r="O798">
        <f t="shared" si="63"/>
        <v>25000</v>
      </c>
      <c r="P798" s="3">
        <f t="shared" si="64"/>
        <v>0.2</v>
      </c>
      <c r="Q798" s="3" t="str">
        <v>Low Profit</v>
      </c>
    </row>
    <row r="799" spans="1:17" x14ac:dyDescent="0.3">
      <c r="A799" t="s">
        <v>1246</v>
      </c>
      <c r="B799" s="2">
        <v>45677</v>
      </c>
      <c r="C799" s="2" t="str">
        <f t="shared" si="60"/>
        <v>January</v>
      </c>
      <c r="D799" t="s">
        <v>279</v>
      </c>
      <c r="E799" t="s">
        <v>367</v>
      </c>
      <c r="F799">
        <v>5</v>
      </c>
      <c r="G799" t="s">
        <v>22</v>
      </c>
      <c r="H799" t="s">
        <v>31</v>
      </c>
      <c r="I799" t="s">
        <v>344</v>
      </c>
      <c r="J799" t="str">
        <f>_xlfn.XLOOKUP(E799, Product_Master!$A$2:$A$101, Product_Master!$C$2:$C$101)</f>
        <v>Accessories</v>
      </c>
      <c r="K799">
        <f>_xlfn.XLOOKUP(E799, Product_Master!$A$2:$A$101, Product_Master!$D$2:$D$101)</f>
        <v>2000</v>
      </c>
      <c r="L799">
        <f>_xlfn.XLOOKUP(E799, Product_Master!$A$2:$A$101, Product_Master!$E$2:$E$101)</f>
        <v>3000</v>
      </c>
      <c r="M799">
        <f t="shared" si="61"/>
        <v>15000</v>
      </c>
      <c r="N799">
        <f t="shared" si="62"/>
        <v>10000</v>
      </c>
      <c r="O799">
        <f t="shared" si="63"/>
        <v>5000</v>
      </c>
      <c r="P799" s="3">
        <f t="shared" si="64"/>
        <v>0.33333333333333331</v>
      </c>
      <c r="Q799" s="3" t="str">
        <v>High Profit</v>
      </c>
    </row>
    <row r="800" spans="1:17" x14ac:dyDescent="0.3">
      <c r="A800" t="s">
        <v>1247</v>
      </c>
      <c r="B800" s="2">
        <v>45912</v>
      </c>
      <c r="C800" s="2" t="str">
        <f t="shared" si="60"/>
        <v>September</v>
      </c>
      <c r="D800" t="s">
        <v>307</v>
      </c>
      <c r="E800" t="s">
        <v>424</v>
      </c>
      <c r="F800">
        <v>4</v>
      </c>
      <c r="G800" t="s">
        <v>22</v>
      </c>
      <c r="H800" t="s">
        <v>5</v>
      </c>
      <c r="I800" t="s">
        <v>337</v>
      </c>
      <c r="J800" t="str">
        <f>_xlfn.XLOOKUP(E800, Product_Master!$A$2:$A$101, Product_Master!$C$2:$C$101)</f>
        <v>Electronics</v>
      </c>
      <c r="K800">
        <f>_xlfn.XLOOKUP(E800, Product_Master!$A$2:$A$101, Product_Master!$D$2:$D$101)</f>
        <v>15000</v>
      </c>
      <c r="L800">
        <f>_xlfn.XLOOKUP(E800, Product_Master!$A$2:$A$101, Product_Master!$E$2:$E$101)</f>
        <v>18000</v>
      </c>
      <c r="M800">
        <f t="shared" si="61"/>
        <v>72000</v>
      </c>
      <c r="N800">
        <f t="shared" si="62"/>
        <v>60000</v>
      </c>
      <c r="O800">
        <f t="shared" si="63"/>
        <v>12000</v>
      </c>
      <c r="P800" s="3">
        <f t="shared" si="64"/>
        <v>0.16666666666666666</v>
      </c>
      <c r="Q800" s="3" t="str">
        <v>Low Profit</v>
      </c>
    </row>
    <row r="801" spans="1:17" x14ac:dyDescent="0.3">
      <c r="A801" t="s">
        <v>1248</v>
      </c>
      <c r="B801" s="2">
        <v>45671</v>
      </c>
      <c r="C801" s="2" t="str">
        <f t="shared" si="60"/>
        <v>January</v>
      </c>
      <c r="D801" t="s">
        <v>459</v>
      </c>
      <c r="E801" t="s">
        <v>442</v>
      </c>
      <c r="F801">
        <v>5</v>
      </c>
      <c r="G801" t="s">
        <v>1454</v>
      </c>
      <c r="H801" t="s">
        <v>1455</v>
      </c>
      <c r="I801" t="s">
        <v>335</v>
      </c>
      <c r="J801" t="str">
        <f>_xlfn.XLOOKUP(E801, Product_Master!$A$2:$A$101, Product_Master!$C$2:$C$101)</f>
        <v>Accessories</v>
      </c>
      <c r="K801">
        <f>_xlfn.XLOOKUP(E801, Product_Master!$A$2:$A$101, Product_Master!$D$2:$D$101)</f>
        <v>900</v>
      </c>
      <c r="L801">
        <f>_xlfn.XLOOKUP(E801, Product_Master!$A$2:$A$101, Product_Master!$E$2:$E$101)</f>
        <v>1500</v>
      </c>
      <c r="M801">
        <f t="shared" si="61"/>
        <v>7500</v>
      </c>
      <c r="N801">
        <f t="shared" si="62"/>
        <v>4500</v>
      </c>
      <c r="O801">
        <f t="shared" si="63"/>
        <v>3000</v>
      </c>
      <c r="P801" s="3">
        <f t="shared" si="64"/>
        <v>0.4</v>
      </c>
      <c r="Q801" s="3" t="str">
        <v>High Profit</v>
      </c>
    </row>
    <row r="802" spans="1:17" x14ac:dyDescent="0.3">
      <c r="A802" t="s">
        <v>1249</v>
      </c>
      <c r="B802" s="2">
        <v>45876</v>
      </c>
      <c r="C802" s="2" t="str">
        <f t="shared" si="60"/>
        <v>August</v>
      </c>
      <c r="D802" t="s">
        <v>156</v>
      </c>
      <c r="E802" t="s">
        <v>415</v>
      </c>
      <c r="F802">
        <v>4</v>
      </c>
      <c r="G802" t="s">
        <v>4</v>
      </c>
      <c r="H802" t="s">
        <v>20</v>
      </c>
      <c r="I802" t="s">
        <v>329</v>
      </c>
      <c r="J802" t="str">
        <f>_xlfn.XLOOKUP(E802, Product_Master!$A$2:$A$101, Product_Master!$C$2:$C$101)</f>
        <v>Electronics</v>
      </c>
      <c r="K802">
        <f>_xlfn.XLOOKUP(E802, Product_Master!$A$2:$A$101, Product_Master!$D$2:$D$101)</f>
        <v>20000</v>
      </c>
      <c r="L802">
        <f>_xlfn.XLOOKUP(E802, Product_Master!$A$2:$A$101, Product_Master!$E$2:$E$101)</f>
        <v>25000</v>
      </c>
      <c r="M802">
        <f t="shared" si="61"/>
        <v>100000</v>
      </c>
      <c r="N802">
        <f t="shared" si="62"/>
        <v>80000</v>
      </c>
      <c r="O802">
        <f t="shared" si="63"/>
        <v>20000</v>
      </c>
      <c r="P802" s="3">
        <f t="shared" si="64"/>
        <v>0.2</v>
      </c>
      <c r="Q802" s="3" t="str">
        <v>Low Profit</v>
      </c>
    </row>
    <row r="803" spans="1:17" x14ac:dyDescent="0.3">
      <c r="A803" t="s">
        <v>1250</v>
      </c>
      <c r="B803" s="2">
        <v>45989</v>
      </c>
      <c r="C803" s="2" t="str">
        <f t="shared" si="60"/>
        <v>November</v>
      </c>
      <c r="D803" t="s">
        <v>56</v>
      </c>
      <c r="E803" t="s">
        <v>408</v>
      </c>
      <c r="F803">
        <v>4</v>
      </c>
      <c r="G803" t="s">
        <v>29</v>
      </c>
      <c r="H803" t="s">
        <v>39</v>
      </c>
      <c r="I803" t="s">
        <v>332</v>
      </c>
      <c r="J803" t="str">
        <f>_xlfn.XLOOKUP(E803, Product_Master!$A$2:$A$101, Product_Master!$C$2:$C$101)</f>
        <v>Accessories</v>
      </c>
      <c r="K803">
        <f>_xlfn.XLOOKUP(E803, Product_Master!$A$2:$A$101, Product_Master!$D$2:$D$101)</f>
        <v>500</v>
      </c>
      <c r="L803">
        <f>_xlfn.XLOOKUP(E803, Product_Master!$A$2:$A$101, Product_Master!$E$2:$E$101)</f>
        <v>800</v>
      </c>
      <c r="M803">
        <f t="shared" si="61"/>
        <v>3200</v>
      </c>
      <c r="N803">
        <f t="shared" si="62"/>
        <v>2000</v>
      </c>
      <c r="O803">
        <f t="shared" si="63"/>
        <v>1200</v>
      </c>
      <c r="P803" s="3">
        <f t="shared" si="64"/>
        <v>0.375</v>
      </c>
      <c r="Q803" s="3" t="str">
        <v>High Profit</v>
      </c>
    </row>
    <row r="804" spans="1:17" x14ac:dyDescent="0.3">
      <c r="A804" t="s">
        <v>1251</v>
      </c>
      <c r="B804" s="2">
        <v>45778</v>
      </c>
      <c r="C804" s="2" t="str">
        <f t="shared" si="60"/>
        <v>May</v>
      </c>
      <c r="D804" t="s">
        <v>33</v>
      </c>
      <c r="E804" t="s">
        <v>385</v>
      </c>
      <c r="F804">
        <v>5</v>
      </c>
      <c r="G804" t="s">
        <v>4</v>
      </c>
      <c r="H804" t="s">
        <v>1455</v>
      </c>
      <c r="I804" t="s">
        <v>340</v>
      </c>
      <c r="J804" t="str">
        <f>_xlfn.XLOOKUP(E804, Product_Master!$A$2:$A$101, Product_Master!$C$2:$C$101)</f>
        <v>Electronics</v>
      </c>
      <c r="K804">
        <f>_xlfn.XLOOKUP(E804, Product_Master!$A$2:$A$101, Product_Master!$D$2:$D$101)</f>
        <v>42000</v>
      </c>
      <c r="L804">
        <f>_xlfn.XLOOKUP(E804, Product_Master!$A$2:$A$101, Product_Master!$E$2:$E$101)</f>
        <v>50000</v>
      </c>
      <c r="M804">
        <f t="shared" si="61"/>
        <v>250000</v>
      </c>
      <c r="N804">
        <f t="shared" si="62"/>
        <v>210000</v>
      </c>
      <c r="O804">
        <f t="shared" si="63"/>
        <v>40000</v>
      </c>
      <c r="P804" s="3">
        <f t="shared" si="64"/>
        <v>0.16</v>
      </c>
      <c r="Q804" s="3" t="str">
        <v>Low Profit</v>
      </c>
    </row>
    <row r="805" spans="1:17" x14ac:dyDescent="0.3">
      <c r="A805" t="s">
        <v>1252</v>
      </c>
      <c r="B805" s="2">
        <v>45904</v>
      </c>
      <c r="C805" s="2" t="str">
        <f t="shared" si="60"/>
        <v>September</v>
      </c>
      <c r="D805" t="s">
        <v>266</v>
      </c>
      <c r="E805" t="s">
        <v>338</v>
      </c>
      <c r="F805">
        <v>2</v>
      </c>
      <c r="G805" t="s">
        <v>16</v>
      </c>
      <c r="H805" t="s">
        <v>8</v>
      </c>
      <c r="I805" t="s">
        <v>332</v>
      </c>
      <c r="J805" t="str">
        <f>_xlfn.XLOOKUP(E805, Product_Master!$A$2:$A$101, Product_Master!$C$2:$C$101)</f>
        <v>Accessories</v>
      </c>
      <c r="K805">
        <f>_xlfn.XLOOKUP(E805, Product_Master!$A$2:$A$101, Product_Master!$D$2:$D$101)</f>
        <v>500</v>
      </c>
      <c r="L805">
        <f>_xlfn.XLOOKUP(E805, Product_Master!$A$2:$A$101, Product_Master!$E$2:$E$101)</f>
        <v>800</v>
      </c>
      <c r="M805">
        <f t="shared" si="61"/>
        <v>1600</v>
      </c>
      <c r="N805">
        <f t="shared" si="62"/>
        <v>1000</v>
      </c>
      <c r="O805">
        <f t="shared" si="63"/>
        <v>600</v>
      </c>
      <c r="P805" s="3">
        <f t="shared" si="64"/>
        <v>0.375</v>
      </c>
      <c r="Q805" s="3" t="str">
        <v>High Profit</v>
      </c>
    </row>
    <row r="806" spans="1:17" x14ac:dyDescent="0.3">
      <c r="A806" t="s">
        <v>1253</v>
      </c>
      <c r="B806" s="2">
        <v>45869</v>
      </c>
      <c r="C806" s="2" t="str">
        <f t="shared" si="60"/>
        <v>July</v>
      </c>
      <c r="D806" t="s">
        <v>86</v>
      </c>
      <c r="E806" t="s">
        <v>426</v>
      </c>
      <c r="F806">
        <v>3</v>
      </c>
      <c r="G806" t="s">
        <v>19</v>
      </c>
      <c r="H806" t="s">
        <v>39</v>
      </c>
      <c r="I806" t="s">
        <v>337</v>
      </c>
      <c r="J806" t="str">
        <f>_xlfn.XLOOKUP(E806, Product_Master!$A$2:$A$101, Product_Master!$C$2:$C$101)</f>
        <v>Electronics</v>
      </c>
      <c r="K806">
        <f>_xlfn.XLOOKUP(E806, Product_Master!$A$2:$A$101, Product_Master!$D$2:$D$101)</f>
        <v>15000</v>
      </c>
      <c r="L806">
        <f>_xlfn.XLOOKUP(E806, Product_Master!$A$2:$A$101, Product_Master!$E$2:$E$101)</f>
        <v>18000</v>
      </c>
      <c r="M806">
        <f t="shared" si="61"/>
        <v>54000</v>
      </c>
      <c r="N806">
        <f t="shared" si="62"/>
        <v>45000</v>
      </c>
      <c r="O806">
        <f t="shared" si="63"/>
        <v>9000</v>
      </c>
      <c r="P806" s="3">
        <f t="shared" si="64"/>
        <v>0.16666666666666666</v>
      </c>
      <c r="Q806" s="3" t="str">
        <v>Low Profit</v>
      </c>
    </row>
    <row r="807" spans="1:17" x14ac:dyDescent="0.3">
      <c r="A807" t="s">
        <v>1254</v>
      </c>
      <c r="B807" s="2">
        <v>45828</v>
      </c>
      <c r="C807" s="2" t="str">
        <f t="shared" si="60"/>
        <v>June</v>
      </c>
      <c r="D807" t="s">
        <v>206</v>
      </c>
      <c r="E807" t="s">
        <v>370</v>
      </c>
      <c r="F807">
        <v>3</v>
      </c>
      <c r="G807" t="s">
        <v>29</v>
      </c>
      <c r="H807" t="s">
        <v>31</v>
      </c>
      <c r="I807" t="s">
        <v>335</v>
      </c>
      <c r="J807" t="str">
        <f>_xlfn.XLOOKUP(E807, Product_Master!$A$2:$A$101, Product_Master!$C$2:$C$101)</f>
        <v>Accessories</v>
      </c>
      <c r="K807">
        <f>_xlfn.XLOOKUP(E807, Product_Master!$A$2:$A$101, Product_Master!$D$2:$D$101)</f>
        <v>900</v>
      </c>
      <c r="L807">
        <f>_xlfn.XLOOKUP(E807, Product_Master!$A$2:$A$101, Product_Master!$E$2:$E$101)</f>
        <v>1500</v>
      </c>
      <c r="M807">
        <f t="shared" si="61"/>
        <v>4500</v>
      </c>
      <c r="N807">
        <f t="shared" si="62"/>
        <v>2700</v>
      </c>
      <c r="O807">
        <f t="shared" si="63"/>
        <v>1800</v>
      </c>
      <c r="P807" s="3">
        <f t="shared" si="64"/>
        <v>0.4</v>
      </c>
      <c r="Q807" s="3" t="str">
        <v>High Profit</v>
      </c>
    </row>
    <row r="808" spans="1:17" x14ac:dyDescent="0.3">
      <c r="A808" t="s">
        <v>1255</v>
      </c>
      <c r="B808" s="2">
        <v>45961</v>
      </c>
      <c r="C808" s="2" t="str">
        <f t="shared" si="60"/>
        <v>October</v>
      </c>
      <c r="D808" t="s">
        <v>110</v>
      </c>
      <c r="E808" t="s">
        <v>381</v>
      </c>
      <c r="F808">
        <v>4</v>
      </c>
      <c r="G808" t="s">
        <v>10</v>
      </c>
      <c r="H808" t="s">
        <v>27</v>
      </c>
      <c r="I808" t="s">
        <v>329</v>
      </c>
      <c r="J808" t="str">
        <f>_xlfn.XLOOKUP(E808, Product_Master!$A$2:$A$101, Product_Master!$C$2:$C$101)</f>
        <v>Electronics</v>
      </c>
      <c r="K808">
        <f>_xlfn.XLOOKUP(E808, Product_Master!$A$2:$A$101, Product_Master!$D$2:$D$101)</f>
        <v>20000</v>
      </c>
      <c r="L808">
        <f>_xlfn.XLOOKUP(E808, Product_Master!$A$2:$A$101, Product_Master!$E$2:$E$101)</f>
        <v>25000</v>
      </c>
      <c r="M808">
        <f t="shared" si="61"/>
        <v>100000</v>
      </c>
      <c r="N808">
        <f t="shared" si="62"/>
        <v>80000</v>
      </c>
      <c r="O808">
        <f t="shared" si="63"/>
        <v>20000</v>
      </c>
      <c r="P808" s="3">
        <f t="shared" si="64"/>
        <v>0.2</v>
      </c>
      <c r="Q808" s="3" t="str">
        <v>Low Profit</v>
      </c>
    </row>
    <row r="809" spans="1:17" x14ac:dyDescent="0.3">
      <c r="A809" t="s">
        <v>1256</v>
      </c>
      <c r="B809" s="2">
        <v>45946</v>
      </c>
      <c r="C809" s="2" t="str">
        <f t="shared" si="60"/>
        <v>October</v>
      </c>
      <c r="D809" t="s">
        <v>40</v>
      </c>
      <c r="E809" t="s">
        <v>358</v>
      </c>
      <c r="F809">
        <v>4</v>
      </c>
      <c r="G809" t="s">
        <v>4</v>
      </c>
      <c r="H809" t="s">
        <v>20</v>
      </c>
      <c r="I809" t="s">
        <v>332</v>
      </c>
      <c r="J809" t="str">
        <f>_xlfn.XLOOKUP(E809, Product_Master!$A$2:$A$101, Product_Master!$C$2:$C$101)</f>
        <v>Accessories</v>
      </c>
      <c r="K809">
        <f>_xlfn.XLOOKUP(E809, Product_Master!$A$2:$A$101, Product_Master!$D$2:$D$101)</f>
        <v>500</v>
      </c>
      <c r="L809">
        <f>_xlfn.XLOOKUP(E809, Product_Master!$A$2:$A$101, Product_Master!$E$2:$E$101)</f>
        <v>800</v>
      </c>
      <c r="M809">
        <f t="shared" si="61"/>
        <v>3200</v>
      </c>
      <c r="N809">
        <f t="shared" si="62"/>
        <v>2000</v>
      </c>
      <c r="O809">
        <f t="shared" si="63"/>
        <v>1200</v>
      </c>
      <c r="P809" s="3">
        <f t="shared" si="64"/>
        <v>0.375</v>
      </c>
      <c r="Q809" s="3" t="str">
        <v>High Profit</v>
      </c>
    </row>
    <row r="810" spans="1:17" x14ac:dyDescent="0.3">
      <c r="A810" t="s">
        <v>1257</v>
      </c>
      <c r="B810" s="2">
        <v>45872</v>
      </c>
      <c r="C810" s="2" t="str">
        <f t="shared" si="60"/>
        <v>August</v>
      </c>
      <c r="D810" t="s">
        <v>15</v>
      </c>
      <c r="E810" t="s">
        <v>377</v>
      </c>
      <c r="F810">
        <v>2</v>
      </c>
      <c r="G810" t="s">
        <v>16</v>
      </c>
      <c r="H810" t="s">
        <v>17</v>
      </c>
      <c r="I810" t="s">
        <v>337</v>
      </c>
      <c r="J810" t="str">
        <f>_xlfn.XLOOKUP(E810, Product_Master!$A$2:$A$101, Product_Master!$C$2:$C$101)</f>
        <v>Electronics</v>
      </c>
      <c r="K810">
        <f>_xlfn.XLOOKUP(E810, Product_Master!$A$2:$A$101, Product_Master!$D$2:$D$101)</f>
        <v>15000</v>
      </c>
      <c r="L810">
        <f>_xlfn.XLOOKUP(E810, Product_Master!$A$2:$A$101, Product_Master!$E$2:$E$101)</f>
        <v>18000</v>
      </c>
      <c r="M810">
        <f t="shared" si="61"/>
        <v>36000</v>
      </c>
      <c r="N810">
        <f t="shared" si="62"/>
        <v>30000</v>
      </c>
      <c r="O810">
        <f t="shared" si="63"/>
        <v>6000</v>
      </c>
      <c r="P810" s="3">
        <f t="shared" si="64"/>
        <v>0.16666666666666666</v>
      </c>
      <c r="Q810" s="3" t="str">
        <v>Low Profit</v>
      </c>
    </row>
    <row r="811" spans="1:17" x14ac:dyDescent="0.3">
      <c r="A811" t="s">
        <v>1258</v>
      </c>
      <c r="B811" s="2">
        <v>45727</v>
      </c>
      <c r="C811" s="2" t="str">
        <f t="shared" si="60"/>
        <v>March</v>
      </c>
      <c r="D811" t="s">
        <v>160</v>
      </c>
      <c r="E811" t="s">
        <v>341</v>
      </c>
      <c r="F811">
        <v>4</v>
      </c>
      <c r="G811" t="s">
        <v>7</v>
      </c>
      <c r="H811" t="s">
        <v>31</v>
      </c>
      <c r="I811" t="s">
        <v>329</v>
      </c>
      <c r="J811" t="str">
        <f>_xlfn.XLOOKUP(E811, Product_Master!$A$2:$A$101, Product_Master!$C$2:$C$101)</f>
        <v>Electronics</v>
      </c>
      <c r="K811">
        <f>_xlfn.XLOOKUP(E811, Product_Master!$A$2:$A$101, Product_Master!$D$2:$D$101)</f>
        <v>20000</v>
      </c>
      <c r="L811">
        <f>_xlfn.XLOOKUP(E811, Product_Master!$A$2:$A$101, Product_Master!$E$2:$E$101)</f>
        <v>25000</v>
      </c>
      <c r="M811">
        <f t="shared" si="61"/>
        <v>100000</v>
      </c>
      <c r="N811">
        <f t="shared" si="62"/>
        <v>80000</v>
      </c>
      <c r="O811">
        <f t="shared" si="63"/>
        <v>20000</v>
      </c>
      <c r="P811" s="3">
        <f t="shared" si="64"/>
        <v>0.2</v>
      </c>
      <c r="Q811" s="3" t="str">
        <v>Low Profit</v>
      </c>
    </row>
    <row r="812" spans="1:17" x14ac:dyDescent="0.3">
      <c r="A812" t="s">
        <v>1259</v>
      </c>
      <c r="B812" s="2">
        <v>45795</v>
      </c>
      <c r="C812" s="2" t="str">
        <f t="shared" si="60"/>
        <v>May</v>
      </c>
      <c r="D812" t="s">
        <v>88</v>
      </c>
      <c r="E812" t="s">
        <v>432</v>
      </c>
      <c r="F812">
        <v>2</v>
      </c>
      <c r="G812" t="s">
        <v>45</v>
      </c>
      <c r="H812" t="s">
        <v>14</v>
      </c>
      <c r="I812" t="s">
        <v>344</v>
      </c>
      <c r="J812" t="str">
        <f>_xlfn.XLOOKUP(E812, Product_Master!$A$2:$A$101, Product_Master!$C$2:$C$101)</f>
        <v>Accessories</v>
      </c>
      <c r="K812">
        <f>_xlfn.XLOOKUP(E812, Product_Master!$A$2:$A$101, Product_Master!$D$2:$D$101)</f>
        <v>2000</v>
      </c>
      <c r="L812">
        <f>_xlfn.XLOOKUP(E812, Product_Master!$A$2:$A$101, Product_Master!$E$2:$E$101)</f>
        <v>3000</v>
      </c>
      <c r="M812">
        <f t="shared" si="61"/>
        <v>6000</v>
      </c>
      <c r="N812">
        <f t="shared" si="62"/>
        <v>4000</v>
      </c>
      <c r="O812">
        <f t="shared" si="63"/>
        <v>2000</v>
      </c>
      <c r="P812" s="3">
        <f t="shared" si="64"/>
        <v>0.33333333333333331</v>
      </c>
      <c r="Q812" s="3" t="str">
        <v>High Profit</v>
      </c>
    </row>
    <row r="813" spans="1:17" x14ac:dyDescent="0.3">
      <c r="A813" t="s">
        <v>1260</v>
      </c>
      <c r="B813" s="2">
        <v>45683</v>
      </c>
      <c r="C813" s="2" t="str">
        <f t="shared" si="60"/>
        <v>January</v>
      </c>
      <c r="D813" t="s">
        <v>469</v>
      </c>
      <c r="E813" t="s">
        <v>355</v>
      </c>
      <c r="F813">
        <v>1</v>
      </c>
      <c r="G813" t="s">
        <v>1454</v>
      </c>
      <c r="H813" t="s">
        <v>1455</v>
      </c>
      <c r="I813" t="s">
        <v>335</v>
      </c>
      <c r="J813" t="str">
        <f>_xlfn.XLOOKUP(E813, Product_Master!$A$2:$A$101, Product_Master!$C$2:$C$101)</f>
        <v>Accessories</v>
      </c>
      <c r="K813">
        <f>_xlfn.XLOOKUP(E813, Product_Master!$A$2:$A$101, Product_Master!$D$2:$D$101)</f>
        <v>900</v>
      </c>
      <c r="L813">
        <f>_xlfn.XLOOKUP(E813, Product_Master!$A$2:$A$101, Product_Master!$E$2:$E$101)</f>
        <v>1500</v>
      </c>
      <c r="M813">
        <f t="shared" si="61"/>
        <v>1500</v>
      </c>
      <c r="N813">
        <f t="shared" si="62"/>
        <v>900</v>
      </c>
      <c r="O813">
        <f t="shared" si="63"/>
        <v>600</v>
      </c>
      <c r="P813" s="3">
        <f t="shared" si="64"/>
        <v>0.4</v>
      </c>
      <c r="Q813" s="3" t="str">
        <v>High Profit</v>
      </c>
    </row>
    <row r="814" spans="1:17" x14ac:dyDescent="0.3">
      <c r="A814" t="s">
        <v>1261</v>
      </c>
      <c r="B814" s="2">
        <v>45784</v>
      </c>
      <c r="C814" s="2" t="str">
        <f t="shared" si="60"/>
        <v>May</v>
      </c>
      <c r="D814" t="s">
        <v>95</v>
      </c>
      <c r="E814" t="s">
        <v>399</v>
      </c>
      <c r="F814">
        <v>3</v>
      </c>
      <c r="G814" t="s">
        <v>24</v>
      </c>
      <c r="H814" t="s">
        <v>5</v>
      </c>
      <c r="I814" t="s">
        <v>340</v>
      </c>
      <c r="J814" t="str">
        <f>_xlfn.XLOOKUP(E814, Product_Master!$A$2:$A$101, Product_Master!$C$2:$C$101)</f>
        <v>Electronics</v>
      </c>
      <c r="K814">
        <f>_xlfn.XLOOKUP(E814, Product_Master!$A$2:$A$101, Product_Master!$D$2:$D$101)</f>
        <v>42000</v>
      </c>
      <c r="L814">
        <f>_xlfn.XLOOKUP(E814, Product_Master!$A$2:$A$101, Product_Master!$E$2:$E$101)</f>
        <v>50000</v>
      </c>
      <c r="M814">
        <f t="shared" si="61"/>
        <v>150000</v>
      </c>
      <c r="N814">
        <f t="shared" si="62"/>
        <v>126000</v>
      </c>
      <c r="O814">
        <f t="shared" si="63"/>
        <v>24000</v>
      </c>
      <c r="P814" s="3">
        <f t="shared" si="64"/>
        <v>0.16</v>
      </c>
      <c r="Q814" s="3" t="str">
        <v>Low Profit</v>
      </c>
    </row>
    <row r="815" spans="1:17" x14ac:dyDescent="0.3">
      <c r="A815" t="s">
        <v>1262</v>
      </c>
      <c r="B815" s="2">
        <v>46014</v>
      </c>
      <c r="C815" s="2" t="str">
        <f t="shared" si="60"/>
        <v>December</v>
      </c>
      <c r="D815" t="s">
        <v>281</v>
      </c>
      <c r="E815" t="s">
        <v>417</v>
      </c>
      <c r="F815">
        <v>1</v>
      </c>
      <c r="G815" t="s">
        <v>47</v>
      </c>
      <c r="H815" t="s">
        <v>14</v>
      </c>
      <c r="I815" t="s">
        <v>335</v>
      </c>
      <c r="J815" t="str">
        <f>_xlfn.XLOOKUP(E815, Product_Master!$A$2:$A$101, Product_Master!$C$2:$C$101)</f>
        <v>Accessories</v>
      </c>
      <c r="K815">
        <f>_xlfn.XLOOKUP(E815, Product_Master!$A$2:$A$101, Product_Master!$D$2:$D$101)</f>
        <v>900</v>
      </c>
      <c r="L815">
        <f>_xlfn.XLOOKUP(E815, Product_Master!$A$2:$A$101, Product_Master!$E$2:$E$101)</f>
        <v>1500</v>
      </c>
      <c r="M815">
        <f t="shared" si="61"/>
        <v>1500</v>
      </c>
      <c r="N815">
        <f t="shared" si="62"/>
        <v>900</v>
      </c>
      <c r="O815">
        <f t="shared" si="63"/>
        <v>600</v>
      </c>
      <c r="P815" s="3">
        <f t="shared" si="64"/>
        <v>0.4</v>
      </c>
      <c r="Q815" s="3" t="str">
        <v>High Profit</v>
      </c>
    </row>
    <row r="816" spans="1:17" x14ac:dyDescent="0.3">
      <c r="A816" t="s">
        <v>1263</v>
      </c>
      <c r="B816" s="2">
        <v>45782</v>
      </c>
      <c r="C816" s="2" t="str">
        <f t="shared" si="60"/>
        <v>May</v>
      </c>
      <c r="D816" t="s">
        <v>171</v>
      </c>
      <c r="E816" t="s">
        <v>345</v>
      </c>
      <c r="F816">
        <v>3</v>
      </c>
      <c r="G816" t="s">
        <v>19</v>
      </c>
      <c r="H816" t="s">
        <v>14</v>
      </c>
      <c r="I816" t="s">
        <v>346</v>
      </c>
      <c r="J816" t="str">
        <f>_xlfn.XLOOKUP(E816, Product_Master!$A$2:$A$101, Product_Master!$C$2:$C$101)</f>
        <v>Accessories</v>
      </c>
      <c r="K816">
        <f>_xlfn.XLOOKUP(E816, Product_Master!$A$2:$A$101, Product_Master!$D$2:$D$101)</f>
        <v>9000</v>
      </c>
      <c r="L816">
        <f>_xlfn.XLOOKUP(E816, Product_Master!$A$2:$A$101, Product_Master!$E$2:$E$101)</f>
        <v>12000</v>
      </c>
      <c r="M816">
        <f t="shared" si="61"/>
        <v>36000</v>
      </c>
      <c r="N816">
        <f t="shared" si="62"/>
        <v>27000</v>
      </c>
      <c r="O816">
        <f t="shared" si="63"/>
        <v>9000</v>
      </c>
      <c r="P816" s="3">
        <f t="shared" si="64"/>
        <v>0.25</v>
      </c>
      <c r="Q816" s="3" t="str">
        <v>High Profit</v>
      </c>
    </row>
    <row r="817" spans="1:17" x14ac:dyDescent="0.3">
      <c r="A817" t="s">
        <v>1264</v>
      </c>
      <c r="B817" s="2">
        <v>45866</v>
      </c>
      <c r="C817" s="2" t="str">
        <f t="shared" si="60"/>
        <v>July</v>
      </c>
      <c r="D817" t="s">
        <v>119</v>
      </c>
      <c r="E817" t="s">
        <v>366</v>
      </c>
      <c r="F817">
        <v>3</v>
      </c>
      <c r="G817" t="s">
        <v>24</v>
      </c>
      <c r="H817" t="s">
        <v>14</v>
      </c>
      <c r="I817" t="s">
        <v>340</v>
      </c>
      <c r="J817" t="str">
        <f>_xlfn.XLOOKUP(E817, Product_Master!$A$2:$A$101, Product_Master!$C$2:$C$101)</f>
        <v>Electronics</v>
      </c>
      <c r="K817">
        <f>_xlfn.XLOOKUP(E817, Product_Master!$A$2:$A$101, Product_Master!$D$2:$D$101)</f>
        <v>42000</v>
      </c>
      <c r="L817">
        <f>_xlfn.XLOOKUP(E817, Product_Master!$A$2:$A$101, Product_Master!$E$2:$E$101)</f>
        <v>50000</v>
      </c>
      <c r="M817">
        <f t="shared" si="61"/>
        <v>150000</v>
      </c>
      <c r="N817">
        <f t="shared" si="62"/>
        <v>126000</v>
      </c>
      <c r="O817">
        <f t="shared" si="63"/>
        <v>24000</v>
      </c>
      <c r="P817" s="3">
        <f t="shared" si="64"/>
        <v>0.16</v>
      </c>
      <c r="Q817" s="3" t="str">
        <v>Low Profit</v>
      </c>
    </row>
    <row r="818" spans="1:17" x14ac:dyDescent="0.3">
      <c r="A818" t="s">
        <v>1265</v>
      </c>
      <c r="B818" s="2">
        <v>45665</v>
      </c>
      <c r="C818" s="2" t="str">
        <f t="shared" si="60"/>
        <v>January</v>
      </c>
      <c r="D818" t="s">
        <v>116</v>
      </c>
      <c r="E818" t="s">
        <v>436</v>
      </c>
      <c r="F818">
        <v>3</v>
      </c>
      <c r="G818" t="s">
        <v>7</v>
      </c>
      <c r="H818" t="s">
        <v>14</v>
      </c>
      <c r="I818" t="s">
        <v>353</v>
      </c>
      <c r="J818" t="str">
        <f>_xlfn.XLOOKUP(E818, Product_Master!$A$2:$A$101, Product_Master!$C$2:$C$101)</f>
        <v>Electronics</v>
      </c>
      <c r="K818">
        <f>_xlfn.XLOOKUP(E818, Product_Master!$A$2:$A$101, Product_Master!$D$2:$D$101)</f>
        <v>12000</v>
      </c>
      <c r="L818">
        <f>_xlfn.XLOOKUP(E818, Product_Master!$A$2:$A$101, Product_Master!$E$2:$E$101)</f>
        <v>15000</v>
      </c>
      <c r="M818">
        <f t="shared" si="61"/>
        <v>45000</v>
      </c>
      <c r="N818">
        <f t="shared" si="62"/>
        <v>36000</v>
      </c>
      <c r="O818">
        <f t="shared" si="63"/>
        <v>9000</v>
      </c>
      <c r="P818" s="3">
        <f t="shared" si="64"/>
        <v>0.2</v>
      </c>
      <c r="Q818" s="3" t="str">
        <v>Low Profit</v>
      </c>
    </row>
    <row r="819" spans="1:17" x14ac:dyDescent="0.3">
      <c r="A819" t="s">
        <v>1266</v>
      </c>
      <c r="B819" s="2">
        <v>45821</v>
      </c>
      <c r="C819" s="2" t="str">
        <f t="shared" si="60"/>
        <v>June</v>
      </c>
      <c r="D819" t="s">
        <v>268</v>
      </c>
      <c r="E819" t="s">
        <v>416</v>
      </c>
      <c r="F819">
        <v>4</v>
      </c>
      <c r="G819" t="s">
        <v>10</v>
      </c>
      <c r="H819" t="s">
        <v>17</v>
      </c>
      <c r="I819" t="s">
        <v>340</v>
      </c>
      <c r="J819" t="str">
        <f>_xlfn.XLOOKUP(E819, Product_Master!$A$2:$A$101, Product_Master!$C$2:$C$101)</f>
        <v>Electronics</v>
      </c>
      <c r="K819">
        <f>_xlfn.XLOOKUP(E819, Product_Master!$A$2:$A$101, Product_Master!$D$2:$D$101)</f>
        <v>42000</v>
      </c>
      <c r="L819">
        <f>_xlfn.XLOOKUP(E819, Product_Master!$A$2:$A$101, Product_Master!$E$2:$E$101)</f>
        <v>50000</v>
      </c>
      <c r="M819">
        <f t="shared" si="61"/>
        <v>200000</v>
      </c>
      <c r="N819">
        <f t="shared" si="62"/>
        <v>168000</v>
      </c>
      <c r="O819">
        <f t="shared" si="63"/>
        <v>32000</v>
      </c>
      <c r="P819" s="3">
        <f t="shared" si="64"/>
        <v>0.16</v>
      </c>
      <c r="Q819" s="3" t="str">
        <v>Low Profit</v>
      </c>
    </row>
    <row r="820" spans="1:17" x14ac:dyDescent="0.3">
      <c r="A820" t="s">
        <v>1267</v>
      </c>
      <c r="B820" s="2">
        <v>45675</v>
      </c>
      <c r="C820" s="2" t="str">
        <f t="shared" si="60"/>
        <v>January</v>
      </c>
      <c r="D820" t="s">
        <v>185</v>
      </c>
      <c r="E820" t="s">
        <v>366</v>
      </c>
      <c r="F820">
        <v>5</v>
      </c>
      <c r="G820" t="s">
        <v>37</v>
      </c>
      <c r="H820" t="s">
        <v>20</v>
      </c>
      <c r="I820" t="s">
        <v>340</v>
      </c>
      <c r="J820" t="str">
        <f>_xlfn.XLOOKUP(E820, Product_Master!$A$2:$A$101, Product_Master!$C$2:$C$101)</f>
        <v>Electronics</v>
      </c>
      <c r="K820">
        <f>_xlfn.XLOOKUP(E820, Product_Master!$A$2:$A$101, Product_Master!$D$2:$D$101)</f>
        <v>42000</v>
      </c>
      <c r="L820">
        <f>_xlfn.XLOOKUP(E820, Product_Master!$A$2:$A$101, Product_Master!$E$2:$E$101)</f>
        <v>50000</v>
      </c>
      <c r="M820">
        <f t="shared" si="61"/>
        <v>250000</v>
      </c>
      <c r="N820">
        <f t="shared" si="62"/>
        <v>210000</v>
      </c>
      <c r="O820">
        <f t="shared" si="63"/>
        <v>40000</v>
      </c>
      <c r="P820" s="3">
        <f t="shared" si="64"/>
        <v>0.16</v>
      </c>
      <c r="Q820" s="3" t="str">
        <v>Low Profit</v>
      </c>
    </row>
    <row r="821" spans="1:17" x14ac:dyDescent="0.3">
      <c r="A821" t="s">
        <v>1268</v>
      </c>
      <c r="B821" s="2">
        <v>45744</v>
      </c>
      <c r="C821" s="2" t="str">
        <f t="shared" si="60"/>
        <v>March</v>
      </c>
      <c r="D821" t="s">
        <v>89</v>
      </c>
      <c r="E821" t="s">
        <v>394</v>
      </c>
      <c r="F821">
        <v>5</v>
      </c>
      <c r="G821" t="s">
        <v>19</v>
      </c>
      <c r="H821" t="s">
        <v>1455</v>
      </c>
      <c r="I821" t="s">
        <v>332</v>
      </c>
      <c r="J821" t="str">
        <f>_xlfn.XLOOKUP(E821, Product_Master!$A$2:$A$101, Product_Master!$C$2:$C$101)</f>
        <v>Accessories</v>
      </c>
      <c r="K821">
        <f>_xlfn.XLOOKUP(E821, Product_Master!$A$2:$A$101, Product_Master!$D$2:$D$101)</f>
        <v>500</v>
      </c>
      <c r="L821">
        <f>_xlfn.XLOOKUP(E821, Product_Master!$A$2:$A$101, Product_Master!$E$2:$E$101)</f>
        <v>800</v>
      </c>
      <c r="M821">
        <f t="shared" si="61"/>
        <v>4000</v>
      </c>
      <c r="N821">
        <f t="shared" si="62"/>
        <v>2500</v>
      </c>
      <c r="O821">
        <f t="shared" si="63"/>
        <v>1500</v>
      </c>
      <c r="P821" s="3">
        <f t="shared" si="64"/>
        <v>0.375</v>
      </c>
      <c r="Q821" s="3" t="str">
        <v>High Profit</v>
      </c>
    </row>
    <row r="822" spans="1:17" x14ac:dyDescent="0.3">
      <c r="A822" t="s">
        <v>1269</v>
      </c>
      <c r="B822" s="2">
        <v>45705</v>
      </c>
      <c r="C822" s="2" t="str">
        <f t="shared" si="60"/>
        <v>February</v>
      </c>
      <c r="D822" t="s">
        <v>186</v>
      </c>
      <c r="E822" t="s">
        <v>360</v>
      </c>
      <c r="F822">
        <v>3</v>
      </c>
      <c r="G822" t="s">
        <v>7</v>
      </c>
      <c r="H822" t="s">
        <v>17</v>
      </c>
      <c r="I822" t="s">
        <v>340</v>
      </c>
      <c r="J822" t="str">
        <f>_xlfn.XLOOKUP(E822, Product_Master!$A$2:$A$101, Product_Master!$C$2:$C$101)</f>
        <v>Electronics</v>
      </c>
      <c r="K822">
        <f>_xlfn.XLOOKUP(E822, Product_Master!$A$2:$A$101, Product_Master!$D$2:$D$101)</f>
        <v>42000</v>
      </c>
      <c r="L822">
        <f>_xlfn.XLOOKUP(E822, Product_Master!$A$2:$A$101, Product_Master!$E$2:$E$101)</f>
        <v>50000</v>
      </c>
      <c r="M822">
        <f t="shared" si="61"/>
        <v>150000</v>
      </c>
      <c r="N822">
        <f t="shared" si="62"/>
        <v>126000</v>
      </c>
      <c r="O822">
        <f t="shared" si="63"/>
        <v>24000</v>
      </c>
      <c r="P822" s="3">
        <f t="shared" si="64"/>
        <v>0.16</v>
      </c>
      <c r="Q822" s="3" t="str">
        <v>Low Profit</v>
      </c>
    </row>
    <row r="823" spans="1:17" x14ac:dyDescent="0.3">
      <c r="A823" t="s">
        <v>1270</v>
      </c>
      <c r="B823" s="2">
        <v>45860</v>
      </c>
      <c r="C823" s="2" t="str">
        <f t="shared" si="60"/>
        <v>July</v>
      </c>
      <c r="D823" t="s">
        <v>317</v>
      </c>
      <c r="E823" t="s">
        <v>398</v>
      </c>
      <c r="F823">
        <v>5</v>
      </c>
      <c r="G823" t="s">
        <v>12</v>
      </c>
      <c r="H823" t="s">
        <v>14</v>
      </c>
      <c r="I823" t="s">
        <v>344</v>
      </c>
      <c r="J823" t="str">
        <f>_xlfn.XLOOKUP(E823, Product_Master!$A$2:$A$101, Product_Master!$C$2:$C$101)</f>
        <v>Accessories</v>
      </c>
      <c r="K823">
        <f>_xlfn.XLOOKUP(E823, Product_Master!$A$2:$A$101, Product_Master!$D$2:$D$101)</f>
        <v>2000</v>
      </c>
      <c r="L823">
        <f>_xlfn.XLOOKUP(E823, Product_Master!$A$2:$A$101, Product_Master!$E$2:$E$101)</f>
        <v>3000</v>
      </c>
      <c r="M823">
        <f t="shared" si="61"/>
        <v>15000</v>
      </c>
      <c r="N823">
        <f t="shared" si="62"/>
        <v>10000</v>
      </c>
      <c r="O823">
        <f t="shared" si="63"/>
        <v>5000</v>
      </c>
      <c r="P823" s="3">
        <f t="shared" si="64"/>
        <v>0.33333333333333331</v>
      </c>
      <c r="Q823" s="3" t="str">
        <v>High Profit</v>
      </c>
    </row>
    <row r="824" spans="1:17" x14ac:dyDescent="0.3">
      <c r="A824" t="s">
        <v>1271</v>
      </c>
      <c r="B824" s="2">
        <v>45820</v>
      </c>
      <c r="C824" s="2" t="str">
        <f t="shared" si="60"/>
        <v>June</v>
      </c>
      <c r="D824" t="s">
        <v>288</v>
      </c>
      <c r="E824" t="s">
        <v>395</v>
      </c>
      <c r="F824">
        <v>1</v>
      </c>
      <c r="G824" t="s">
        <v>29</v>
      </c>
      <c r="H824" t="s">
        <v>20</v>
      </c>
      <c r="I824" t="s">
        <v>340</v>
      </c>
      <c r="J824" t="str">
        <f>_xlfn.XLOOKUP(E824, Product_Master!$A$2:$A$101, Product_Master!$C$2:$C$101)</f>
        <v>Electronics</v>
      </c>
      <c r="K824">
        <f>_xlfn.XLOOKUP(E824, Product_Master!$A$2:$A$101, Product_Master!$D$2:$D$101)</f>
        <v>42000</v>
      </c>
      <c r="L824">
        <f>_xlfn.XLOOKUP(E824, Product_Master!$A$2:$A$101, Product_Master!$E$2:$E$101)</f>
        <v>50000</v>
      </c>
      <c r="M824">
        <f t="shared" si="61"/>
        <v>50000</v>
      </c>
      <c r="N824">
        <f t="shared" si="62"/>
        <v>42000</v>
      </c>
      <c r="O824">
        <f t="shared" si="63"/>
        <v>8000</v>
      </c>
      <c r="P824" s="3">
        <f t="shared" si="64"/>
        <v>0.16</v>
      </c>
      <c r="Q824" s="3" t="str">
        <v>Low Profit</v>
      </c>
    </row>
    <row r="825" spans="1:17" x14ac:dyDescent="0.3">
      <c r="A825" t="s">
        <v>1272</v>
      </c>
      <c r="B825" s="2">
        <v>45979</v>
      </c>
      <c r="C825" s="2" t="str">
        <f t="shared" si="60"/>
        <v>November</v>
      </c>
      <c r="D825" t="s">
        <v>469</v>
      </c>
      <c r="E825" t="s">
        <v>403</v>
      </c>
      <c r="F825">
        <v>1</v>
      </c>
      <c r="G825" t="s">
        <v>1454</v>
      </c>
      <c r="H825" t="s">
        <v>1455</v>
      </c>
      <c r="I825" t="s">
        <v>353</v>
      </c>
      <c r="J825" t="str">
        <f>_xlfn.XLOOKUP(E825, Product_Master!$A$2:$A$101, Product_Master!$C$2:$C$101)</f>
        <v>Electronics</v>
      </c>
      <c r="K825">
        <f>_xlfn.XLOOKUP(E825, Product_Master!$A$2:$A$101, Product_Master!$D$2:$D$101)</f>
        <v>12000</v>
      </c>
      <c r="L825">
        <f>_xlfn.XLOOKUP(E825, Product_Master!$A$2:$A$101, Product_Master!$E$2:$E$101)</f>
        <v>15000</v>
      </c>
      <c r="M825">
        <f t="shared" si="61"/>
        <v>15000</v>
      </c>
      <c r="N825">
        <f t="shared" si="62"/>
        <v>12000</v>
      </c>
      <c r="O825">
        <f t="shared" si="63"/>
        <v>3000</v>
      </c>
      <c r="P825" s="3">
        <f t="shared" si="64"/>
        <v>0.2</v>
      </c>
      <c r="Q825" s="3" t="str">
        <v>Low Profit</v>
      </c>
    </row>
    <row r="826" spans="1:17" x14ac:dyDescent="0.3">
      <c r="A826" t="s">
        <v>1273</v>
      </c>
      <c r="B826" s="2">
        <v>45920</v>
      </c>
      <c r="C826" s="2" t="str">
        <f t="shared" si="60"/>
        <v>September</v>
      </c>
      <c r="D826" t="s">
        <v>314</v>
      </c>
      <c r="E826" t="s">
        <v>401</v>
      </c>
      <c r="F826">
        <v>3</v>
      </c>
      <c r="G826" t="s">
        <v>22</v>
      </c>
      <c r="H826" t="s">
        <v>8</v>
      </c>
      <c r="I826" t="s">
        <v>335</v>
      </c>
      <c r="J826" t="str">
        <f>_xlfn.XLOOKUP(E826, Product_Master!$A$2:$A$101, Product_Master!$C$2:$C$101)</f>
        <v>Accessories</v>
      </c>
      <c r="K826">
        <f>_xlfn.XLOOKUP(E826, Product_Master!$A$2:$A$101, Product_Master!$D$2:$D$101)</f>
        <v>900</v>
      </c>
      <c r="L826">
        <f>_xlfn.XLOOKUP(E826, Product_Master!$A$2:$A$101, Product_Master!$E$2:$E$101)</f>
        <v>1500</v>
      </c>
      <c r="M826">
        <f t="shared" si="61"/>
        <v>4500</v>
      </c>
      <c r="N826">
        <f t="shared" si="62"/>
        <v>2700</v>
      </c>
      <c r="O826">
        <f t="shared" si="63"/>
        <v>1800</v>
      </c>
      <c r="P826" s="3">
        <f t="shared" si="64"/>
        <v>0.4</v>
      </c>
      <c r="Q826" s="3" t="str">
        <v>High Profit</v>
      </c>
    </row>
    <row r="827" spans="1:17" x14ac:dyDescent="0.3">
      <c r="A827" t="s">
        <v>1274</v>
      </c>
      <c r="B827" s="2">
        <v>45978</v>
      </c>
      <c r="C827" s="2" t="str">
        <f t="shared" si="60"/>
        <v>November</v>
      </c>
      <c r="D827" t="s">
        <v>34</v>
      </c>
      <c r="E827" t="s">
        <v>399</v>
      </c>
      <c r="F827">
        <v>5</v>
      </c>
      <c r="G827" t="s">
        <v>29</v>
      </c>
      <c r="H827" t="s">
        <v>14</v>
      </c>
      <c r="I827" t="s">
        <v>340</v>
      </c>
      <c r="J827" t="str">
        <f>_xlfn.XLOOKUP(E827, Product_Master!$A$2:$A$101, Product_Master!$C$2:$C$101)</f>
        <v>Electronics</v>
      </c>
      <c r="K827">
        <f>_xlfn.XLOOKUP(E827, Product_Master!$A$2:$A$101, Product_Master!$D$2:$D$101)</f>
        <v>42000</v>
      </c>
      <c r="L827">
        <f>_xlfn.XLOOKUP(E827, Product_Master!$A$2:$A$101, Product_Master!$E$2:$E$101)</f>
        <v>50000</v>
      </c>
      <c r="M827">
        <f t="shared" si="61"/>
        <v>250000</v>
      </c>
      <c r="N827">
        <f t="shared" si="62"/>
        <v>210000</v>
      </c>
      <c r="O827">
        <f t="shared" si="63"/>
        <v>40000</v>
      </c>
      <c r="P827" s="3">
        <f t="shared" si="64"/>
        <v>0.16</v>
      </c>
      <c r="Q827" s="3" t="str">
        <v>Low Profit</v>
      </c>
    </row>
    <row r="828" spans="1:17" x14ac:dyDescent="0.3">
      <c r="A828" t="s">
        <v>1275</v>
      </c>
      <c r="B828" s="2">
        <v>45717</v>
      </c>
      <c r="C828" s="2" t="str">
        <f t="shared" si="60"/>
        <v>March</v>
      </c>
      <c r="D828" t="s">
        <v>161</v>
      </c>
      <c r="E828" t="s">
        <v>383</v>
      </c>
      <c r="F828">
        <v>4</v>
      </c>
      <c r="G828" t="s">
        <v>45</v>
      </c>
      <c r="H828" t="s">
        <v>31</v>
      </c>
      <c r="I828" t="s">
        <v>335</v>
      </c>
      <c r="J828" t="str">
        <f>_xlfn.XLOOKUP(E828, Product_Master!$A$2:$A$101, Product_Master!$C$2:$C$101)</f>
        <v>Accessories</v>
      </c>
      <c r="K828">
        <f>_xlfn.XLOOKUP(E828, Product_Master!$A$2:$A$101, Product_Master!$D$2:$D$101)</f>
        <v>900</v>
      </c>
      <c r="L828">
        <f>_xlfn.XLOOKUP(E828, Product_Master!$A$2:$A$101, Product_Master!$E$2:$E$101)</f>
        <v>1500</v>
      </c>
      <c r="M828">
        <f t="shared" si="61"/>
        <v>6000</v>
      </c>
      <c r="N828">
        <f t="shared" si="62"/>
        <v>3600</v>
      </c>
      <c r="O828">
        <f t="shared" si="63"/>
        <v>2400</v>
      </c>
      <c r="P828" s="3">
        <f t="shared" si="64"/>
        <v>0.4</v>
      </c>
      <c r="Q828" s="3" t="str">
        <v>High Profit</v>
      </c>
    </row>
    <row r="829" spans="1:17" x14ac:dyDescent="0.3">
      <c r="A829" t="s">
        <v>1276</v>
      </c>
      <c r="B829" s="2">
        <v>45796</v>
      </c>
      <c r="C829" s="2" t="str">
        <f t="shared" si="60"/>
        <v>May</v>
      </c>
      <c r="D829" t="s">
        <v>170</v>
      </c>
      <c r="E829" t="s">
        <v>402</v>
      </c>
      <c r="F829">
        <v>5</v>
      </c>
      <c r="G829" t="s">
        <v>16</v>
      </c>
      <c r="H829" t="s">
        <v>14</v>
      </c>
      <c r="I829" t="s">
        <v>332</v>
      </c>
      <c r="J829" t="str">
        <f>_xlfn.XLOOKUP(E829, Product_Master!$A$2:$A$101, Product_Master!$C$2:$C$101)</f>
        <v>Accessories</v>
      </c>
      <c r="K829">
        <f>_xlfn.XLOOKUP(E829, Product_Master!$A$2:$A$101, Product_Master!$D$2:$D$101)</f>
        <v>500</v>
      </c>
      <c r="L829">
        <f>_xlfn.XLOOKUP(E829, Product_Master!$A$2:$A$101, Product_Master!$E$2:$E$101)</f>
        <v>800</v>
      </c>
      <c r="M829">
        <f t="shared" si="61"/>
        <v>4000</v>
      </c>
      <c r="N829">
        <f t="shared" si="62"/>
        <v>2500</v>
      </c>
      <c r="O829">
        <f t="shared" si="63"/>
        <v>1500</v>
      </c>
      <c r="P829" s="3">
        <f t="shared" si="64"/>
        <v>0.375</v>
      </c>
      <c r="Q829" s="3" t="str">
        <v>High Profit</v>
      </c>
    </row>
    <row r="830" spans="1:17" x14ac:dyDescent="0.3">
      <c r="A830" t="s">
        <v>1277</v>
      </c>
      <c r="B830" s="2">
        <v>45924</v>
      </c>
      <c r="C830" s="2" t="str">
        <f t="shared" si="60"/>
        <v>September</v>
      </c>
      <c r="D830" t="s">
        <v>64</v>
      </c>
      <c r="E830" t="s">
        <v>389</v>
      </c>
      <c r="F830">
        <v>1</v>
      </c>
      <c r="G830" t="s">
        <v>37</v>
      </c>
      <c r="H830" t="s">
        <v>14</v>
      </c>
      <c r="I830" t="s">
        <v>337</v>
      </c>
      <c r="J830" t="str">
        <f>_xlfn.XLOOKUP(E830, Product_Master!$A$2:$A$101, Product_Master!$C$2:$C$101)</f>
        <v>Electronics</v>
      </c>
      <c r="K830">
        <f>_xlfn.XLOOKUP(E830, Product_Master!$A$2:$A$101, Product_Master!$D$2:$D$101)</f>
        <v>15000</v>
      </c>
      <c r="L830">
        <f>_xlfn.XLOOKUP(E830, Product_Master!$A$2:$A$101, Product_Master!$E$2:$E$101)</f>
        <v>18000</v>
      </c>
      <c r="M830">
        <f t="shared" si="61"/>
        <v>18000</v>
      </c>
      <c r="N830">
        <f t="shared" si="62"/>
        <v>15000</v>
      </c>
      <c r="O830">
        <f t="shared" si="63"/>
        <v>3000</v>
      </c>
      <c r="P830" s="3">
        <f t="shared" si="64"/>
        <v>0.16666666666666666</v>
      </c>
      <c r="Q830" s="3" t="str">
        <v>Low Profit</v>
      </c>
    </row>
    <row r="831" spans="1:17" x14ac:dyDescent="0.3">
      <c r="A831" t="s">
        <v>1278</v>
      </c>
      <c r="B831" s="2">
        <v>45861</v>
      </c>
      <c r="C831" s="2" t="str">
        <f t="shared" si="60"/>
        <v>July</v>
      </c>
      <c r="D831" t="s">
        <v>240</v>
      </c>
      <c r="E831" t="s">
        <v>391</v>
      </c>
      <c r="F831">
        <v>1</v>
      </c>
      <c r="G831" t="s">
        <v>47</v>
      </c>
      <c r="H831" t="s">
        <v>39</v>
      </c>
      <c r="I831" t="s">
        <v>332</v>
      </c>
      <c r="J831" t="str">
        <f>_xlfn.XLOOKUP(E831, Product_Master!$A$2:$A$101, Product_Master!$C$2:$C$101)</f>
        <v>Accessories</v>
      </c>
      <c r="K831">
        <f>_xlfn.XLOOKUP(E831, Product_Master!$A$2:$A$101, Product_Master!$D$2:$D$101)</f>
        <v>500</v>
      </c>
      <c r="L831">
        <f>_xlfn.XLOOKUP(E831, Product_Master!$A$2:$A$101, Product_Master!$E$2:$E$101)</f>
        <v>800</v>
      </c>
      <c r="M831">
        <f t="shared" si="61"/>
        <v>800</v>
      </c>
      <c r="N831">
        <f t="shared" si="62"/>
        <v>500</v>
      </c>
      <c r="O831">
        <f t="shared" si="63"/>
        <v>300</v>
      </c>
      <c r="P831" s="3">
        <f t="shared" si="64"/>
        <v>0.375</v>
      </c>
      <c r="Q831" s="3" t="str">
        <v>High Profit</v>
      </c>
    </row>
    <row r="832" spans="1:17" x14ac:dyDescent="0.3">
      <c r="A832" t="s">
        <v>1279</v>
      </c>
      <c r="B832" s="2">
        <v>45995</v>
      </c>
      <c r="C832" s="2" t="str">
        <f t="shared" si="60"/>
        <v>December</v>
      </c>
      <c r="D832" t="s">
        <v>151</v>
      </c>
      <c r="E832" t="s">
        <v>343</v>
      </c>
      <c r="F832">
        <v>3</v>
      </c>
      <c r="G832" t="s">
        <v>22</v>
      </c>
      <c r="H832" t="s">
        <v>39</v>
      </c>
      <c r="I832" t="s">
        <v>344</v>
      </c>
      <c r="J832" t="str">
        <f>_xlfn.XLOOKUP(E832, Product_Master!$A$2:$A$101, Product_Master!$C$2:$C$101)</f>
        <v>Accessories</v>
      </c>
      <c r="K832">
        <f>_xlfn.XLOOKUP(E832, Product_Master!$A$2:$A$101, Product_Master!$D$2:$D$101)</f>
        <v>2000</v>
      </c>
      <c r="L832">
        <f>_xlfn.XLOOKUP(E832, Product_Master!$A$2:$A$101, Product_Master!$E$2:$E$101)</f>
        <v>3000</v>
      </c>
      <c r="M832">
        <f t="shared" si="61"/>
        <v>9000</v>
      </c>
      <c r="N832">
        <f t="shared" si="62"/>
        <v>6000</v>
      </c>
      <c r="O832">
        <f t="shared" si="63"/>
        <v>3000</v>
      </c>
      <c r="P832" s="3">
        <f t="shared" si="64"/>
        <v>0.33333333333333331</v>
      </c>
      <c r="Q832" s="3" t="str">
        <v>High Profit</v>
      </c>
    </row>
    <row r="833" spans="1:17" x14ac:dyDescent="0.3">
      <c r="A833" t="s">
        <v>1280</v>
      </c>
      <c r="B833" s="2">
        <v>45959</v>
      </c>
      <c r="C833" s="2" t="str">
        <f t="shared" si="60"/>
        <v>October</v>
      </c>
      <c r="D833" t="s">
        <v>73</v>
      </c>
      <c r="E833" t="s">
        <v>372</v>
      </c>
      <c r="F833">
        <v>2</v>
      </c>
      <c r="G833" t="s">
        <v>7</v>
      </c>
      <c r="H833" t="s">
        <v>20</v>
      </c>
      <c r="I833" t="s">
        <v>340</v>
      </c>
      <c r="J833" t="str">
        <f>_xlfn.XLOOKUP(E833, Product_Master!$A$2:$A$101, Product_Master!$C$2:$C$101)</f>
        <v>Electronics</v>
      </c>
      <c r="K833">
        <f>_xlfn.XLOOKUP(E833, Product_Master!$A$2:$A$101, Product_Master!$D$2:$D$101)</f>
        <v>42000</v>
      </c>
      <c r="L833">
        <f>_xlfn.XLOOKUP(E833, Product_Master!$A$2:$A$101, Product_Master!$E$2:$E$101)</f>
        <v>50000</v>
      </c>
      <c r="M833">
        <f t="shared" si="61"/>
        <v>100000</v>
      </c>
      <c r="N833">
        <f t="shared" si="62"/>
        <v>84000</v>
      </c>
      <c r="O833">
        <f t="shared" si="63"/>
        <v>16000</v>
      </c>
      <c r="P833" s="3">
        <f t="shared" si="64"/>
        <v>0.16</v>
      </c>
      <c r="Q833" s="3" t="str">
        <v>Low Profit</v>
      </c>
    </row>
    <row r="834" spans="1:17" x14ac:dyDescent="0.3">
      <c r="A834" t="s">
        <v>1281</v>
      </c>
      <c r="B834" s="2">
        <v>45995</v>
      </c>
      <c r="C834" s="2" t="str">
        <f t="shared" si="60"/>
        <v>December</v>
      </c>
      <c r="D834" t="s">
        <v>141</v>
      </c>
      <c r="E834" t="s">
        <v>360</v>
      </c>
      <c r="F834">
        <v>1</v>
      </c>
      <c r="G834" t="s">
        <v>22</v>
      </c>
      <c r="H834" t="s">
        <v>31</v>
      </c>
      <c r="I834" t="s">
        <v>340</v>
      </c>
      <c r="J834" t="str">
        <f>_xlfn.XLOOKUP(E834, Product_Master!$A$2:$A$101, Product_Master!$C$2:$C$101)</f>
        <v>Electronics</v>
      </c>
      <c r="K834">
        <f>_xlfn.XLOOKUP(E834, Product_Master!$A$2:$A$101, Product_Master!$D$2:$D$101)</f>
        <v>42000</v>
      </c>
      <c r="L834">
        <f>_xlfn.XLOOKUP(E834, Product_Master!$A$2:$A$101, Product_Master!$E$2:$E$101)</f>
        <v>50000</v>
      </c>
      <c r="M834">
        <f t="shared" si="61"/>
        <v>50000</v>
      </c>
      <c r="N834">
        <f t="shared" si="62"/>
        <v>42000</v>
      </c>
      <c r="O834">
        <f t="shared" si="63"/>
        <v>8000</v>
      </c>
      <c r="P834" s="3">
        <f t="shared" si="64"/>
        <v>0.16</v>
      </c>
      <c r="Q834" s="3" t="str">
        <v>Low Profit</v>
      </c>
    </row>
    <row r="835" spans="1:17" x14ac:dyDescent="0.3">
      <c r="A835" t="s">
        <v>1282</v>
      </c>
      <c r="B835" s="2">
        <v>46009</v>
      </c>
      <c r="C835" s="2" t="str">
        <f t="shared" ref="C835:C898" si="65">TEXT(B835,"MMMM")</f>
        <v>December</v>
      </c>
      <c r="D835" t="s">
        <v>98</v>
      </c>
      <c r="E835" t="s">
        <v>334</v>
      </c>
      <c r="F835">
        <v>4</v>
      </c>
      <c r="G835" t="s">
        <v>29</v>
      </c>
      <c r="H835" t="s">
        <v>14</v>
      </c>
      <c r="I835" t="s">
        <v>335</v>
      </c>
      <c r="J835" t="str">
        <f>_xlfn.XLOOKUP(E835, Product_Master!$A$2:$A$101, Product_Master!$C$2:$C$101)</f>
        <v>Accessories</v>
      </c>
      <c r="K835">
        <f>_xlfn.XLOOKUP(E835, Product_Master!$A$2:$A$101, Product_Master!$D$2:$D$101)</f>
        <v>900</v>
      </c>
      <c r="L835">
        <f>_xlfn.XLOOKUP(E835, Product_Master!$A$2:$A$101, Product_Master!$E$2:$E$101)</f>
        <v>1500</v>
      </c>
      <c r="M835">
        <f t="shared" ref="M835:M898" si="66">F835*L835</f>
        <v>6000</v>
      </c>
      <c r="N835">
        <f t="shared" ref="N835:N898" si="67">F835*K835</f>
        <v>3600</v>
      </c>
      <c r="O835">
        <f t="shared" ref="O835:O898" si="68">M835-N835</f>
        <v>2400</v>
      </c>
      <c r="P835" s="3">
        <f t="shared" ref="P835:P898" si="69">O835/M835</f>
        <v>0.4</v>
      </c>
      <c r="Q835" s="3" t="str">
        <v>High Profit</v>
      </c>
    </row>
    <row r="836" spans="1:17" x14ac:dyDescent="0.3">
      <c r="A836" t="s">
        <v>1283</v>
      </c>
      <c r="B836" s="2">
        <v>45696</v>
      </c>
      <c r="C836" s="2" t="str">
        <f t="shared" si="65"/>
        <v>February</v>
      </c>
      <c r="D836" t="s">
        <v>276</v>
      </c>
      <c r="E836" t="s">
        <v>396</v>
      </c>
      <c r="F836">
        <v>3</v>
      </c>
      <c r="G836" t="s">
        <v>24</v>
      </c>
      <c r="H836" t="s">
        <v>20</v>
      </c>
      <c r="I836" t="s">
        <v>335</v>
      </c>
      <c r="J836" t="str">
        <f>_xlfn.XLOOKUP(E836, Product_Master!$A$2:$A$101, Product_Master!$C$2:$C$101)</f>
        <v>Accessories</v>
      </c>
      <c r="K836">
        <f>_xlfn.XLOOKUP(E836, Product_Master!$A$2:$A$101, Product_Master!$D$2:$D$101)</f>
        <v>900</v>
      </c>
      <c r="L836">
        <f>_xlfn.XLOOKUP(E836, Product_Master!$A$2:$A$101, Product_Master!$E$2:$E$101)</f>
        <v>1500</v>
      </c>
      <c r="M836">
        <f t="shared" si="66"/>
        <v>4500</v>
      </c>
      <c r="N836">
        <f t="shared" si="67"/>
        <v>2700</v>
      </c>
      <c r="O836">
        <f t="shared" si="68"/>
        <v>1800</v>
      </c>
      <c r="P836" s="3">
        <f t="shared" si="69"/>
        <v>0.4</v>
      </c>
      <c r="Q836" s="3" t="str">
        <v>High Profit</v>
      </c>
    </row>
    <row r="837" spans="1:17" x14ac:dyDescent="0.3">
      <c r="A837" t="s">
        <v>1284</v>
      </c>
      <c r="B837" s="2">
        <v>45862</v>
      </c>
      <c r="C837" s="2" t="str">
        <f t="shared" si="65"/>
        <v>July</v>
      </c>
      <c r="D837" t="s">
        <v>118</v>
      </c>
      <c r="E837" t="s">
        <v>362</v>
      </c>
      <c r="F837">
        <v>1</v>
      </c>
      <c r="G837" t="s">
        <v>22</v>
      </c>
      <c r="H837" t="s">
        <v>27</v>
      </c>
      <c r="I837" t="s">
        <v>332</v>
      </c>
      <c r="J837" t="str">
        <f>_xlfn.XLOOKUP(E837, Product_Master!$A$2:$A$101, Product_Master!$C$2:$C$101)</f>
        <v>Accessories</v>
      </c>
      <c r="K837">
        <f>_xlfn.XLOOKUP(E837, Product_Master!$A$2:$A$101, Product_Master!$D$2:$D$101)</f>
        <v>500</v>
      </c>
      <c r="L837">
        <f>_xlfn.XLOOKUP(E837, Product_Master!$A$2:$A$101, Product_Master!$E$2:$E$101)</f>
        <v>800</v>
      </c>
      <c r="M837">
        <f t="shared" si="66"/>
        <v>800</v>
      </c>
      <c r="N837">
        <f t="shared" si="67"/>
        <v>500</v>
      </c>
      <c r="O837">
        <f t="shared" si="68"/>
        <v>300</v>
      </c>
      <c r="P837" s="3">
        <f t="shared" si="69"/>
        <v>0.375</v>
      </c>
      <c r="Q837" s="3" t="str">
        <v>High Profit</v>
      </c>
    </row>
    <row r="838" spans="1:17" x14ac:dyDescent="0.3">
      <c r="A838" t="s">
        <v>1285</v>
      </c>
      <c r="B838" s="2">
        <v>45683</v>
      </c>
      <c r="C838" s="2" t="str">
        <f t="shared" si="65"/>
        <v>January</v>
      </c>
      <c r="D838" t="s">
        <v>227</v>
      </c>
      <c r="E838" t="s">
        <v>439</v>
      </c>
      <c r="F838">
        <v>4</v>
      </c>
      <c r="G838" t="s">
        <v>24</v>
      </c>
      <c r="H838" t="s">
        <v>39</v>
      </c>
      <c r="I838" t="s">
        <v>353</v>
      </c>
      <c r="J838" t="str">
        <f>_xlfn.XLOOKUP(E838, Product_Master!$A$2:$A$101, Product_Master!$C$2:$C$101)</f>
        <v>Electronics</v>
      </c>
      <c r="K838">
        <f>_xlfn.XLOOKUP(E838, Product_Master!$A$2:$A$101, Product_Master!$D$2:$D$101)</f>
        <v>12000</v>
      </c>
      <c r="L838">
        <f>_xlfn.XLOOKUP(E838, Product_Master!$A$2:$A$101, Product_Master!$E$2:$E$101)</f>
        <v>15000</v>
      </c>
      <c r="M838">
        <f t="shared" si="66"/>
        <v>60000</v>
      </c>
      <c r="N838">
        <f t="shared" si="67"/>
        <v>48000</v>
      </c>
      <c r="O838">
        <f t="shared" si="68"/>
        <v>12000</v>
      </c>
      <c r="P838" s="3">
        <f t="shared" si="69"/>
        <v>0.2</v>
      </c>
      <c r="Q838" s="3" t="str">
        <v>Low Profit</v>
      </c>
    </row>
    <row r="839" spans="1:17" x14ac:dyDescent="0.3">
      <c r="A839" t="s">
        <v>1286</v>
      </c>
      <c r="B839" s="2">
        <v>45869</v>
      </c>
      <c r="C839" s="2" t="str">
        <f t="shared" si="65"/>
        <v>July</v>
      </c>
      <c r="D839" t="s">
        <v>205</v>
      </c>
      <c r="E839" t="s">
        <v>402</v>
      </c>
      <c r="F839">
        <v>2</v>
      </c>
      <c r="G839" t="s">
        <v>16</v>
      </c>
      <c r="H839" t="s">
        <v>17</v>
      </c>
      <c r="I839" t="s">
        <v>332</v>
      </c>
      <c r="J839" t="str">
        <f>_xlfn.XLOOKUP(E839, Product_Master!$A$2:$A$101, Product_Master!$C$2:$C$101)</f>
        <v>Accessories</v>
      </c>
      <c r="K839">
        <f>_xlfn.XLOOKUP(E839, Product_Master!$A$2:$A$101, Product_Master!$D$2:$D$101)</f>
        <v>500</v>
      </c>
      <c r="L839">
        <f>_xlfn.XLOOKUP(E839, Product_Master!$A$2:$A$101, Product_Master!$E$2:$E$101)</f>
        <v>800</v>
      </c>
      <c r="M839">
        <f t="shared" si="66"/>
        <v>1600</v>
      </c>
      <c r="N839">
        <f t="shared" si="67"/>
        <v>1000</v>
      </c>
      <c r="O839">
        <f t="shared" si="68"/>
        <v>600</v>
      </c>
      <c r="P839" s="3">
        <f t="shared" si="69"/>
        <v>0.375</v>
      </c>
      <c r="Q839" s="3" t="str">
        <v>High Profit</v>
      </c>
    </row>
    <row r="840" spans="1:17" x14ac:dyDescent="0.3">
      <c r="A840" t="s">
        <v>1287</v>
      </c>
      <c r="B840" s="2">
        <v>45916</v>
      </c>
      <c r="C840" s="2" t="str">
        <f t="shared" si="65"/>
        <v>September</v>
      </c>
      <c r="D840" t="s">
        <v>78</v>
      </c>
      <c r="E840" t="s">
        <v>438</v>
      </c>
      <c r="F840">
        <v>1</v>
      </c>
      <c r="G840" t="s">
        <v>7</v>
      </c>
      <c r="H840" t="s">
        <v>39</v>
      </c>
      <c r="I840" t="s">
        <v>329</v>
      </c>
      <c r="J840" t="str">
        <f>_xlfn.XLOOKUP(E840, Product_Master!$A$2:$A$101, Product_Master!$C$2:$C$101)</f>
        <v>Electronics</v>
      </c>
      <c r="K840">
        <f>_xlfn.XLOOKUP(E840, Product_Master!$A$2:$A$101, Product_Master!$D$2:$D$101)</f>
        <v>20000</v>
      </c>
      <c r="L840">
        <f>_xlfn.XLOOKUP(E840, Product_Master!$A$2:$A$101, Product_Master!$E$2:$E$101)</f>
        <v>25000</v>
      </c>
      <c r="M840">
        <f t="shared" si="66"/>
        <v>25000</v>
      </c>
      <c r="N840">
        <f t="shared" si="67"/>
        <v>20000</v>
      </c>
      <c r="O840">
        <f t="shared" si="68"/>
        <v>5000</v>
      </c>
      <c r="P840" s="3">
        <f t="shared" si="69"/>
        <v>0.2</v>
      </c>
      <c r="Q840" s="3" t="str">
        <v>Low Profit</v>
      </c>
    </row>
    <row r="841" spans="1:17" x14ac:dyDescent="0.3">
      <c r="A841" t="s">
        <v>1288</v>
      </c>
      <c r="B841" s="2">
        <v>45982</v>
      </c>
      <c r="C841" s="2" t="str">
        <f t="shared" si="65"/>
        <v>November</v>
      </c>
      <c r="D841" t="s">
        <v>119</v>
      </c>
      <c r="E841" t="s">
        <v>372</v>
      </c>
      <c r="F841">
        <v>1</v>
      </c>
      <c r="G841" t="s">
        <v>24</v>
      </c>
      <c r="H841" t="s">
        <v>14</v>
      </c>
      <c r="I841" t="s">
        <v>340</v>
      </c>
      <c r="J841" t="str">
        <f>_xlfn.XLOOKUP(E841, Product_Master!$A$2:$A$101, Product_Master!$C$2:$C$101)</f>
        <v>Electronics</v>
      </c>
      <c r="K841">
        <f>_xlfn.XLOOKUP(E841, Product_Master!$A$2:$A$101, Product_Master!$D$2:$D$101)</f>
        <v>42000</v>
      </c>
      <c r="L841">
        <f>_xlfn.XLOOKUP(E841, Product_Master!$A$2:$A$101, Product_Master!$E$2:$E$101)</f>
        <v>50000</v>
      </c>
      <c r="M841">
        <f t="shared" si="66"/>
        <v>50000</v>
      </c>
      <c r="N841">
        <f t="shared" si="67"/>
        <v>42000</v>
      </c>
      <c r="O841">
        <f t="shared" si="68"/>
        <v>8000</v>
      </c>
      <c r="P841" s="3">
        <f t="shared" si="69"/>
        <v>0.16</v>
      </c>
      <c r="Q841" s="3" t="str">
        <v>Low Profit</v>
      </c>
    </row>
    <row r="842" spans="1:17" x14ac:dyDescent="0.3">
      <c r="A842" t="s">
        <v>1289</v>
      </c>
      <c r="B842" s="2">
        <v>46014</v>
      </c>
      <c r="C842" s="2" t="str">
        <f t="shared" si="65"/>
        <v>December</v>
      </c>
      <c r="D842" t="s">
        <v>212</v>
      </c>
      <c r="E842" t="s">
        <v>443</v>
      </c>
      <c r="F842">
        <v>2</v>
      </c>
      <c r="G842" t="s">
        <v>4</v>
      </c>
      <c r="H842" t="s">
        <v>39</v>
      </c>
      <c r="I842" t="s">
        <v>344</v>
      </c>
      <c r="J842" t="str">
        <f>_xlfn.XLOOKUP(E842, Product_Master!$A$2:$A$101, Product_Master!$C$2:$C$101)</f>
        <v>Accessories</v>
      </c>
      <c r="K842">
        <f>_xlfn.XLOOKUP(E842, Product_Master!$A$2:$A$101, Product_Master!$D$2:$D$101)</f>
        <v>2000</v>
      </c>
      <c r="L842">
        <f>_xlfn.XLOOKUP(E842, Product_Master!$A$2:$A$101, Product_Master!$E$2:$E$101)</f>
        <v>3000</v>
      </c>
      <c r="M842">
        <f t="shared" si="66"/>
        <v>6000</v>
      </c>
      <c r="N842">
        <f t="shared" si="67"/>
        <v>4000</v>
      </c>
      <c r="O842">
        <f t="shared" si="68"/>
        <v>2000</v>
      </c>
      <c r="P842" s="3">
        <f t="shared" si="69"/>
        <v>0.33333333333333331</v>
      </c>
      <c r="Q842" s="3" t="str">
        <v>High Profit</v>
      </c>
    </row>
    <row r="843" spans="1:17" x14ac:dyDescent="0.3">
      <c r="A843" t="s">
        <v>1290</v>
      </c>
      <c r="B843" s="2">
        <v>45943</v>
      </c>
      <c r="C843" s="2" t="str">
        <f t="shared" si="65"/>
        <v>October</v>
      </c>
      <c r="D843" t="s">
        <v>319</v>
      </c>
      <c r="E843" t="s">
        <v>441</v>
      </c>
      <c r="F843">
        <v>5</v>
      </c>
      <c r="G843" t="s">
        <v>12</v>
      </c>
      <c r="H843" t="s">
        <v>20</v>
      </c>
      <c r="I843" t="s">
        <v>346</v>
      </c>
      <c r="J843" t="str">
        <f>_xlfn.XLOOKUP(E843, Product_Master!$A$2:$A$101, Product_Master!$C$2:$C$101)</f>
        <v>Accessories</v>
      </c>
      <c r="K843">
        <f>_xlfn.XLOOKUP(E843, Product_Master!$A$2:$A$101, Product_Master!$D$2:$D$101)</f>
        <v>9000</v>
      </c>
      <c r="L843">
        <f>_xlfn.XLOOKUP(E843, Product_Master!$A$2:$A$101, Product_Master!$E$2:$E$101)</f>
        <v>12000</v>
      </c>
      <c r="M843">
        <f t="shared" si="66"/>
        <v>60000</v>
      </c>
      <c r="N843">
        <f t="shared" si="67"/>
        <v>45000</v>
      </c>
      <c r="O843">
        <f t="shared" si="68"/>
        <v>15000</v>
      </c>
      <c r="P843" s="3">
        <f t="shared" si="69"/>
        <v>0.25</v>
      </c>
      <c r="Q843" s="3" t="str">
        <v>High Profit</v>
      </c>
    </row>
    <row r="844" spans="1:17" x14ac:dyDescent="0.3">
      <c r="A844" t="s">
        <v>1291</v>
      </c>
      <c r="B844" s="2">
        <v>45953</v>
      </c>
      <c r="C844" s="2" t="str">
        <f t="shared" si="65"/>
        <v>October</v>
      </c>
      <c r="D844" t="s">
        <v>156</v>
      </c>
      <c r="E844" t="s">
        <v>328</v>
      </c>
      <c r="F844">
        <v>3</v>
      </c>
      <c r="G844" t="s">
        <v>4</v>
      </c>
      <c r="H844" t="s">
        <v>20</v>
      </c>
      <c r="I844" t="s">
        <v>329</v>
      </c>
      <c r="J844" t="str">
        <f>_xlfn.XLOOKUP(E844, Product_Master!$A$2:$A$101, Product_Master!$C$2:$C$101)</f>
        <v>Electronics</v>
      </c>
      <c r="K844">
        <f>_xlfn.XLOOKUP(E844, Product_Master!$A$2:$A$101, Product_Master!$D$2:$D$101)</f>
        <v>20000</v>
      </c>
      <c r="L844">
        <f>_xlfn.XLOOKUP(E844, Product_Master!$A$2:$A$101, Product_Master!$E$2:$E$101)</f>
        <v>25000</v>
      </c>
      <c r="M844">
        <f t="shared" si="66"/>
        <v>75000</v>
      </c>
      <c r="N844">
        <f t="shared" si="67"/>
        <v>60000</v>
      </c>
      <c r="O844">
        <f t="shared" si="68"/>
        <v>15000</v>
      </c>
      <c r="P844" s="3">
        <f t="shared" si="69"/>
        <v>0.2</v>
      </c>
      <c r="Q844" s="3" t="str">
        <v>Low Profit</v>
      </c>
    </row>
    <row r="845" spans="1:17" x14ac:dyDescent="0.3">
      <c r="A845" t="s">
        <v>1292</v>
      </c>
      <c r="B845" s="2">
        <v>45930</v>
      </c>
      <c r="C845" s="2" t="str">
        <f t="shared" si="65"/>
        <v>September</v>
      </c>
      <c r="D845" t="s">
        <v>204</v>
      </c>
      <c r="E845" t="s">
        <v>426</v>
      </c>
      <c r="F845">
        <v>1</v>
      </c>
      <c r="G845" t="s">
        <v>16</v>
      </c>
      <c r="H845" t="s">
        <v>27</v>
      </c>
      <c r="I845" t="s">
        <v>337</v>
      </c>
      <c r="J845" t="str">
        <f>_xlfn.XLOOKUP(E845, Product_Master!$A$2:$A$101, Product_Master!$C$2:$C$101)</f>
        <v>Electronics</v>
      </c>
      <c r="K845">
        <f>_xlfn.XLOOKUP(E845, Product_Master!$A$2:$A$101, Product_Master!$D$2:$D$101)</f>
        <v>15000</v>
      </c>
      <c r="L845">
        <f>_xlfn.XLOOKUP(E845, Product_Master!$A$2:$A$101, Product_Master!$E$2:$E$101)</f>
        <v>18000</v>
      </c>
      <c r="M845">
        <f t="shared" si="66"/>
        <v>18000</v>
      </c>
      <c r="N845">
        <f t="shared" si="67"/>
        <v>15000</v>
      </c>
      <c r="O845">
        <f t="shared" si="68"/>
        <v>3000</v>
      </c>
      <c r="P845" s="3">
        <f t="shared" si="69"/>
        <v>0.16666666666666666</v>
      </c>
      <c r="Q845" s="3" t="str">
        <v>Low Profit</v>
      </c>
    </row>
    <row r="846" spans="1:17" x14ac:dyDescent="0.3">
      <c r="A846" t="s">
        <v>1293</v>
      </c>
      <c r="B846" s="2">
        <v>46022</v>
      </c>
      <c r="C846" s="2" t="str">
        <f t="shared" si="65"/>
        <v>December</v>
      </c>
      <c r="D846" t="s">
        <v>298</v>
      </c>
      <c r="E846" t="s">
        <v>366</v>
      </c>
      <c r="F846">
        <v>5</v>
      </c>
      <c r="G846" t="s">
        <v>22</v>
      </c>
      <c r="H846" t="s">
        <v>31</v>
      </c>
      <c r="I846" t="s">
        <v>340</v>
      </c>
      <c r="J846" t="str">
        <f>_xlfn.XLOOKUP(E846, Product_Master!$A$2:$A$101, Product_Master!$C$2:$C$101)</f>
        <v>Electronics</v>
      </c>
      <c r="K846">
        <f>_xlfn.XLOOKUP(E846, Product_Master!$A$2:$A$101, Product_Master!$D$2:$D$101)</f>
        <v>42000</v>
      </c>
      <c r="L846">
        <f>_xlfn.XLOOKUP(E846, Product_Master!$A$2:$A$101, Product_Master!$E$2:$E$101)</f>
        <v>50000</v>
      </c>
      <c r="M846">
        <f t="shared" si="66"/>
        <v>250000</v>
      </c>
      <c r="N846">
        <f t="shared" si="67"/>
        <v>210000</v>
      </c>
      <c r="O846">
        <f t="shared" si="68"/>
        <v>40000</v>
      </c>
      <c r="P846" s="3">
        <f t="shared" si="69"/>
        <v>0.16</v>
      </c>
      <c r="Q846" s="3" t="str">
        <v>Low Profit</v>
      </c>
    </row>
    <row r="847" spans="1:17" x14ac:dyDescent="0.3">
      <c r="A847" t="s">
        <v>1294</v>
      </c>
      <c r="B847" s="2">
        <v>45892</v>
      </c>
      <c r="C847" s="2" t="str">
        <f t="shared" si="65"/>
        <v>August</v>
      </c>
      <c r="D847" t="s">
        <v>295</v>
      </c>
      <c r="E847" t="s">
        <v>403</v>
      </c>
      <c r="F847">
        <v>1</v>
      </c>
      <c r="G847" t="s">
        <v>10</v>
      </c>
      <c r="H847" t="s">
        <v>8</v>
      </c>
      <c r="I847" t="s">
        <v>353</v>
      </c>
      <c r="J847" t="str">
        <f>_xlfn.XLOOKUP(E847, Product_Master!$A$2:$A$101, Product_Master!$C$2:$C$101)</f>
        <v>Electronics</v>
      </c>
      <c r="K847">
        <f>_xlfn.XLOOKUP(E847, Product_Master!$A$2:$A$101, Product_Master!$D$2:$D$101)</f>
        <v>12000</v>
      </c>
      <c r="L847">
        <f>_xlfn.XLOOKUP(E847, Product_Master!$A$2:$A$101, Product_Master!$E$2:$E$101)</f>
        <v>15000</v>
      </c>
      <c r="M847">
        <f t="shared" si="66"/>
        <v>15000</v>
      </c>
      <c r="N847">
        <f t="shared" si="67"/>
        <v>12000</v>
      </c>
      <c r="O847">
        <f t="shared" si="68"/>
        <v>3000</v>
      </c>
      <c r="P847" s="3">
        <f t="shared" si="69"/>
        <v>0.2</v>
      </c>
      <c r="Q847" s="3" t="str">
        <v>Low Profit</v>
      </c>
    </row>
    <row r="848" spans="1:17" x14ac:dyDescent="0.3">
      <c r="A848" t="s">
        <v>1295</v>
      </c>
      <c r="B848" s="2">
        <v>45795</v>
      </c>
      <c r="C848" s="2" t="str">
        <f t="shared" si="65"/>
        <v>May</v>
      </c>
      <c r="D848" t="s">
        <v>266</v>
      </c>
      <c r="E848" t="s">
        <v>358</v>
      </c>
      <c r="F848">
        <v>3</v>
      </c>
      <c r="G848" t="s">
        <v>16</v>
      </c>
      <c r="H848" t="s">
        <v>8</v>
      </c>
      <c r="I848" t="s">
        <v>332</v>
      </c>
      <c r="J848" t="str">
        <f>_xlfn.XLOOKUP(E848, Product_Master!$A$2:$A$101, Product_Master!$C$2:$C$101)</f>
        <v>Accessories</v>
      </c>
      <c r="K848">
        <f>_xlfn.XLOOKUP(E848, Product_Master!$A$2:$A$101, Product_Master!$D$2:$D$101)</f>
        <v>500</v>
      </c>
      <c r="L848">
        <f>_xlfn.XLOOKUP(E848, Product_Master!$A$2:$A$101, Product_Master!$E$2:$E$101)</f>
        <v>800</v>
      </c>
      <c r="M848">
        <f t="shared" si="66"/>
        <v>2400</v>
      </c>
      <c r="N848">
        <f t="shared" si="67"/>
        <v>1500</v>
      </c>
      <c r="O848">
        <f t="shared" si="68"/>
        <v>900</v>
      </c>
      <c r="P848" s="3">
        <f t="shared" si="69"/>
        <v>0.375</v>
      </c>
      <c r="Q848" s="3" t="str">
        <v>High Profit</v>
      </c>
    </row>
    <row r="849" spans="1:17" x14ac:dyDescent="0.3">
      <c r="A849" t="s">
        <v>1296</v>
      </c>
      <c r="B849" s="2">
        <v>45669</v>
      </c>
      <c r="C849" s="2" t="str">
        <f t="shared" si="65"/>
        <v>January</v>
      </c>
      <c r="D849" t="s">
        <v>165</v>
      </c>
      <c r="E849" t="s">
        <v>421</v>
      </c>
      <c r="F849">
        <v>1</v>
      </c>
      <c r="G849" t="s">
        <v>22</v>
      </c>
      <c r="H849" t="s">
        <v>17</v>
      </c>
      <c r="I849" t="s">
        <v>337</v>
      </c>
      <c r="J849" t="str">
        <f>_xlfn.XLOOKUP(E849, Product_Master!$A$2:$A$101, Product_Master!$C$2:$C$101)</f>
        <v>Electronics</v>
      </c>
      <c r="K849">
        <f>_xlfn.XLOOKUP(E849, Product_Master!$A$2:$A$101, Product_Master!$D$2:$D$101)</f>
        <v>15000</v>
      </c>
      <c r="L849">
        <f>_xlfn.XLOOKUP(E849, Product_Master!$A$2:$A$101, Product_Master!$E$2:$E$101)</f>
        <v>18000</v>
      </c>
      <c r="M849">
        <f t="shared" si="66"/>
        <v>18000</v>
      </c>
      <c r="N849">
        <f t="shared" si="67"/>
        <v>15000</v>
      </c>
      <c r="O849">
        <f t="shared" si="68"/>
        <v>3000</v>
      </c>
      <c r="P849" s="3">
        <f t="shared" si="69"/>
        <v>0.16666666666666666</v>
      </c>
      <c r="Q849" s="3" t="str">
        <v>Low Profit</v>
      </c>
    </row>
    <row r="850" spans="1:17" x14ac:dyDescent="0.3">
      <c r="A850" t="s">
        <v>1297</v>
      </c>
      <c r="B850" s="2">
        <v>45838</v>
      </c>
      <c r="C850" s="2" t="str">
        <f t="shared" si="65"/>
        <v>June</v>
      </c>
      <c r="D850" t="s">
        <v>60</v>
      </c>
      <c r="E850" t="s">
        <v>376</v>
      </c>
      <c r="F850">
        <v>5</v>
      </c>
      <c r="G850" t="s">
        <v>29</v>
      </c>
      <c r="H850" t="s">
        <v>20</v>
      </c>
      <c r="I850" t="s">
        <v>353</v>
      </c>
      <c r="J850" t="str">
        <f>_xlfn.XLOOKUP(E850, Product_Master!$A$2:$A$101, Product_Master!$C$2:$C$101)</f>
        <v>Electronics</v>
      </c>
      <c r="K850">
        <f>_xlfn.XLOOKUP(E850, Product_Master!$A$2:$A$101, Product_Master!$D$2:$D$101)</f>
        <v>12000</v>
      </c>
      <c r="L850">
        <f>_xlfn.XLOOKUP(E850, Product_Master!$A$2:$A$101, Product_Master!$E$2:$E$101)</f>
        <v>15000</v>
      </c>
      <c r="M850">
        <f t="shared" si="66"/>
        <v>75000</v>
      </c>
      <c r="N850">
        <f t="shared" si="67"/>
        <v>60000</v>
      </c>
      <c r="O850">
        <f t="shared" si="68"/>
        <v>15000</v>
      </c>
      <c r="P850" s="3">
        <f t="shared" si="69"/>
        <v>0.2</v>
      </c>
      <c r="Q850" s="3" t="str">
        <v>Low Profit</v>
      </c>
    </row>
    <row r="851" spans="1:17" x14ac:dyDescent="0.3">
      <c r="A851" t="s">
        <v>1298</v>
      </c>
      <c r="B851" s="2">
        <v>45935</v>
      </c>
      <c r="C851" s="2" t="str">
        <f t="shared" si="65"/>
        <v>October</v>
      </c>
      <c r="D851" t="s">
        <v>197</v>
      </c>
      <c r="E851" t="s">
        <v>348</v>
      </c>
      <c r="F851">
        <v>4</v>
      </c>
      <c r="G851" t="s">
        <v>29</v>
      </c>
      <c r="H851" t="s">
        <v>27</v>
      </c>
      <c r="I851" t="s">
        <v>335</v>
      </c>
      <c r="J851" t="str">
        <f>_xlfn.XLOOKUP(E851, Product_Master!$A$2:$A$101, Product_Master!$C$2:$C$101)</f>
        <v>Accessories</v>
      </c>
      <c r="K851">
        <f>_xlfn.XLOOKUP(E851, Product_Master!$A$2:$A$101, Product_Master!$D$2:$D$101)</f>
        <v>900</v>
      </c>
      <c r="L851">
        <f>_xlfn.XLOOKUP(E851, Product_Master!$A$2:$A$101, Product_Master!$E$2:$E$101)</f>
        <v>1500</v>
      </c>
      <c r="M851">
        <f t="shared" si="66"/>
        <v>6000</v>
      </c>
      <c r="N851">
        <f t="shared" si="67"/>
        <v>3600</v>
      </c>
      <c r="O851">
        <f t="shared" si="68"/>
        <v>2400</v>
      </c>
      <c r="P851" s="3">
        <f t="shared" si="69"/>
        <v>0.4</v>
      </c>
      <c r="Q851" s="3" t="str">
        <v>High Profit</v>
      </c>
    </row>
    <row r="852" spans="1:17" x14ac:dyDescent="0.3">
      <c r="A852" t="s">
        <v>1299</v>
      </c>
      <c r="B852" s="2">
        <v>46007</v>
      </c>
      <c r="C852" s="2" t="str">
        <f t="shared" si="65"/>
        <v>December</v>
      </c>
      <c r="D852" t="s">
        <v>18</v>
      </c>
      <c r="E852" t="s">
        <v>375</v>
      </c>
      <c r="F852">
        <v>4</v>
      </c>
      <c r="G852" t="s">
        <v>19</v>
      </c>
      <c r="H852" t="s">
        <v>20</v>
      </c>
      <c r="I852" t="s">
        <v>329</v>
      </c>
      <c r="J852" t="str">
        <f>_xlfn.XLOOKUP(E852, Product_Master!$A$2:$A$101, Product_Master!$C$2:$C$101)</f>
        <v>Electronics</v>
      </c>
      <c r="K852">
        <f>_xlfn.XLOOKUP(E852, Product_Master!$A$2:$A$101, Product_Master!$D$2:$D$101)</f>
        <v>20000</v>
      </c>
      <c r="L852">
        <f>_xlfn.XLOOKUP(E852, Product_Master!$A$2:$A$101, Product_Master!$E$2:$E$101)</f>
        <v>25000</v>
      </c>
      <c r="M852">
        <f t="shared" si="66"/>
        <v>100000</v>
      </c>
      <c r="N852">
        <f t="shared" si="67"/>
        <v>80000</v>
      </c>
      <c r="O852">
        <f t="shared" si="68"/>
        <v>20000</v>
      </c>
      <c r="P852" s="3">
        <f t="shared" si="69"/>
        <v>0.2</v>
      </c>
      <c r="Q852" s="3" t="str">
        <v>Low Profit</v>
      </c>
    </row>
    <row r="853" spans="1:17" x14ac:dyDescent="0.3">
      <c r="A853" t="s">
        <v>1300</v>
      </c>
      <c r="B853" s="2">
        <v>45779</v>
      </c>
      <c r="C853" s="2" t="str">
        <f t="shared" si="65"/>
        <v>May</v>
      </c>
      <c r="D853" t="s">
        <v>41</v>
      </c>
      <c r="E853" t="s">
        <v>359</v>
      </c>
      <c r="F853">
        <v>1</v>
      </c>
      <c r="G853" t="s">
        <v>37</v>
      </c>
      <c r="H853" t="s">
        <v>31</v>
      </c>
      <c r="I853" t="s">
        <v>329</v>
      </c>
      <c r="J853" t="str">
        <f>_xlfn.XLOOKUP(E853, Product_Master!$A$2:$A$101, Product_Master!$C$2:$C$101)</f>
        <v>Electronics</v>
      </c>
      <c r="K853">
        <f>_xlfn.XLOOKUP(E853, Product_Master!$A$2:$A$101, Product_Master!$D$2:$D$101)</f>
        <v>20000</v>
      </c>
      <c r="L853">
        <f>_xlfn.XLOOKUP(E853, Product_Master!$A$2:$A$101, Product_Master!$E$2:$E$101)</f>
        <v>25000</v>
      </c>
      <c r="M853">
        <f t="shared" si="66"/>
        <v>25000</v>
      </c>
      <c r="N853">
        <f t="shared" si="67"/>
        <v>20000</v>
      </c>
      <c r="O853">
        <f t="shared" si="68"/>
        <v>5000</v>
      </c>
      <c r="P853" s="3">
        <f t="shared" si="69"/>
        <v>0.2</v>
      </c>
      <c r="Q853" s="3" t="str">
        <v>Low Profit</v>
      </c>
    </row>
    <row r="854" spans="1:17" x14ac:dyDescent="0.3">
      <c r="A854" t="s">
        <v>1301</v>
      </c>
      <c r="B854" s="2">
        <v>45956</v>
      </c>
      <c r="C854" s="2" t="str">
        <f t="shared" si="65"/>
        <v>October</v>
      </c>
      <c r="D854" t="s">
        <v>216</v>
      </c>
      <c r="E854" t="s">
        <v>384</v>
      </c>
      <c r="F854">
        <v>1</v>
      </c>
      <c r="G854" t="s">
        <v>12</v>
      </c>
      <c r="H854" t="s">
        <v>1455</v>
      </c>
      <c r="I854" t="s">
        <v>353</v>
      </c>
      <c r="J854" t="str">
        <f>_xlfn.XLOOKUP(E854, Product_Master!$A$2:$A$101, Product_Master!$C$2:$C$101)</f>
        <v>Electronics</v>
      </c>
      <c r="K854">
        <f>_xlfn.XLOOKUP(E854, Product_Master!$A$2:$A$101, Product_Master!$D$2:$D$101)</f>
        <v>12000</v>
      </c>
      <c r="L854">
        <f>_xlfn.XLOOKUP(E854, Product_Master!$A$2:$A$101, Product_Master!$E$2:$E$101)</f>
        <v>15000</v>
      </c>
      <c r="M854">
        <f t="shared" si="66"/>
        <v>15000</v>
      </c>
      <c r="N854">
        <f t="shared" si="67"/>
        <v>12000</v>
      </c>
      <c r="O854">
        <f t="shared" si="68"/>
        <v>3000</v>
      </c>
      <c r="P854" s="3">
        <f t="shared" si="69"/>
        <v>0.2</v>
      </c>
      <c r="Q854" s="3" t="str">
        <v>Low Profit</v>
      </c>
    </row>
    <row r="855" spans="1:17" x14ac:dyDescent="0.3">
      <c r="A855" t="s">
        <v>1302</v>
      </c>
      <c r="B855" s="2">
        <v>45711</v>
      </c>
      <c r="C855" s="2" t="str">
        <f t="shared" si="65"/>
        <v>February</v>
      </c>
      <c r="D855" t="s">
        <v>215</v>
      </c>
      <c r="E855" t="s">
        <v>425</v>
      </c>
      <c r="F855">
        <v>4</v>
      </c>
      <c r="G855" t="s">
        <v>45</v>
      </c>
      <c r="H855" t="s">
        <v>8</v>
      </c>
      <c r="I855" t="s">
        <v>337</v>
      </c>
      <c r="J855" t="str">
        <f>_xlfn.XLOOKUP(E855, Product_Master!$A$2:$A$101, Product_Master!$C$2:$C$101)</f>
        <v>Electronics</v>
      </c>
      <c r="K855">
        <f>_xlfn.XLOOKUP(E855, Product_Master!$A$2:$A$101, Product_Master!$D$2:$D$101)</f>
        <v>15000</v>
      </c>
      <c r="L855">
        <f>_xlfn.XLOOKUP(E855, Product_Master!$A$2:$A$101, Product_Master!$E$2:$E$101)</f>
        <v>18000</v>
      </c>
      <c r="M855">
        <f t="shared" si="66"/>
        <v>72000</v>
      </c>
      <c r="N855">
        <f t="shared" si="67"/>
        <v>60000</v>
      </c>
      <c r="O855">
        <f t="shared" si="68"/>
        <v>12000</v>
      </c>
      <c r="P855" s="3">
        <f t="shared" si="69"/>
        <v>0.16666666666666666</v>
      </c>
      <c r="Q855" s="3" t="str">
        <v>Low Profit</v>
      </c>
    </row>
    <row r="856" spans="1:17" x14ac:dyDescent="0.3">
      <c r="A856" t="s">
        <v>1303</v>
      </c>
      <c r="B856" s="2">
        <v>45921</v>
      </c>
      <c r="C856" s="2" t="str">
        <f t="shared" si="65"/>
        <v>September</v>
      </c>
      <c r="D856" t="s">
        <v>301</v>
      </c>
      <c r="E856" t="s">
        <v>393</v>
      </c>
      <c r="F856">
        <v>4</v>
      </c>
      <c r="G856" t="s">
        <v>22</v>
      </c>
      <c r="H856" t="s">
        <v>5</v>
      </c>
      <c r="I856" t="s">
        <v>344</v>
      </c>
      <c r="J856" t="str">
        <f>_xlfn.XLOOKUP(E856, Product_Master!$A$2:$A$101, Product_Master!$C$2:$C$101)</f>
        <v>Accessories</v>
      </c>
      <c r="K856">
        <f>_xlfn.XLOOKUP(E856, Product_Master!$A$2:$A$101, Product_Master!$D$2:$D$101)</f>
        <v>2000</v>
      </c>
      <c r="L856">
        <f>_xlfn.XLOOKUP(E856, Product_Master!$A$2:$A$101, Product_Master!$E$2:$E$101)</f>
        <v>3000</v>
      </c>
      <c r="M856">
        <f t="shared" si="66"/>
        <v>12000</v>
      </c>
      <c r="N856">
        <f t="shared" si="67"/>
        <v>8000</v>
      </c>
      <c r="O856">
        <f t="shared" si="68"/>
        <v>4000</v>
      </c>
      <c r="P856" s="3">
        <f t="shared" si="69"/>
        <v>0.33333333333333331</v>
      </c>
      <c r="Q856" s="3" t="str">
        <v>High Profit</v>
      </c>
    </row>
    <row r="857" spans="1:17" x14ac:dyDescent="0.3">
      <c r="A857" t="s">
        <v>1304</v>
      </c>
      <c r="B857" s="2">
        <v>45840</v>
      </c>
      <c r="C857" s="2" t="str">
        <f t="shared" si="65"/>
        <v>July</v>
      </c>
      <c r="D857" t="s">
        <v>254</v>
      </c>
      <c r="E857" t="s">
        <v>343</v>
      </c>
      <c r="F857">
        <v>4</v>
      </c>
      <c r="G857" t="s">
        <v>24</v>
      </c>
      <c r="H857" t="s">
        <v>20</v>
      </c>
      <c r="I857" t="s">
        <v>344</v>
      </c>
      <c r="J857" t="str">
        <f>_xlfn.XLOOKUP(E857, Product_Master!$A$2:$A$101, Product_Master!$C$2:$C$101)</f>
        <v>Accessories</v>
      </c>
      <c r="K857">
        <f>_xlfn.XLOOKUP(E857, Product_Master!$A$2:$A$101, Product_Master!$D$2:$D$101)</f>
        <v>2000</v>
      </c>
      <c r="L857">
        <f>_xlfn.XLOOKUP(E857, Product_Master!$A$2:$A$101, Product_Master!$E$2:$E$101)</f>
        <v>3000</v>
      </c>
      <c r="M857">
        <f t="shared" si="66"/>
        <v>12000</v>
      </c>
      <c r="N857">
        <f t="shared" si="67"/>
        <v>8000</v>
      </c>
      <c r="O857">
        <f t="shared" si="68"/>
        <v>4000</v>
      </c>
      <c r="P857" s="3">
        <f t="shared" si="69"/>
        <v>0.33333333333333331</v>
      </c>
      <c r="Q857" s="3" t="str">
        <v>High Profit</v>
      </c>
    </row>
    <row r="858" spans="1:17" x14ac:dyDescent="0.3">
      <c r="A858" t="s">
        <v>1305</v>
      </c>
      <c r="B858" s="2">
        <v>45927</v>
      </c>
      <c r="C858" s="2" t="str">
        <f t="shared" si="65"/>
        <v>September</v>
      </c>
      <c r="D858" t="s">
        <v>3</v>
      </c>
      <c r="E858" t="s">
        <v>413</v>
      </c>
      <c r="F858">
        <v>1</v>
      </c>
      <c r="G858" t="s">
        <v>4</v>
      </c>
      <c r="H858" t="s">
        <v>5</v>
      </c>
      <c r="I858" t="s">
        <v>340</v>
      </c>
      <c r="J858" t="str">
        <f>_xlfn.XLOOKUP(E858, Product_Master!$A$2:$A$101, Product_Master!$C$2:$C$101)</f>
        <v>Electronics</v>
      </c>
      <c r="K858">
        <f>_xlfn.XLOOKUP(E858, Product_Master!$A$2:$A$101, Product_Master!$D$2:$D$101)</f>
        <v>42000</v>
      </c>
      <c r="L858">
        <f>_xlfn.XLOOKUP(E858, Product_Master!$A$2:$A$101, Product_Master!$E$2:$E$101)</f>
        <v>50000</v>
      </c>
      <c r="M858">
        <f t="shared" si="66"/>
        <v>50000</v>
      </c>
      <c r="N858">
        <f t="shared" si="67"/>
        <v>42000</v>
      </c>
      <c r="O858">
        <f t="shared" si="68"/>
        <v>8000</v>
      </c>
      <c r="P858" s="3">
        <f t="shared" si="69"/>
        <v>0.16</v>
      </c>
      <c r="Q858" s="3" t="str">
        <v>Low Profit</v>
      </c>
    </row>
    <row r="859" spans="1:17" x14ac:dyDescent="0.3">
      <c r="A859" t="s">
        <v>1306</v>
      </c>
      <c r="B859" s="2">
        <v>45814</v>
      </c>
      <c r="C859" s="2" t="str">
        <f t="shared" si="65"/>
        <v>June</v>
      </c>
      <c r="D859" t="s">
        <v>284</v>
      </c>
      <c r="E859" t="s">
        <v>409</v>
      </c>
      <c r="F859">
        <v>5</v>
      </c>
      <c r="G859" t="s">
        <v>7</v>
      </c>
      <c r="H859" t="s">
        <v>5</v>
      </c>
      <c r="I859" t="s">
        <v>340</v>
      </c>
      <c r="J859" t="str">
        <f>_xlfn.XLOOKUP(E859, Product_Master!$A$2:$A$101, Product_Master!$C$2:$C$101)</f>
        <v>Electronics</v>
      </c>
      <c r="K859">
        <f>_xlfn.XLOOKUP(E859, Product_Master!$A$2:$A$101, Product_Master!$D$2:$D$101)</f>
        <v>42000</v>
      </c>
      <c r="L859">
        <f>_xlfn.XLOOKUP(E859, Product_Master!$A$2:$A$101, Product_Master!$E$2:$E$101)</f>
        <v>50000</v>
      </c>
      <c r="M859">
        <f t="shared" si="66"/>
        <v>250000</v>
      </c>
      <c r="N859">
        <f t="shared" si="67"/>
        <v>210000</v>
      </c>
      <c r="O859">
        <f t="shared" si="68"/>
        <v>40000</v>
      </c>
      <c r="P859" s="3">
        <f t="shared" si="69"/>
        <v>0.16</v>
      </c>
      <c r="Q859" s="3" t="str">
        <v>Low Profit</v>
      </c>
    </row>
    <row r="860" spans="1:17" x14ac:dyDescent="0.3">
      <c r="A860" t="s">
        <v>1307</v>
      </c>
      <c r="B860" s="2">
        <v>45988</v>
      </c>
      <c r="C860" s="2" t="str">
        <f t="shared" si="65"/>
        <v>November</v>
      </c>
      <c r="D860" t="s">
        <v>299</v>
      </c>
      <c r="E860" t="s">
        <v>331</v>
      </c>
      <c r="F860">
        <v>2</v>
      </c>
      <c r="G860" t="s">
        <v>7</v>
      </c>
      <c r="H860" t="s">
        <v>39</v>
      </c>
      <c r="I860" t="s">
        <v>332</v>
      </c>
      <c r="J860" t="str">
        <f>_xlfn.XLOOKUP(E860, Product_Master!$A$2:$A$101, Product_Master!$C$2:$C$101)</f>
        <v>Accessories</v>
      </c>
      <c r="K860">
        <f>_xlfn.XLOOKUP(E860, Product_Master!$A$2:$A$101, Product_Master!$D$2:$D$101)</f>
        <v>500</v>
      </c>
      <c r="L860">
        <f>_xlfn.XLOOKUP(E860, Product_Master!$A$2:$A$101, Product_Master!$E$2:$E$101)</f>
        <v>800</v>
      </c>
      <c r="M860">
        <f t="shared" si="66"/>
        <v>1600</v>
      </c>
      <c r="N860">
        <f t="shared" si="67"/>
        <v>1000</v>
      </c>
      <c r="O860">
        <f t="shared" si="68"/>
        <v>600</v>
      </c>
      <c r="P860" s="3">
        <f t="shared" si="69"/>
        <v>0.375</v>
      </c>
      <c r="Q860" s="3" t="str">
        <v>High Profit</v>
      </c>
    </row>
    <row r="861" spans="1:17" x14ac:dyDescent="0.3">
      <c r="A861" t="s">
        <v>1308</v>
      </c>
      <c r="B861" s="2">
        <v>45875</v>
      </c>
      <c r="C861" s="2" t="str">
        <f t="shared" si="65"/>
        <v>August</v>
      </c>
      <c r="D861" t="s">
        <v>459</v>
      </c>
      <c r="E861" t="s">
        <v>432</v>
      </c>
      <c r="F861">
        <v>1</v>
      </c>
      <c r="G861" t="s">
        <v>1454</v>
      </c>
      <c r="H861" t="s">
        <v>1455</v>
      </c>
      <c r="I861" t="s">
        <v>344</v>
      </c>
      <c r="J861" t="str">
        <f>_xlfn.XLOOKUP(E861, Product_Master!$A$2:$A$101, Product_Master!$C$2:$C$101)</f>
        <v>Accessories</v>
      </c>
      <c r="K861">
        <f>_xlfn.XLOOKUP(E861, Product_Master!$A$2:$A$101, Product_Master!$D$2:$D$101)</f>
        <v>2000</v>
      </c>
      <c r="L861">
        <f>_xlfn.XLOOKUP(E861, Product_Master!$A$2:$A$101, Product_Master!$E$2:$E$101)</f>
        <v>3000</v>
      </c>
      <c r="M861">
        <f t="shared" si="66"/>
        <v>3000</v>
      </c>
      <c r="N861">
        <f t="shared" si="67"/>
        <v>2000</v>
      </c>
      <c r="O861">
        <f t="shared" si="68"/>
        <v>1000</v>
      </c>
      <c r="P861" s="3">
        <f t="shared" si="69"/>
        <v>0.33333333333333331</v>
      </c>
      <c r="Q861" s="3" t="str">
        <v>High Profit</v>
      </c>
    </row>
    <row r="862" spans="1:17" x14ac:dyDescent="0.3">
      <c r="A862" t="s">
        <v>1309</v>
      </c>
      <c r="B862" s="2">
        <v>45978</v>
      </c>
      <c r="C862" s="2" t="str">
        <f t="shared" si="65"/>
        <v>November</v>
      </c>
      <c r="D862" t="s">
        <v>120</v>
      </c>
      <c r="E862" t="s">
        <v>367</v>
      </c>
      <c r="F862">
        <v>5</v>
      </c>
      <c r="G862" t="s">
        <v>19</v>
      </c>
      <c r="H862" t="s">
        <v>1455</v>
      </c>
      <c r="I862" t="s">
        <v>344</v>
      </c>
      <c r="J862" t="str">
        <f>_xlfn.XLOOKUP(E862, Product_Master!$A$2:$A$101, Product_Master!$C$2:$C$101)</f>
        <v>Accessories</v>
      </c>
      <c r="K862">
        <f>_xlfn.XLOOKUP(E862, Product_Master!$A$2:$A$101, Product_Master!$D$2:$D$101)</f>
        <v>2000</v>
      </c>
      <c r="L862">
        <f>_xlfn.XLOOKUP(E862, Product_Master!$A$2:$A$101, Product_Master!$E$2:$E$101)</f>
        <v>3000</v>
      </c>
      <c r="M862">
        <f t="shared" si="66"/>
        <v>15000</v>
      </c>
      <c r="N862">
        <f t="shared" si="67"/>
        <v>10000</v>
      </c>
      <c r="O862">
        <f t="shared" si="68"/>
        <v>5000</v>
      </c>
      <c r="P862" s="3">
        <f t="shared" si="69"/>
        <v>0.33333333333333331</v>
      </c>
      <c r="Q862" s="3" t="str">
        <v>High Profit</v>
      </c>
    </row>
    <row r="863" spans="1:17" x14ac:dyDescent="0.3">
      <c r="A863" t="s">
        <v>1310</v>
      </c>
      <c r="B863" s="2">
        <v>45941</v>
      </c>
      <c r="C863" s="2" t="str">
        <f t="shared" si="65"/>
        <v>October</v>
      </c>
      <c r="D863" t="s">
        <v>62</v>
      </c>
      <c r="E863" t="s">
        <v>403</v>
      </c>
      <c r="F863">
        <v>2</v>
      </c>
      <c r="G863" t="s">
        <v>37</v>
      </c>
      <c r="H863" t="s">
        <v>8</v>
      </c>
      <c r="I863" t="s">
        <v>353</v>
      </c>
      <c r="J863" t="str">
        <f>_xlfn.XLOOKUP(E863, Product_Master!$A$2:$A$101, Product_Master!$C$2:$C$101)</f>
        <v>Electronics</v>
      </c>
      <c r="K863">
        <f>_xlfn.XLOOKUP(E863, Product_Master!$A$2:$A$101, Product_Master!$D$2:$D$101)</f>
        <v>12000</v>
      </c>
      <c r="L863">
        <f>_xlfn.XLOOKUP(E863, Product_Master!$A$2:$A$101, Product_Master!$E$2:$E$101)</f>
        <v>15000</v>
      </c>
      <c r="M863">
        <f t="shared" si="66"/>
        <v>30000</v>
      </c>
      <c r="N863">
        <f t="shared" si="67"/>
        <v>24000</v>
      </c>
      <c r="O863">
        <f t="shared" si="68"/>
        <v>6000</v>
      </c>
      <c r="P863" s="3">
        <f t="shared" si="69"/>
        <v>0.2</v>
      </c>
      <c r="Q863" s="3" t="str">
        <v>Low Profit</v>
      </c>
    </row>
    <row r="864" spans="1:17" x14ac:dyDescent="0.3">
      <c r="A864" t="s">
        <v>1311</v>
      </c>
      <c r="B864" s="2">
        <v>45988</v>
      </c>
      <c r="C864" s="2" t="str">
        <f t="shared" si="65"/>
        <v>November</v>
      </c>
      <c r="D864" t="s">
        <v>177</v>
      </c>
      <c r="E864" t="s">
        <v>422</v>
      </c>
      <c r="F864">
        <v>4</v>
      </c>
      <c r="G864" t="s">
        <v>22</v>
      </c>
      <c r="H864" t="s">
        <v>27</v>
      </c>
      <c r="I864" t="s">
        <v>332</v>
      </c>
      <c r="J864" t="str">
        <f>_xlfn.XLOOKUP(E864, Product_Master!$A$2:$A$101, Product_Master!$C$2:$C$101)</f>
        <v>Accessories</v>
      </c>
      <c r="K864">
        <f>_xlfn.XLOOKUP(E864, Product_Master!$A$2:$A$101, Product_Master!$D$2:$D$101)</f>
        <v>500</v>
      </c>
      <c r="L864">
        <f>_xlfn.XLOOKUP(E864, Product_Master!$A$2:$A$101, Product_Master!$E$2:$E$101)</f>
        <v>800</v>
      </c>
      <c r="M864">
        <f t="shared" si="66"/>
        <v>3200</v>
      </c>
      <c r="N864">
        <f t="shared" si="67"/>
        <v>2000</v>
      </c>
      <c r="O864">
        <f t="shared" si="68"/>
        <v>1200</v>
      </c>
      <c r="P864" s="3">
        <f t="shared" si="69"/>
        <v>0.375</v>
      </c>
      <c r="Q864" s="3" t="str">
        <v>High Profit</v>
      </c>
    </row>
    <row r="865" spans="1:17" x14ac:dyDescent="0.3">
      <c r="A865" t="s">
        <v>1312</v>
      </c>
      <c r="B865" s="2">
        <v>45931</v>
      </c>
      <c r="C865" s="2" t="str">
        <f t="shared" si="65"/>
        <v>October</v>
      </c>
      <c r="D865" t="s">
        <v>151</v>
      </c>
      <c r="E865" t="s">
        <v>396</v>
      </c>
      <c r="F865">
        <v>2</v>
      </c>
      <c r="G865" t="s">
        <v>22</v>
      </c>
      <c r="H865" t="s">
        <v>39</v>
      </c>
      <c r="I865" t="s">
        <v>335</v>
      </c>
      <c r="J865" t="str">
        <f>_xlfn.XLOOKUP(E865, Product_Master!$A$2:$A$101, Product_Master!$C$2:$C$101)</f>
        <v>Accessories</v>
      </c>
      <c r="K865">
        <f>_xlfn.XLOOKUP(E865, Product_Master!$A$2:$A$101, Product_Master!$D$2:$D$101)</f>
        <v>900</v>
      </c>
      <c r="L865">
        <f>_xlfn.XLOOKUP(E865, Product_Master!$A$2:$A$101, Product_Master!$E$2:$E$101)</f>
        <v>1500</v>
      </c>
      <c r="M865">
        <f t="shared" si="66"/>
        <v>3000</v>
      </c>
      <c r="N865">
        <f t="shared" si="67"/>
        <v>1800</v>
      </c>
      <c r="O865">
        <f t="shared" si="68"/>
        <v>1200</v>
      </c>
      <c r="P865" s="3">
        <f t="shared" si="69"/>
        <v>0.4</v>
      </c>
      <c r="Q865" s="3" t="str">
        <v>High Profit</v>
      </c>
    </row>
    <row r="866" spans="1:17" x14ac:dyDescent="0.3">
      <c r="A866" t="s">
        <v>1313</v>
      </c>
      <c r="B866" s="2">
        <v>45808</v>
      </c>
      <c r="C866" s="2" t="str">
        <f t="shared" si="65"/>
        <v>May</v>
      </c>
      <c r="D866" t="s">
        <v>196</v>
      </c>
      <c r="E866" t="s">
        <v>376</v>
      </c>
      <c r="F866">
        <v>5</v>
      </c>
      <c r="G866" t="s">
        <v>37</v>
      </c>
      <c r="H866" t="s">
        <v>5</v>
      </c>
      <c r="I866" t="s">
        <v>353</v>
      </c>
      <c r="J866" t="str">
        <f>_xlfn.XLOOKUP(E866, Product_Master!$A$2:$A$101, Product_Master!$C$2:$C$101)</f>
        <v>Electronics</v>
      </c>
      <c r="K866">
        <f>_xlfn.XLOOKUP(E866, Product_Master!$A$2:$A$101, Product_Master!$D$2:$D$101)</f>
        <v>12000</v>
      </c>
      <c r="L866">
        <f>_xlfn.XLOOKUP(E866, Product_Master!$A$2:$A$101, Product_Master!$E$2:$E$101)</f>
        <v>15000</v>
      </c>
      <c r="M866">
        <f t="shared" si="66"/>
        <v>75000</v>
      </c>
      <c r="N866">
        <f t="shared" si="67"/>
        <v>60000</v>
      </c>
      <c r="O866">
        <f t="shared" si="68"/>
        <v>15000</v>
      </c>
      <c r="P866" s="3">
        <f t="shared" si="69"/>
        <v>0.2</v>
      </c>
      <c r="Q866" s="3" t="str">
        <v>Low Profit</v>
      </c>
    </row>
    <row r="867" spans="1:17" x14ac:dyDescent="0.3">
      <c r="A867" t="s">
        <v>1314</v>
      </c>
      <c r="B867" s="2">
        <v>45775</v>
      </c>
      <c r="C867" s="2" t="str">
        <f t="shared" si="65"/>
        <v>April</v>
      </c>
      <c r="D867" t="s">
        <v>459</v>
      </c>
      <c r="E867" t="s">
        <v>383</v>
      </c>
      <c r="F867">
        <v>5</v>
      </c>
      <c r="G867" t="s">
        <v>1454</v>
      </c>
      <c r="H867" t="s">
        <v>1455</v>
      </c>
      <c r="I867" t="s">
        <v>335</v>
      </c>
      <c r="J867" t="str">
        <f>_xlfn.XLOOKUP(E867, Product_Master!$A$2:$A$101, Product_Master!$C$2:$C$101)</f>
        <v>Accessories</v>
      </c>
      <c r="K867">
        <f>_xlfn.XLOOKUP(E867, Product_Master!$A$2:$A$101, Product_Master!$D$2:$D$101)</f>
        <v>900</v>
      </c>
      <c r="L867">
        <f>_xlfn.XLOOKUP(E867, Product_Master!$A$2:$A$101, Product_Master!$E$2:$E$101)</f>
        <v>1500</v>
      </c>
      <c r="M867">
        <f t="shared" si="66"/>
        <v>7500</v>
      </c>
      <c r="N867">
        <f t="shared" si="67"/>
        <v>4500</v>
      </c>
      <c r="O867">
        <f t="shared" si="68"/>
        <v>3000</v>
      </c>
      <c r="P867" s="3">
        <f t="shared" si="69"/>
        <v>0.4</v>
      </c>
      <c r="Q867" s="3" t="str">
        <v>High Profit</v>
      </c>
    </row>
    <row r="868" spans="1:17" x14ac:dyDescent="0.3">
      <c r="A868" t="s">
        <v>1315</v>
      </c>
      <c r="B868" s="2">
        <v>45658</v>
      </c>
      <c r="C868" s="2" t="str">
        <f t="shared" si="65"/>
        <v>January</v>
      </c>
      <c r="D868" t="s">
        <v>127</v>
      </c>
      <c r="E868" t="s">
        <v>366</v>
      </c>
      <c r="F868">
        <v>5</v>
      </c>
      <c r="G868" t="s">
        <v>37</v>
      </c>
      <c r="H868" t="s">
        <v>17</v>
      </c>
      <c r="I868" t="s">
        <v>340</v>
      </c>
      <c r="J868" t="str">
        <f>_xlfn.XLOOKUP(E868, Product_Master!$A$2:$A$101, Product_Master!$C$2:$C$101)</f>
        <v>Electronics</v>
      </c>
      <c r="K868">
        <f>_xlfn.XLOOKUP(E868, Product_Master!$A$2:$A$101, Product_Master!$D$2:$D$101)</f>
        <v>42000</v>
      </c>
      <c r="L868">
        <f>_xlfn.XLOOKUP(E868, Product_Master!$A$2:$A$101, Product_Master!$E$2:$E$101)</f>
        <v>50000</v>
      </c>
      <c r="M868">
        <f t="shared" si="66"/>
        <v>250000</v>
      </c>
      <c r="N868">
        <f t="shared" si="67"/>
        <v>210000</v>
      </c>
      <c r="O868">
        <f t="shared" si="68"/>
        <v>40000</v>
      </c>
      <c r="P868" s="3">
        <f t="shared" si="69"/>
        <v>0.16</v>
      </c>
      <c r="Q868" s="3" t="str">
        <v>Low Profit</v>
      </c>
    </row>
    <row r="869" spans="1:17" x14ac:dyDescent="0.3">
      <c r="A869" t="s">
        <v>1316</v>
      </c>
      <c r="B869" s="2">
        <v>45787</v>
      </c>
      <c r="C869" s="2" t="str">
        <f t="shared" si="65"/>
        <v>May</v>
      </c>
      <c r="D869" t="s">
        <v>313</v>
      </c>
      <c r="E869" t="s">
        <v>427</v>
      </c>
      <c r="F869">
        <v>2</v>
      </c>
      <c r="G869" t="s">
        <v>4</v>
      </c>
      <c r="H869" t="s">
        <v>8</v>
      </c>
      <c r="I869" t="s">
        <v>329</v>
      </c>
      <c r="J869" t="str">
        <f>_xlfn.XLOOKUP(E869, Product_Master!$A$2:$A$101, Product_Master!$C$2:$C$101)</f>
        <v>Electronics</v>
      </c>
      <c r="K869">
        <f>_xlfn.XLOOKUP(E869, Product_Master!$A$2:$A$101, Product_Master!$D$2:$D$101)</f>
        <v>20000</v>
      </c>
      <c r="L869">
        <f>_xlfn.XLOOKUP(E869, Product_Master!$A$2:$A$101, Product_Master!$E$2:$E$101)</f>
        <v>25000</v>
      </c>
      <c r="M869">
        <f t="shared" si="66"/>
        <v>50000</v>
      </c>
      <c r="N869">
        <f t="shared" si="67"/>
        <v>40000</v>
      </c>
      <c r="O869">
        <f t="shared" si="68"/>
        <v>10000</v>
      </c>
      <c r="P869" s="3">
        <f t="shared" si="69"/>
        <v>0.2</v>
      </c>
      <c r="Q869" s="3" t="str">
        <v>Low Profit</v>
      </c>
    </row>
    <row r="870" spans="1:17" x14ac:dyDescent="0.3">
      <c r="A870" t="s">
        <v>1317</v>
      </c>
      <c r="B870" s="2">
        <v>45988</v>
      </c>
      <c r="C870" s="2" t="str">
        <f t="shared" si="65"/>
        <v>November</v>
      </c>
      <c r="D870" t="s">
        <v>199</v>
      </c>
      <c r="E870" t="s">
        <v>428</v>
      </c>
      <c r="F870">
        <v>3</v>
      </c>
      <c r="G870" t="s">
        <v>7</v>
      </c>
      <c r="H870" t="s">
        <v>14</v>
      </c>
      <c r="I870" t="s">
        <v>335</v>
      </c>
      <c r="J870" t="str">
        <f>_xlfn.XLOOKUP(E870, Product_Master!$A$2:$A$101, Product_Master!$C$2:$C$101)</f>
        <v>Accessories</v>
      </c>
      <c r="K870">
        <f>_xlfn.XLOOKUP(E870, Product_Master!$A$2:$A$101, Product_Master!$D$2:$D$101)</f>
        <v>900</v>
      </c>
      <c r="L870">
        <f>_xlfn.XLOOKUP(E870, Product_Master!$A$2:$A$101, Product_Master!$E$2:$E$101)</f>
        <v>1500</v>
      </c>
      <c r="M870">
        <f t="shared" si="66"/>
        <v>4500</v>
      </c>
      <c r="N870">
        <f t="shared" si="67"/>
        <v>2700</v>
      </c>
      <c r="O870">
        <f t="shared" si="68"/>
        <v>1800</v>
      </c>
      <c r="P870" s="3">
        <f t="shared" si="69"/>
        <v>0.4</v>
      </c>
      <c r="Q870" s="3" t="str">
        <v>High Profit</v>
      </c>
    </row>
    <row r="871" spans="1:17" x14ac:dyDescent="0.3">
      <c r="A871" t="s">
        <v>1318</v>
      </c>
      <c r="B871" s="2">
        <v>45959</v>
      </c>
      <c r="C871" s="2" t="str">
        <f t="shared" si="65"/>
        <v>October</v>
      </c>
      <c r="D871" t="s">
        <v>179</v>
      </c>
      <c r="E871" t="s">
        <v>415</v>
      </c>
      <c r="F871">
        <v>5</v>
      </c>
      <c r="G871" t="s">
        <v>4</v>
      </c>
      <c r="H871" t="s">
        <v>27</v>
      </c>
      <c r="I871" t="s">
        <v>329</v>
      </c>
      <c r="J871" t="str">
        <f>_xlfn.XLOOKUP(E871, Product_Master!$A$2:$A$101, Product_Master!$C$2:$C$101)</f>
        <v>Electronics</v>
      </c>
      <c r="K871">
        <f>_xlfn.XLOOKUP(E871, Product_Master!$A$2:$A$101, Product_Master!$D$2:$D$101)</f>
        <v>20000</v>
      </c>
      <c r="L871">
        <f>_xlfn.XLOOKUP(E871, Product_Master!$A$2:$A$101, Product_Master!$E$2:$E$101)</f>
        <v>25000</v>
      </c>
      <c r="M871">
        <f t="shared" si="66"/>
        <v>125000</v>
      </c>
      <c r="N871">
        <f t="shared" si="67"/>
        <v>100000</v>
      </c>
      <c r="O871">
        <f t="shared" si="68"/>
        <v>25000</v>
      </c>
      <c r="P871" s="3">
        <f t="shared" si="69"/>
        <v>0.2</v>
      </c>
      <c r="Q871" s="3" t="str">
        <v>Low Profit</v>
      </c>
    </row>
    <row r="872" spans="1:17" x14ac:dyDescent="0.3">
      <c r="A872" t="s">
        <v>1319</v>
      </c>
      <c r="B872" s="2">
        <v>45808</v>
      </c>
      <c r="C872" s="2" t="str">
        <f t="shared" si="65"/>
        <v>May</v>
      </c>
      <c r="D872" t="s">
        <v>50</v>
      </c>
      <c r="E872" t="s">
        <v>351</v>
      </c>
      <c r="F872">
        <v>2</v>
      </c>
      <c r="G872" t="s">
        <v>16</v>
      </c>
      <c r="H872" t="s">
        <v>8</v>
      </c>
      <c r="I872" t="s">
        <v>332</v>
      </c>
      <c r="J872" t="str">
        <f>_xlfn.XLOOKUP(E872, Product_Master!$A$2:$A$101, Product_Master!$C$2:$C$101)</f>
        <v>Accessories</v>
      </c>
      <c r="K872">
        <f>_xlfn.XLOOKUP(E872, Product_Master!$A$2:$A$101, Product_Master!$D$2:$D$101)</f>
        <v>500</v>
      </c>
      <c r="L872">
        <f>_xlfn.XLOOKUP(E872, Product_Master!$A$2:$A$101, Product_Master!$E$2:$E$101)</f>
        <v>800</v>
      </c>
      <c r="M872">
        <f t="shared" si="66"/>
        <v>1600</v>
      </c>
      <c r="N872">
        <f t="shared" si="67"/>
        <v>1000</v>
      </c>
      <c r="O872">
        <f t="shared" si="68"/>
        <v>600</v>
      </c>
      <c r="P872" s="3">
        <f t="shared" si="69"/>
        <v>0.375</v>
      </c>
      <c r="Q872" s="3" t="str">
        <v>High Profit</v>
      </c>
    </row>
    <row r="873" spans="1:17" x14ac:dyDescent="0.3">
      <c r="A873" t="s">
        <v>1320</v>
      </c>
      <c r="B873" s="2">
        <v>45871</v>
      </c>
      <c r="C873" s="2" t="str">
        <f t="shared" si="65"/>
        <v>August</v>
      </c>
      <c r="D873" t="s">
        <v>236</v>
      </c>
      <c r="E873" t="s">
        <v>380</v>
      </c>
      <c r="F873">
        <v>1</v>
      </c>
      <c r="G873" t="s">
        <v>47</v>
      </c>
      <c r="H873" t="s">
        <v>1455</v>
      </c>
      <c r="I873" t="s">
        <v>340</v>
      </c>
      <c r="J873" t="str">
        <f>_xlfn.XLOOKUP(E873, Product_Master!$A$2:$A$101, Product_Master!$C$2:$C$101)</f>
        <v>Electronics</v>
      </c>
      <c r="K873">
        <f>_xlfn.XLOOKUP(E873, Product_Master!$A$2:$A$101, Product_Master!$D$2:$D$101)</f>
        <v>42000</v>
      </c>
      <c r="L873">
        <f>_xlfn.XLOOKUP(E873, Product_Master!$A$2:$A$101, Product_Master!$E$2:$E$101)</f>
        <v>50000</v>
      </c>
      <c r="M873">
        <f t="shared" si="66"/>
        <v>50000</v>
      </c>
      <c r="N873">
        <f t="shared" si="67"/>
        <v>42000</v>
      </c>
      <c r="O873">
        <f t="shared" si="68"/>
        <v>8000</v>
      </c>
      <c r="P873" s="3">
        <f t="shared" si="69"/>
        <v>0.16</v>
      </c>
      <c r="Q873" s="3" t="str">
        <v>Low Profit</v>
      </c>
    </row>
    <row r="874" spans="1:17" x14ac:dyDescent="0.3">
      <c r="A874" t="s">
        <v>1321</v>
      </c>
      <c r="B874" s="2">
        <v>45850</v>
      </c>
      <c r="C874" s="2" t="str">
        <f t="shared" si="65"/>
        <v>July</v>
      </c>
      <c r="D874" t="s">
        <v>231</v>
      </c>
      <c r="E874" t="s">
        <v>362</v>
      </c>
      <c r="F874">
        <v>3</v>
      </c>
      <c r="G874" t="s">
        <v>16</v>
      </c>
      <c r="H874" t="s">
        <v>31</v>
      </c>
      <c r="I874" t="s">
        <v>332</v>
      </c>
      <c r="J874" t="str">
        <f>_xlfn.XLOOKUP(E874, Product_Master!$A$2:$A$101, Product_Master!$C$2:$C$101)</f>
        <v>Accessories</v>
      </c>
      <c r="K874">
        <f>_xlfn.XLOOKUP(E874, Product_Master!$A$2:$A$101, Product_Master!$D$2:$D$101)</f>
        <v>500</v>
      </c>
      <c r="L874">
        <f>_xlfn.XLOOKUP(E874, Product_Master!$A$2:$A$101, Product_Master!$E$2:$E$101)</f>
        <v>800</v>
      </c>
      <c r="M874">
        <f t="shared" si="66"/>
        <v>2400</v>
      </c>
      <c r="N874">
        <f t="shared" si="67"/>
        <v>1500</v>
      </c>
      <c r="O874">
        <f t="shared" si="68"/>
        <v>900</v>
      </c>
      <c r="P874" s="3">
        <f t="shared" si="69"/>
        <v>0.375</v>
      </c>
      <c r="Q874" s="3" t="str">
        <v>High Profit</v>
      </c>
    </row>
    <row r="875" spans="1:17" x14ac:dyDescent="0.3">
      <c r="A875" t="s">
        <v>1322</v>
      </c>
      <c r="B875" s="2">
        <v>45954</v>
      </c>
      <c r="C875" s="2" t="str">
        <f t="shared" si="65"/>
        <v>October</v>
      </c>
      <c r="D875" t="s">
        <v>243</v>
      </c>
      <c r="E875" t="s">
        <v>426</v>
      </c>
      <c r="F875">
        <v>1</v>
      </c>
      <c r="G875" t="s">
        <v>19</v>
      </c>
      <c r="H875" t="s">
        <v>39</v>
      </c>
      <c r="I875" t="s">
        <v>337</v>
      </c>
      <c r="J875" t="str">
        <f>_xlfn.XLOOKUP(E875, Product_Master!$A$2:$A$101, Product_Master!$C$2:$C$101)</f>
        <v>Electronics</v>
      </c>
      <c r="K875">
        <f>_xlfn.XLOOKUP(E875, Product_Master!$A$2:$A$101, Product_Master!$D$2:$D$101)</f>
        <v>15000</v>
      </c>
      <c r="L875">
        <f>_xlfn.XLOOKUP(E875, Product_Master!$A$2:$A$101, Product_Master!$E$2:$E$101)</f>
        <v>18000</v>
      </c>
      <c r="M875">
        <f t="shared" si="66"/>
        <v>18000</v>
      </c>
      <c r="N875">
        <f t="shared" si="67"/>
        <v>15000</v>
      </c>
      <c r="O875">
        <f t="shared" si="68"/>
        <v>3000</v>
      </c>
      <c r="P875" s="3">
        <f t="shared" si="69"/>
        <v>0.16666666666666666</v>
      </c>
      <c r="Q875" s="3" t="str">
        <v>Low Profit</v>
      </c>
    </row>
    <row r="876" spans="1:17" x14ac:dyDescent="0.3">
      <c r="A876" t="s">
        <v>1323</v>
      </c>
      <c r="B876" s="2">
        <v>45846</v>
      </c>
      <c r="C876" s="2" t="str">
        <f t="shared" si="65"/>
        <v>July</v>
      </c>
      <c r="D876" t="s">
        <v>183</v>
      </c>
      <c r="E876" t="s">
        <v>406</v>
      </c>
      <c r="F876">
        <v>4</v>
      </c>
      <c r="G876" t="s">
        <v>37</v>
      </c>
      <c r="H876" t="s">
        <v>14</v>
      </c>
      <c r="I876" t="s">
        <v>344</v>
      </c>
      <c r="J876" t="str">
        <f>_xlfn.XLOOKUP(E876, Product_Master!$A$2:$A$101, Product_Master!$C$2:$C$101)</f>
        <v>Accessories</v>
      </c>
      <c r="K876">
        <f>_xlfn.XLOOKUP(E876, Product_Master!$A$2:$A$101, Product_Master!$D$2:$D$101)</f>
        <v>2000</v>
      </c>
      <c r="L876">
        <f>_xlfn.XLOOKUP(E876, Product_Master!$A$2:$A$101, Product_Master!$E$2:$E$101)</f>
        <v>3000</v>
      </c>
      <c r="M876">
        <f t="shared" si="66"/>
        <v>12000</v>
      </c>
      <c r="N876">
        <f t="shared" si="67"/>
        <v>8000</v>
      </c>
      <c r="O876">
        <f t="shared" si="68"/>
        <v>4000</v>
      </c>
      <c r="P876" s="3">
        <f t="shared" si="69"/>
        <v>0.33333333333333331</v>
      </c>
      <c r="Q876" s="3" t="str">
        <v>High Profit</v>
      </c>
    </row>
    <row r="877" spans="1:17" x14ac:dyDescent="0.3">
      <c r="A877" t="s">
        <v>1324</v>
      </c>
      <c r="B877" s="2">
        <v>45732</v>
      </c>
      <c r="C877" s="2" t="str">
        <f t="shared" si="65"/>
        <v>March</v>
      </c>
      <c r="D877" t="s">
        <v>63</v>
      </c>
      <c r="E877" t="s">
        <v>358</v>
      </c>
      <c r="F877">
        <v>1</v>
      </c>
      <c r="G877" t="s">
        <v>12</v>
      </c>
      <c r="H877" t="s">
        <v>20</v>
      </c>
      <c r="I877" t="s">
        <v>332</v>
      </c>
      <c r="J877" t="str">
        <f>_xlfn.XLOOKUP(E877, Product_Master!$A$2:$A$101, Product_Master!$C$2:$C$101)</f>
        <v>Accessories</v>
      </c>
      <c r="K877">
        <f>_xlfn.XLOOKUP(E877, Product_Master!$A$2:$A$101, Product_Master!$D$2:$D$101)</f>
        <v>500</v>
      </c>
      <c r="L877">
        <f>_xlfn.XLOOKUP(E877, Product_Master!$A$2:$A$101, Product_Master!$E$2:$E$101)</f>
        <v>800</v>
      </c>
      <c r="M877">
        <f t="shared" si="66"/>
        <v>800</v>
      </c>
      <c r="N877">
        <f t="shared" si="67"/>
        <v>500</v>
      </c>
      <c r="O877">
        <f t="shared" si="68"/>
        <v>300</v>
      </c>
      <c r="P877" s="3">
        <f t="shared" si="69"/>
        <v>0.375</v>
      </c>
      <c r="Q877" s="3" t="str">
        <v>High Profit</v>
      </c>
    </row>
    <row r="878" spans="1:17" x14ac:dyDescent="0.3">
      <c r="A878" t="s">
        <v>1325</v>
      </c>
      <c r="B878" s="2">
        <v>45713</v>
      </c>
      <c r="C878" s="2" t="str">
        <f t="shared" si="65"/>
        <v>February</v>
      </c>
      <c r="D878" t="s">
        <v>243</v>
      </c>
      <c r="E878" t="s">
        <v>441</v>
      </c>
      <c r="F878">
        <v>3</v>
      </c>
      <c r="G878" t="s">
        <v>19</v>
      </c>
      <c r="H878" t="s">
        <v>39</v>
      </c>
      <c r="I878" t="s">
        <v>346</v>
      </c>
      <c r="J878" t="str">
        <f>_xlfn.XLOOKUP(E878, Product_Master!$A$2:$A$101, Product_Master!$C$2:$C$101)</f>
        <v>Accessories</v>
      </c>
      <c r="K878">
        <f>_xlfn.XLOOKUP(E878, Product_Master!$A$2:$A$101, Product_Master!$D$2:$D$101)</f>
        <v>9000</v>
      </c>
      <c r="L878">
        <f>_xlfn.XLOOKUP(E878, Product_Master!$A$2:$A$101, Product_Master!$E$2:$E$101)</f>
        <v>12000</v>
      </c>
      <c r="M878">
        <f t="shared" si="66"/>
        <v>36000</v>
      </c>
      <c r="N878">
        <f t="shared" si="67"/>
        <v>27000</v>
      </c>
      <c r="O878">
        <f t="shared" si="68"/>
        <v>9000</v>
      </c>
      <c r="P878" s="3">
        <f t="shared" si="69"/>
        <v>0.25</v>
      </c>
      <c r="Q878" s="3" t="str">
        <v>High Profit</v>
      </c>
    </row>
    <row r="879" spans="1:17" x14ac:dyDescent="0.3">
      <c r="A879" t="s">
        <v>1326</v>
      </c>
      <c r="B879" s="2">
        <v>46011</v>
      </c>
      <c r="C879" s="2" t="str">
        <f t="shared" si="65"/>
        <v>December</v>
      </c>
      <c r="D879" t="s">
        <v>231</v>
      </c>
      <c r="E879" t="s">
        <v>384</v>
      </c>
      <c r="F879">
        <v>3</v>
      </c>
      <c r="G879" t="s">
        <v>16</v>
      </c>
      <c r="H879" t="s">
        <v>31</v>
      </c>
      <c r="I879" t="s">
        <v>353</v>
      </c>
      <c r="J879" t="str">
        <f>_xlfn.XLOOKUP(E879, Product_Master!$A$2:$A$101, Product_Master!$C$2:$C$101)</f>
        <v>Electronics</v>
      </c>
      <c r="K879">
        <f>_xlfn.XLOOKUP(E879, Product_Master!$A$2:$A$101, Product_Master!$D$2:$D$101)</f>
        <v>12000</v>
      </c>
      <c r="L879">
        <f>_xlfn.XLOOKUP(E879, Product_Master!$A$2:$A$101, Product_Master!$E$2:$E$101)</f>
        <v>15000</v>
      </c>
      <c r="M879">
        <f t="shared" si="66"/>
        <v>45000</v>
      </c>
      <c r="N879">
        <f t="shared" si="67"/>
        <v>36000</v>
      </c>
      <c r="O879">
        <f t="shared" si="68"/>
        <v>9000</v>
      </c>
      <c r="P879" s="3">
        <f t="shared" si="69"/>
        <v>0.2</v>
      </c>
      <c r="Q879" s="3" t="str">
        <v>Low Profit</v>
      </c>
    </row>
    <row r="880" spans="1:17" x14ac:dyDescent="0.3">
      <c r="A880" t="s">
        <v>1327</v>
      </c>
      <c r="B880" s="2">
        <v>45878</v>
      </c>
      <c r="C880" s="2" t="str">
        <f t="shared" si="65"/>
        <v>August</v>
      </c>
      <c r="D880" t="s">
        <v>26</v>
      </c>
      <c r="E880" t="s">
        <v>418</v>
      </c>
      <c r="F880">
        <v>4</v>
      </c>
      <c r="G880" t="s">
        <v>16</v>
      </c>
      <c r="H880" t="s">
        <v>27</v>
      </c>
      <c r="I880" t="s">
        <v>329</v>
      </c>
      <c r="J880" t="str">
        <f>_xlfn.XLOOKUP(E880, Product_Master!$A$2:$A$101, Product_Master!$C$2:$C$101)</f>
        <v>Electronics</v>
      </c>
      <c r="K880">
        <f>_xlfn.XLOOKUP(E880, Product_Master!$A$2:$A$101, Product_Master!$D$2:$D$101)</f>
        <v>20000</v>
      </c>
      <c r="L880">
        <f>_xlfn.XLOOKUP(E880, Product_Master!$A$2:$A$101, Product_Master!$E$2:$E$101)</f>
        <v>25000</v>
      </c>
      <c r="M880">
        <f t="shared" si="66"/>
        <v>100000</v>
      </c>
      <c r="N880">
        <f t="shared" si="67"/>
        <v>80000</v>
      </c>
      <c r="O880">
        <f t="shared" si="68"/>
        <v>20000</v>
      </c>
      <c r="P880" s="3">
        <f t="shared" si="69"/>
        <v>0.2</v>
      </c>
      <c r="Q880" s="3" t="str">
        <v>Low Profit</v>
      </c>
    </row>
    <row r="881" spans="1:17" x14ac:dyDescent="0.3">
      <c r="A881" t="s">
        <v>1328</v>
      </c>
      <c r="B881" s="2">
        <v>45824</v>
      </c>
      <c r="C881" s="2" t="str">
        <f t="shared" si="65"/>
        <v>June</v>
      </c>
      <c r="D881" t="s">
        <v>294</v>
      </c>
      <c r="E881" t="s">
        <v>393</v>
      </c>
      <c r="F881">
        <v>5</v>
      </c>
      <c r="G881" t="s">
        <v>4</v>
      </c>
      <c r="H881" t="s">
        <v>27</v>
      </c>
      <c r="I881" t="s">
        <v>344</v>
      </c>
      <c r="J881" t="str">
        <f>_xlfn.XLOOKUP(E881, Product_Master!$A$2:$A$101, Product_Master!$C$2:$C$101)</f>
        <v>Accessories</v>
      </c>
      <c r="K881">
        <f>_xlfn.XLOOKUP(E881, Product_Master!$A$2:$A$101, Product_Master!$D$2:$D$101)</f>
        <v>2000</v>
      </c>
      <c r="L881">
        <f>_xlfn.XLOOKUP(E881, Product_Master!$A$2:$A$101, Product_Master!$E$2:$E$101)</f>
        <v>3000</v>
      </c>
      <c r="M881">
        <f t="shared" si="66"/>
        <v>15000</v>
      </c>
      <c r="N881">
        <f t="shared" si="67"/>
        <v>10000</v>
      </c>
      <c r="O881">
        <f t="shared" si="68"/>
        <v>5000</v>
      </c>
      <c r="P881" s="3">
        <f t="shared" si="69"/>
        <v>0.33333333333333331</v>
      </c>
      <c r="Q881" s="3" t="str">
        <v>High Profit</v>
      </c>
    </row>
    <row r="882" spans="1:17" x14ac:dyDescent="0.3">
      <c r="A882" t="s">
        <v>1329</v>
      </c>
      <c r="B882" s="2">
        <v>45965</v>
      </c>
      <c r="C882" s="2" t="str">
        <f t="shared" si="65"/>
        <v>November</v>
      </c>
      <c r="D882" t="s">
        <v>275</v>
      </c>
      <c r="E882" t="s">
        <v>341</v>
      </c>
      <c r="F882">
        <v>2</v>
      </c>
      <c r="G882" t="s">
        <v>22</v>
      </c>
      <c r="H882" t="s">
        <v>27</v>
      </c>
      <c r="I882" t="s">
        <v>329</v>
      </c>
      <c r="J882" t="str">
        <f>_xlfn.XLOOKUP(E882, Product_Master!$A$2:$A$101, Product_Master!$C$2:$C$101)</f>
        <v>Electronics</v>
      </c>
      <c r="K882">
        <f>_xlfn.XLOOKUP(E882, Product_Master!$A$2:$A$101, Product_Master!$D$2:$D$101)</f>
        <v>20000</v>
      </c>
      <c r="L882">
        <f>_xlfn.XLOOKUP(E882, Product_Master!$A$2:$A$101, Product_Master!$E$2:$E$101)</f>
        <v>25000</v>
      </c>
      <c r="M882">
        <f t="shared" si="66"/>
        <v>50000</v>
      </c>
      <c r="N882">
        <f t="shared" si="67"/>
        <v>40000</v>
      </c>
      <c r="O882">
        <f t="shared" si="68"/>
        <v>10000</v>
      </c>
      <c r="P882" s="3">
        <f t="shared" si="69"/>
        <v>0.2</v>
      </c>
      <c r="Q882" s="3" t="str">
        <v>Low Profit</v>
      </c>
    </row>
    <row r="883" spans="1:17" x14ac:dyDescent="0.3">
      <c r="A883" t="s">
        <v>1330</v>
      </c>
      <c r="B883" s="2">
        <v>45828</v>
      </c>
      <c r="C883" s="2" t="str">
        <f t="shared" si="65"/>
        <v>June</v>
      </c>
      <c r="D883" t="s">
        <v>88</v>
      </c>
      <c r="E883" t="s">
        <v>438</v>
      </c>
      <c r="F883">
        <v>4</v>
      </c>
      <c r="G883" t="s">
        <v>45</v>
      </c>
      <c r="H883" t="s">
        <v>14</v>
      </c>
      <c r="I883" t="s">
        <v>329</v>
      </c>
      <c r="J883" t="str">
        <f>_xlfn.XLOOKUP(E883, Product_Master!$A$2:$A$101, Product_Master!$C$2:$C$101)</f>
        <v>Electronics</v>
      </c>
      <c r="K883">
        <f>_xlfn.XLOOKUP(E883, Product_Master!$A$2:$A$101, Product_Master!$D$2:$D$101)</f>
        <v>20000</v>
      </c>
      <c r="L883">
        <f>_xlfn.XLOOKUP(E883, Product_Master!$A$2:$A$101, Product_Master!$E$2:$E$101)</f>
        <v>25000</v>
      </c>
      <c r="M883">
        <f t="shared" si="66"/>
        <v>100000</v>
      </c>
      <c r="N883">
        <f t="shared" si="67"/>
        <v>80000</v>
      </c>
      <c r="O883">
        <f t="shared" si="68"/>
        <v>20000</v>
      </c>
      <c r="P883" s="3">
        <f t="shared" si="69"/>
        <v>0.2</v>
      </c>
      <c r="Q883" s="3" t="str">
        <v>Low Profit</v>
      </c>
    </row>
    <row r="884" spans="1:17" x14ac:dyDescent="0.3">
      <c r="A884" t="s">
        <v>1331</v>
      </c>
      <c r="B884" s="2">
        <v>45970</v>
      </c>
      <c r="C884" s="2" t="str">
        <f t="shared" si="65"/>
        <v>November</v>
      </c>
      <c r="D884" t="s">
        <v>173</v>
      </c>
      <c r="E884" t="s">
        <v>443</v>
      </c>
      <c r="F884">
        <v>4</v>
      </c>
      <c r="G884" t="s">
        <v>24</v>
      </c>
      <c r="H884" t="s">
        <v>31</v>
      </c>
      <c r="I884" t="s">
        <v>344</v>
      </c>
      <c r="J884" t="str">
        <f>_xlfn.XLOOKUP(E884, Product_Master!$A$2:$A$101, Product_Master!$C$2:$C$101)</f>
        <v>Accessories</v>
      </c>
      <c r="K884">
        <f>_xlfn.XLOOKUP(E884, Product_Master!$A$2:$A$101, Product_Master!$D$2:$D$101)</f>
        <v>2000</v>
      </c>
      <c r="L884">
        <f>_xlfn.XLOOKUP(E884, Product_Master!$A$2:$A$101, Product_Master!$E$2:$E$101)</f>
        <v>3000</v>
      </c>
      <c r="M884">
        <f t="shared" si="66"/>
        <v>12000</v>
      </c>
      <c r="N884">
        <f t="shared" si="67"/>
        <v>8000</v>
      </c>
      <c r="O884">
        <f t="shared" si="68"/>
        <v>4000</v>
      </c>
      <c r="P884" s="3">
        <f t="shared" si="69"/>
        <v>0.33333333333333331</v>
      </c>
      <c r="Q884" s="3" t="str">
        <v>High Profit</v>
      </c>
    </row>
    <row r="885" spans="1:17" x14ac:dyDescent="0.3">
      <c r="A885" t="s">
        <v>1332</v>
      </c>
      <c r="B885" s="2">
        <v>45937</v>
      </c>
      <c r="C885" s="2" t="str">
        <f t="shared" si="65"/>
        <v>October</v>
      </c>
      <c r="D885" t="s">
        <v>94</v>
      </c>
      <c r="E885" t="s">
        <v>386</v>
      </c>
      <c r="F885">
        <v>2</v>
      </c>
      <c r="G885" t="s">
        <v>7</v>
      </c>
      <c r="H885" t="s">
        <v>17</v>
      </c>
      <c r="I885" t="s">
        <v>335</v>
      </c>
      <c r="J885" t="str">
        <f>_xlfn.XLOOKUP(E885, Product_Master!$A$2:$A$101, Product_Master!$C$2:$C$101)</f>
        <v>Accessories</v>
      </c>
      <c r="K885">
        <f>_xlfn.XLOOKUP(E885, Product_Master!$A$2:$A$101, Product_Master!$D$2:$D$101)</f>
        <v>900</v>
      </c>
      <c r="L885">
        <f>_xlfn.XLOOKUP(E885, Product_Master!$A$2:$A$101, Product_Master!$E$2:$E$101)</f>
        <v>1500</v>
      </c>
      <c r="M885">
        <f t="shared" si="66"/>
        <v>3000</v>
      </c>
      <c r="N885">
        <f t="shared" si="67"/>
        <v>1800</v>
      </c>
      <c r="O885">
        <f t="shared" si="68"/>
        <v>1200</v>
      </c>
      <c r="P885" s="3">
        <f t="shared" si="69"/>
        <v>0.4</v>
      </c>
      <c r="Q885" s="3" t="str">
        <v>High Profit</v>
      </c>
    </row>
    <row r="886" spans="1:17" x14ac:dyDescent="0.3">
      <c r="A886" t="s">
        <v>1333</v>
      </c>
      <c r="B886" s="2">
        <v>45886</v>
      </c>
      <c r="C886" s="2" t="str">
        <f t="shared" si="65"/>
        <v>August</v>
      </c>
      <c r="D886" t="s">
        <v>199</v>
      </c>
      <c r="E886" t="s">
        <v>380</v>
      </c>
      <c r="F886">
        <v>2</v>
      </c>
      <c r="G886" t="s">
        <v>7</v>
      </c>
      <c r="H886" t="s">
        <v>14</v>
      </c>
      <c r="I886" t="s">
        <v>340</v>
      </c>
      <c r="J886" t="str">
        <f>_xlfn.XLOOKUP(E886, Product_Master!$A$2:$A$101, Product_Master!$C$2:$C$101)</f>
        <v>Electronics</v>
      </c>
      <c r="K886">
        <f>_xlfn.XLOOKUP(E886, Product_Master!$A$2:$A$101, Product_Master!$D$2:$D$101)</f>
        <v>42000</v>
      </c>
      <c r="L886">
        <f>_xlfn.XLOOKUP(E886, Product_Master!$A$2:$A$101, Product_Master!$E$2:$E$101)</f>
        <v>50000</v>
      </c>
      <c r="M886">
        <f t="shared" si="66"/>
        <v>100000</v>
      </c>
      <c r="N886">
        <f t="shared" si="67"/>
        <v>84000</v>
      </c>
      <c r="O886">
        <f t="shared" si="68"/>
        <v>16000</v>
      </c>
      <c r="P886" s="3">
        <f t="shared" si="69"/>
        <v>0.16</v>
      </c>
      <c r="Q886" s="3" t="str">
        <v>Low Profit</v>
      </c>
    </row>
    <row r="887" spans="1:17" x14ac:dyDescent="0.3">
      <c r="A887" t="s">
        <v>1334</v>
      </c>
      <c r="B887" s="2">
        <v>46001</v>
      </c>
      <c r="C887" s="2" t="str">
        <f t="shared" si="65"/>
        <v>December</v>
      </c>
      <c r="D887" t="s">
        <v>469</v>
      </c>
      <c r="E887" t="s">
        <v>397</v>
      </c>
      <c r="F887">
        <v>3</v>
      </c>
      <c r="G887" t="s">
        <v>1454</v>
      </c>
      <c r="H887" t="s">
        <v>1455</v>
      </c>
      <c r="I887" t="s">
        <v>344</v>
      </c>
      <c r="J887" t="str">
        <f>_xlfn.XLOOKUP(E887, Product_Master!$A$2:$A$101, Product_Master!$C$2:$C$101)</f>
        <v>Accessories</v>
      </c>
      <c r="K887">
        <f>_xlfn.XLOOKUP(E887, Product_Master!$A$2:$A$101, Product_Master!$D$2:$D$101)</f>
        <v>2000</v>
      </c>
      <c r="L887">
        <f>_xlfn.XLOOKUP(E887, Product_Master!$A$2:$A$101, Product_Master!$E$2:$E$101)</f>
        <v>3000</v>
      </c>
      <c r="M887">
        <f t="shared" si="66"/>
        <v>9000</v>
      </c>
      <c r="N887">
        <f t="shared" si="67"/>
        <v>6000</v>
      </c>
      <c r="O887">
        <f t="shared" si="68"/>
        <v>3000</v>
      </c>
      <c r="P887" s="3">
        <f t="shared" si="69"/>
        <v>0.33333333333333331</v>
      </c>
      <c r="Q887" s="3" t="str">
        <v>High Profit</v>
      </c>
    </row>
    <row r="888" spans="1:17" x14ac:dyDescent="0.3">
      <c r="A888" t="s">
        <v>1335</v>
      </c>
      <c r="B888" s="2">
        <v>45901</v>
      </c>
      <c r="C888" s="2" t="str">
        <f t="shared" si="65"/>
        <v>September</v>
      </c>
      <c r="D888" t="s">
        <v>81</v>
      </c>
      <c r="E888" t="s">
        <v>388</v>
      </c>
      <c r="F888">
        <v>4</v>
      </c>
      <c r="G888" t="s">
        <v>4</v>
      </c>
      <c r="H888" t="s">
        <v>27</v>
      </c>
      <c r="I888" t="s">
        <v>344</v>
      </c>
      <c r="J888" t="str">
        <f>_xlfn.XLOOKUP(E888, Product_Master!$A$2:$A$101, Product_Master!$C$2:$C$101)</f>
        <v>Accessories</v>
      </c>
      <c r="K888">
        <f>_xlfn.XLOOKUP(E888, Product_Master!$A$2:$A$101, Product_Master!$D$2:$D$101)</f>
        <v>2000</v>
      </c>
      <c r="L888">
        <f>_xlfn.XLOOKUP(E888, Product_Master!$A$2:$A$101, Product_Master!$E$2:$E$101)</f>
        <v>3000</v>
      </c>
      <c r="M888">
        <f t="shared" si="66"/>
        <v>12000</v>
      </c>
      <c r="N888">
        <f t="shared" si="67"/>
        <v>8000</v>
      </c>
      <c r="O888">
        <f t="shared" si="68"/>
        <v>4000</v>
      </c>
      <c r="P888" s="3">
        <f t="shared" si="69"/>
        <v>0.33333333333333331</v>
      </c>
      <c r="Q888" s="3" t="str">
        <v>High Profit</v>
      </c>
    </row>
    <row r="889" spans="1:17" x14ac:dyDescent="0.3">
      <c r="A889" t="s">
        <v>1336</v>
      </c>
      <c r="B889" s="2">
        <v>45822</v>
      </c>
      <c r="C889" s="2" t="str">
        <f t="shared" si="65"/>
        <v>June</v>
      </c>
      <c r="D889" t="s">
        <v>254</v>
      </c>
      <c r="E889" t="s">
        <v>407</v>
      </c>
      <c r="F889">
        <v>1</v>
      </c>
      <c r="G889" t="s">
        <v>24</v>
      </c>
      <c r="H889" t="s">
        <v>20</v>
      </c>
      <c r="I889" t="s">
        <v>329</v>
      </c>
      <c r="J889" t="str">
        <f>_xlfn.XLOOKUP(E889, Product_Master!$A$2:$A$101, Product_Master!$C$2:$C$101)</f>
        <v>Electronics</v>
      </c>
      <c r="K889">
        <f>_xlfn.XLOOKUP(E889, Product_Master!$A$2:$A$101, Product_Master!$D$2:$D$101)</f>
        <v>20000</v>
      </c>
      <c r="L889">
        <f>_xlfn.XLOOKUP(E889, Product_Master!$A$2:$A$101, Product_Master!$E$2:$E$101)</f>
        <v>25000</v>
      </c>
      <c r="M889">
        <f t="shared" si="66"/>
        <v>25000</v>
      </c>
      <c r="N889">
        <f t="shared" si="67"/>
        <v>20000</v>
      </c>
      <c r="O889">
        <f t="shared" si="68"/>
        <v>5000</v>
      </c>
      <c r="P889" s="3">
        <f t="shared" si="69"/>
        <v>0.2</v>
      </c>
      <c r="Q889" s="3" t="str">
        <v>Low Profit</v>
      </c>
    </row>
    <row r="890" spans="1:17" x14ac:dyDescent="0.3">
      <c r="A890" t="s">
        <v>1337</v>
      </c>
      <c r="B890" s="2">
        <v>45899</v>
      </c>
      <c r="C890" s="2" t="str">
        <f t="shared" si="65"/>
        <v>August</v>
      </c>
      <c r="D890" t="s">
        <v>196</v>
      </c>
      <c r="E890" t="s">
        <v>438</v>
      </c>
      <c r="F890">
        <v>4</v>
      </c>
      <c r="G890" t="s">
        <v>37</v>
      </c>
      <c r="H890" t="s">
        <v>5</v>
      </c>
      <c r="I890" t="s">
        <v>329</v>
      </c>
      <c r="J890" t="str">
        <f>_xlfn.XLOOKUP(E890, Product_Master!$A$2:$A$101, Product_Master!$C$2:$C$101)</f>
        <v>Electronics</v>
      </c>
      <c r="K890">
        <f>_xlfn.XLOOKUP(E890, Product_Master!$A$2:$A$101, Product_Master!$D$2:$D$101)</f>
        <v>20000</v>
      </c>
      <c r="L890">
        <f>_xlfn.XLOOKUP(E890, Product_Master!$A$2:$A$101, Product_Master!$E$2:$E$101)</f>
        <v>25000</v>
      </c>
      <c r="M890">
        <f t="shared" si="66"/>
        <v>100000</v>
      </c>
      <c r="N890">
        <f t="shared" si="67"/>
        <v>80000</v>
      </c>
      <c r="O890">
        <f t="shared" si="68"/>
        <v>20000</v>
      </c>
      <c r="P890" s="3">
        <f t="shared" si="69"/>
        <v>0.2</v>
      </c>
      <c r="Q890" s="3" t="str">
        <v>Low Profit</v>
      </c>
    </row>
    <row r="891" spans="1:17" x14ac:dyDescent="0.3">
      <c r="A891" t="s">
        <v>1338</v>
      </c>
      <c r="B891" s="2">
        <v>45734</v>
      </c>
      <c r="C891" s="2" t="str">
        <f t="shared" si="65"/>
        <v>March</v>
      </c>
      <c r="D891" t="s">
        <v>151</v>
      </c>
      <c r="E891" t="s">
        <v>431</v>
      </c>
      <c r="F891">
        <v>3</v>
      </c>
      <c r="G891" t="s">
        <v>22</v>
      </c>
      <c r="H891" t="s">
        <v>39</v>
      </c>
      <c r="I891" t="s">
        <v>332</v>
      </c>
      <c r="J891" t="str">
        <f>_xlfn.XLOOKUP(E891, Product_Master!$A$2:$A$101, Product_Master!$C$2:$C$101)</f>
        <v>Accessories</v>
      </c>
      <c r="K891">
        <f>_xlfn.XLOOKUP(E891, Product_Master!$A$2:$A$101, Product_Master!$D$2:$D$101)</f>
        <v>500</v>
      </c>
      <c r="L891">
        <f>_xlfn.XLOOKUP(E891, Product_Master!$A$2:$A$101, Product_Master!$E$2:$E$101)</f>
        <v>800</v>
      </c>
      <c r="M891">
        <f t="shared" si="66"/>
        <v>2400</v>
      </c>
      <c r="N891">
        <f t="shared" si="67"/>
        <v>1500</v>
      </c>
      <c r="O891">
        <f t="shared" si="68"/>
        <v>900</v>
      </c>
      <c r="P891" s="3">
        <f t="shared" si="69"/>
        <v>0.375</v>
      </c>
      <c r="Q891" s="3" t="str">
        <v>High Profit</v>
      </c>
    </row>
    <row r="892" spans="1:17" x14ac:dyDescent="0.3">
      <c r="A892" t="s">
        <v>1339</v>
      </c>
      <c r="B892" s="2">
        <v>45675</v>
      </c>
      <c r="C892" s="2" t="str">
        <f t="shared" si="65"/>
        <v>January</v>
      </c>
      <c r="D892" t="s">
        <v>13</v>
      </c>
      <c r="E892" t="s">
        <v>420</v>
      </c>
      <c r="F892">
        <v>1</v>
      </c>
      <c r="G892" t="s">
        <v>4</v>
      </c>
      <c r="H892" t="s">
        <v>14</v>
      </c>
      <c r="I892" t="s">
        <v>329</v>
      </c>
      <c r="J892" t="str">
        <f>_xlfn.XLOOKUP(E892, Product_Master!$A$2:$A$101, Product_Master!$C$2:$C$101)</f>
        <v>Electronics</v>
      </c>
      <c r="K892">
        <f>_xlfn.XLOOKUP(E892, Product_Master!$A$2:$A$101, Product_Master!$D$2:$D$101)</f>
        <v>20000</v>
      </c>
      <c r="L892">
        <f>_xlfn.XLOOKUP(E892, Product_Master!$A$2:$A$101, Product_Master!$E$2:$E$101)</f>
        <v>25000</v>
      </c>
      <c r="M892">
        <f t="shared" si="66"/>
        <v>25000</v>
      </c>
      <c r="N892">
        <f t="shared" si="67"/>
        <v>20000</v>
      </c>
      <c r="O892">
        <f t="shared" si="68"/>
        <v>5000</v>
      </c>
      <c r="P892" s="3">
        <f t="shared" si="69"/>
        <v>0.2</v>
      </c>
      <c r="Q892" s="3" t="str">
        <v>Low Profit</v>
      </c>
    </row>
    <row r="893" spans="1:17" x14ac:dyDescent="0.3">
      <c r="A893" t="s">
        <v>1340</v>
      </c>
      <c r="B893" s="2">
        <v>45879</v>
      </c>
      <c r="C893" s="2" t="str">
        <f t="shared" si="65"/>
        <v>August</v>
      </c>
      <c r="D893" t="s">
        <v>206</v>
      </c>
      <c r="E893" t="s">
        <v>380</v>
      </c>
      <c r="F893">
        <v>1</v>
      </c>
      <c r="G893" t="s">
        <v>29</v>
      </c>
      <c r="H893" t="s">
        <v>31</v>
      </c>
      <c r="I893" t="s">
        <v>340</v>
      </c>
      <c r="J893" t="str">
        <f>_xlfn.XLOOKUP(E893, Product_Master!$A$2:$A$101, Product_Master!$C$2:$C$101)</f>
        <v>Electronics</v>
      </c>
      <c r="K893">
        <f>_xlfn.XLOOKUP(E893, Product_Master!$A$2:$A$101, Product_Master!$D$2:$D$101)</f>
        <v>42000</v>
      </c>
      <c r="L893">
        <f>_xlfn.XLOOKUP(E893, Product_Master!$A$2:$A$101, Product_Master!$E$2:$E$101)</f>
        <v>50000</v>
      </c>
      <c r="M893">
        <f t="shared" si="66"/>
        <v>50000</v>
      </c>
      <c r="N893">
        <f t="shared" si="67"/>
        <v>42000</v>
      </c>
      <c r="O893">
        <f t="shared" si="68"/>
        <v>8000</v>
      </c>
      <c r="P893" s="3">
        <f t="shared" si="69"/>
        <v>0.16</v>
      </c>
      <c r="Q893" s="3" t="str">
        <v>Low Profit</v>
      </c>
    </row>
    <row r="894" spans="1:17" x14ac:dyDescent="0.3">
      <c r="A894" t="s">
        <v>1341</v>
      </c>
      <c r="B894" s="2">
        <v>45912</v>
      </c>
      <c r="C894" s="2" t="str">
        <f t="shared" si="65"/>
        <v>September</v>
      </c>
      <c r="D894" t="s">
        <v>276</v>
      </c>
      <c r="E894" t="s">
        <v>387</v>
      </c>
      <c r="F894">
        <v>4</v>
      </c>
      <c r="G894" t="s">
        <v>24</v>
      </c>
      <c r="H894" t="s">
        <v>20</v>
      </c>
      <c r="I894" t="s">
        <v>332</v>
      </c>
      <c r="J894" t="str">
        <f>_xlfn.XLOOKUP(E894, Product_Master!$A$2:$A$101, Product_Master!$C$2:$C$101)</f>
        <v>Accessories</v>
      </c>
      <c r="K894">
        <f>_xlfn.XLOOKUP(E894, Product_Master!$A$2:$A$101, Product_Master!$D$2:$D$101)</f>
        <v>500</v>
      </c>
      <c r="L894">
        <f>_xlfn.XLOOKUP(E894, Product_Master!$A$2:$A$101, Product_Master!$E$2:$E$101)</f>
        <v>800</v>
      </c>
      <c r="M894">
        <f t="shared" si="66"/>
        <v>3200</v>
      </c>
      <c r="N894">
        <f t="shared" si="67"/>
        <v>2000</v>
      </c>
      <c r="O894">
        <f t="shared" si="68"/>
        <v>1200</v>
      </c>
      <c r="P894" s="3">
        <f t="shared" si="69"/>
        <v>0.375</v>
      </c>
      <c r="Q894" s="3" t="str">
        <v>High Profit</v>
      </c>
    </row>
    <row r="895" spans="1:17" x14ac:dyDescent="0.3">
      <c r="A895" t="s">
        <v>1342</v>
      </c>
      <c r="B895" s="2">
        <v>45770</v>
      </c>
      <c r="C895" s="2" t="str">
        <f t="shared" si="65"/>
        <v>April</v>
      </c>
      <c r="D895" t="s">
        <v>62</v>
      </c>
      <c r="E895" t="s">
        <v>428</v>
      </c>
      <c r="F895">
        <v>1</v>
      </c>
      <c r="G895" t="s">
        <v>37</v>
      </c>
      <c r="H895" t="s">
        <v>8</v>
      </c>
      <c r="I895" t="s">
        <v>335</v>
      </c>
      <c r="J895" t="str">
        <f>_xlfn.XLOOKUP(E895, Product_Master!$A$2:$A$101, Product_Master!$C$2:$C$101)</f>
        <v>Accessories</v>
      </c>
      <c r="K895">
        <f>_xlfn.XLOOKUP(E895, Product_Master!$A$2:$A$101, Product_Master!$D$2:$D$101)</f>
        <v>900</v>
      </c>
      <c r="L895">
        <f>_xlfn.XLOOKUP(E895, Product_Master!$A$2:$A$101, Product_Master!$E$2:$E$101)</f>
        <v>1500</v>
      </c>
      <c r="M895">
        <f t="shared" si="66"/>
        <v>1500</v>
      </c>
      <c r="N895">
        <f t="shared" si="67"/>
        <v>900</v>
      </c>
      <c r="O895">
        <f t="shared" si="68"/>
        <v>600</v>
      </c>
      <c r="P895" s="3">
        <f t="shared" si="69"/>
        <v>0.4</v>
      </c>
      <c r="Q895" s="3" t="str">
        <v>High Profit</v>
      </c>
    </row>
    <row r="896" spans="1:17" x14ac:dyDescent="0.3">
      <c r="A896" t="s">
        <v>1343</v>
      </c>
      <c r="B896" s="2">
        <v>45846</v>
      </c>
      <c r="C896" s="2" t="str">
        <f t="shared" si="65"/>
        <v>July</v>
      </c>
      <c r="D896" t="s">
        <v>233</v>
      </c>
      <c r="E896" t="s">
        <v>354</v>
      </c>
      <c r="F896">
        <v>5</v>
      </c>
      <c r="G896" t="s">
        <v>45</v>
      </c>
      <c r="H896" t="s">
        <v>27</v>
      </c>
      <c r="I896" t="s">
        <v>329</v>
      </c>
      <c r="J896" t="str">
        <f>_xlfn.XLOOKUP(E896, Product_Master!$A$2:$A$101, Product_Master!$C$2:$C$101)</f>
        <v>Electronics</v>
      </c>
      <c r="K896">
        <f>_xlfn.XLOOKUP(E896, Product_Master!$A$2:$A$101, Product_Master!$D$2:$D$101)</f>
        <v>20000</v>
      </c>
      <c r="L896">
        <f>_xlfn.XLOOKUP(E896, Product_Master!$A$2:$A$101, Product_Master!$E$2:$E$101)</f>
        <v>25000</v>
      </c>
      <c r="M896">
        <f t="shared" si="66"/>
        <v>125000</v>
      </c>
      <c r="N896">
        <f t="shared" si="67"/>
        <v>100000</v>
      </c>
      <c r="O896">
        <f t="shared" si="68"/>
        <v>25000</v>
      </c>
      <c r="P896" s="3">
        <f t="shared" si="69"/>
        <v>0.2</v>
      </c>
      <c r="Q896" s="3" t="str">
        <v>Low Profit</v>
      </c>
    </row>
    <row r="897" spans="1:17" x14ac:dyDescent="0.3">
      <c r="A897" t="s">
        <v>1344</v>
      </c>
      <c r="B897" s="2">
        <v>45851</v>
      </c>
      <c r="C897" s="2" t="str">
        <f t="shared" si="65"/>
        <v>July</v>
      </c>
      <c r="D897" t="s">
        <v>15</v>
      </c>
      <c r="E897" t="s">
        <v>433</v>
      </c>
      <c r="F897">
        <v>1</v>
      </c>
      <c r="G897" t="s">
        <v>16</v>
      </c>
      <c r="H897" t="s">
        <v>17</v>
      </c>
      <c r="I897" t="s">
        <v>353</v>
      </c>
      <c r="J897" t="str">
        <f>_xlfn.XLOOKUP(E897, Product_Master!$A$2:$A$101, Product_Master!$C$2:$C$101)</f>
        <v>Electronics</v>
      </c>
      <c r="K897">
        <f>_xlfn.XLOOKUP(E897, Product_Master!$A$2:$A$101, Product_Master!$D$2:$D$101)</f>
        <v>12000</v>
      </c>
      <c r="L897">
        <f>_xlfn.XLOOKUP(E897, Product_Master!$A$2:$A$101, Product_Master!$E$2:$E$101)</f>
        <v>15000</v>
      </c>
      <c r="M897">
        <f t="shared" si="66"/>
        <v>15000</v>
      </c>
      <c r="N897">
        <f t="shared" si="67"/>
        <v>12000</v>
      </c>
      <c r="O897">
        <f t="shared" si="68"/>
        <v>3000</v>
      </c>
      <c r="P897" s="3">
        <f t="shared" si="69"/>
        <v>0.2</v>
      </c>
      <c r="Q897" s="3" t="str">
        <v>Low Profit</v>
      </c>
    </row>
    <row r="898" spans="1:17" x14ac:dyDescent="0.3">
      <c r="A898" t="s">
        <v>1345</v>
      </c>
      <c r="B898" s="2">
        <v>45715</v>
      </c>
      <c r="C898" s="2" t="str">
        <f t="shared" si="65"/>
        <v>February</v>
      </c>
      <c r="D898" t="s">
        <v>262</v>
      </c>
      <c r="E898" t="s">
        <v>352</v>
      </c>
      <c r="F898">
        <v>4</v>
      </c>
      <c r="G898" t="s">
        <v>12</v>
      </c>
      <c r="H898" t="s">
        <v>20</v>
      </c>
      <c r="I898" t="s">
        <v>353</v>
      </c>
      <c r="J898" t="str">
        <f>_xlfn.XLOOKUP(E898, Product_Master!$A$2:$A$101, Product_Master!$C$2:$C$101)</f>
        <v>Electronics</v>
      </c>
      <c r="K898">
        <f>_xlfn.XLOOKUP(E898, Product_Master!$A$2:$A$101, Product_Master!$D$2:$D$101)</f>
        <v>12000</v>
      </c>
      <c r="L898">
        <f>_xlfn.XLOOKUP(E898, Product_Master!$A$2:$A$101, Product_Master!$E$2:$E$101)</f>
        <v>15000</v>
      </c>
      <c r="M898">
        <f t="shared" si="66"/>
        <v>60000</v>
      </c>
      <c r="N898">
        <f t="shared" si="67"/>
        <v>48000</v>
      </c>
      <c r="O898">
        <f t="shared" si="68"/>
        <v>12000</v>
      </c>
      <c r="P898" s="3">
        <f t="shared" si="69"/>
        <v>0.2</v>
      </c>
      <c r="Q898" s="3" t="str">
        <v>Low Profit</v>
      </c>
    </row>
    <row r="899" spans="1:17" x14ac:dyDescent="0.3">
      <c r="A899" t="s">
        <v>1346</v>
      </c>
      <c r="B899" s="2">
        <v>45710</v>
      </c>
      <c r="C899" s="2" t="str">
        <f t="shared" ref="C899:C962" si="70">TEXT(B899,"MMMM")</f>
        <v>February</v>
      </c>
      <c r="D899" t="s">
        <v>3</v>
      </c>
      <c r="E899" t="s">
        <v>383</v>
      </c>
      <c r="F899">
        <v>2</v>
      </c>
      <c r="G899" t="s">
        <v>4</v>
      </c>
      <c r="H899" t="s">
        <v>5</v>
      </c>
      <c r="I899" t="s">
        <v>335</v>
      </c>
      <c r="J899" t="str">
        <f>_xlfn.XLOOKUP(E899, Product_Master!$A$2:$A$101, Product_Master!$C$2:$C$101)</f>
        <v>Accessories</v>
      </c>
      <c r="K899">
        <f>_xlfn.XLOOKUP(E899, Product_Master!$A$2:$A$101, Product_Master!$D$2:$D$101)</f>
        <v>900</v>
      </c>
      <c r="L899">
        <f>_xlfn.XLOOKUP(E899, Product_Master!$A$2:$A$101, Product_Master!$E$2:$E$101)</f>
        <v>1500</v>
      </c>
      <c r="M899">
        <f t="shared" ref="M899:M962" si="71">F899*L899</f>
        <v>3000</v>
      </c>
      <c r="N899">
        <f t="shared" ref="N899:N962" si="72">F899*K899</f>
        <v>1800</v>
      </c>
      <c r="O899">
        <f t="shared" ref="O899:O962" si="73">M899-N899</f>
        <v>1200</v>
      </c>
      <c r="P899" s="3">
        <f t="shared" ref="P899:P962" si="74">O899/M899</f>
        <v>0.4</v>
      </c>
      <c r="Q899" s="3" t="str">
        <v>High Profit</v>
      </c>
    </row>
    <row r="900" spans="1:17" x14ac:dyDescent="0.3">
      <c r="A900" t="s">
        <v>1347</v>
      </c>
      <c r="B900" s="2">
        <v>46007</v>
      </c>
      <c r="C900" s="2" t="str">
        <f t="shared" si="70"/>
        <v>December</v>
      </c>
      <c r="D900" t="s">
        <v>108</v>
      </c>
      <c r="E900" t="s">
        <v>371</v>
      </c>
      <c r="F900">
        <v>4</v>
      </c>
      <c r="G900" t="s">
        <v>22</v>
      </c>
      <c r="H900" t="s">
        <v>27</v>
      </c>
      <c r="I900" t="s">
        <v>329</v>
      </c>
      <c r="J900" t="str">
        <f>_xlfn.XLOOKUP(E900, Product_Master!$A$2:$A$101, Product_Master!$C$2:$C$101)</f>
        <v>Electronics</v>
      </c>
      <c r="K900">
        <f>_xlfn.XLOOKUP(E900, Product_Master!$A$2:$A$101, Product_Master!$D$2:$D$101)</f>
        <v>20000</v>
      </c>
      <c r="L900">
        <f>_xlfn.XLOOKUP(E900, Product_Master!$A$2:$A$101, Product_Master!$E$2:$E$101)</f>
        <v>25000</v>
      </c>
      <c r="M900">
        <f t="shared" si="71"/>
        <v>100000</v>
      </c>
      <c r="N900">
        <f t="shared" si="72"/>
        <v>80000</v>
      </c>
      <c r="O900">
        <f t="shared" si="73"/>
        <v>20000</v>
      </c>
      <c r="P900" s="3">
        <f t="shared" si="74"/>
        <v>0.2</v>
      </c>
      <c r="Q900" s="3" t="str">
        <v>Low Profit</v>
      </c>
    </row>
    <row r="901" spans="1:17" x14ac:dyDescent="0.3">
      <c r="A901" t="s">
        <v>1348</v>
      </c>
      <c r="B901" s="2">
        <v>46017</v>
      </c>
      <c r="C901" s="2" t="str">
        <f t="shared" si="70"/>
        <v>December</v>
      </c>
      <c r="D901" t="s">
        <v>268</v>
      </c>
      <c r="E901" t="s">
        <v>419</v>
      </c>
      <c r="F901">
        <v>2</v>
      </c>
      <c r="G901" t="s">
        <v>10</v>
      </c>
      <c r="H901" t="s">
        <v>17</v>
      </c>
      <c r="I901" t="s">
        <v>344</v>
      </c>
      <c r="J901" t="str">
        <f>_xlfn.XLOOKUP(E901, Product_Master!$A$2:$A$101, Product_Master!$C$2:$C$101)</f>
        <v>Accessories</v>
      </c>
      <c r="K901">
        <f>_xlfn.XLOOKUP(E901, Product_Master!$A$2:$A$101, Product_Master!$D$2:$D$101)</f>
        <v>2000</v>
      </c>
      <c r="L901">
        <f>_xlfn.XLOOKUP(E901, Product_Master!$A$2:$A$101, Product_Master!$E$2:$E$101)</f>
        <v>3000</v>
      </c>
      <c r="M901">
        <f t="shared" si="71"/>
        <v>6000</v>
      </c>
      <c r="N901">
        <f t="shared" si="72"/>
        <v>4000</v>
      </c>
      <c r="O901">
        <f t="shared" si="73"/>
        <v>2000</v>
      </c>
      <c r="P901" s="3">
        <f t="shared" si="74"/>
        <v>0.33333333333333331</v>
      </c>
      <c r="Q901" s="3" t="str">
        <v>High Profit</v>
      </c>
    </row>
    <row r="902" spans="1:17" x14ac:dyDescent="0.3">
      <c r="A902" t="s">
        <v>1349</v>
      </c>
      <c r="B902" s="2">
        <v>45918</v>
      </c>
      <c r="C902" s="2" t="str">
        <f t="shared" si="70"/>
        <v>September</v>
      </c>
      <c r="D902" t="s">
        <v>318</v>
      </c>
      <c r="E902" t="s">
        <v>438</v>
      </c>
      <c r="F902">
        <v>4</v>
      </c>
      <c r="G902" t="s">
        <v>16</v>
      </c>
      <c r="H902" t="s">
        <v>31</v>
      </c>
      <c r="I902" t="s">
        <v>329</v>
      </c>
      <c r="J902" t="str">
        <f>_xlfn.XLOOKUP(E902, Product_Master!$A$2:$A$101, Product_Master!$C$2:$C$101)</f>
        <v>Electronics</v>
      </c>
      <c r="K902">
        <f>_xlfn.XLOOKUP(E902, Product_Master!$A$2:$A$101, Product_Master!$D$2:$D$101)</f>
        <v>20000</v>
      </c>
      <c r="L902">
        <f>_xlfn.XLOOKUP(E902, Product_Master!$A$2:$A$101, Product_Master!$E$2:$E$101)</f>
        <v>25000</v>
      </c>
      <c r="M902">
        <f t="shared" si="71"/>
        <v>100000</v>
      </c>
      <c r="N902">
        <f t="shared" si="72"/>
        <v>80000</v>
      </c>
      <c r="O902">
        <f t="shared" si="73"/>
        <v>20000</v>
      </c>
      <c r="P902" s="3">
        <f t="shared" si="74"/>
        <v>0.2</v>
      </c>
      <c r="Q902" s="3" t="str">
        <v>Low Profit</v>
      </c>
    </row>
    <row r="903" spans="1:17" x14ac:dyDescent="0.3">
      <c r="A903" t="s">
        <v>1350</v>
      </c>
      <c r="B903" s="2">
        <v>45771</v>
      </c>
      <c r="C903" s="2" t="str">
        <f t="shared" si="70"/>
        <v>April</v>
      </c>
      <c r="D903" t="s">
        <v>151</v>
      </c>
      <c r="E903" t="s">
        <v>418</v>
      </c>
      <c r="F903">
        <v>4</v>
      </c>
      <c r="G903" t="s">
        <v>22</v>
      </c>
      <c r="H903" t="s">
        <v>39</v>
      </c>
      <c r="I903" t="s">
        <v>329</v>
      </c>
      <c r="J903" t="str">
        <f>_xlfn.XLOOKUP(E903, Product_Master!$A$2:$A$101, Product_Master!$C$2:$C$101)</f>
        <v>Electronics</v>
      </c>
      <c r="K903">
        <f>_xlfn.XLOOKUP(E903, Product_Master!$A$2:$A$101, Product_Master!$D$2:$D$101)</f>
        <v>20000</v>
      </c>
      <c r="L903">
        <f>_xlfn.XLOOKUP(E903, Product_Master!$A$2:$A$101, Product_Master!$E$2:$E$101)</f>
        <v>25000</v>
      </c>
      <c r="M903">
        <f t="shared" si="71"/>
        <v>100000</v>
      </c>
      <c r="N903">
        <f t="shared" si="72"/>
        <v>80000</v>
      </c>
      <c r="O903">
        <f t="shared" si="73"/>
        <v>20000</v>
      </c>
      <c r="P903" s="3">
        <f t="shared" si="74"/>
        <v>0.2</v>
      </c>
      <c r="Q903" s="3" t="str">
        <v>Low Profit</v>
      </c>
    </row>
    <row r="904" spans="1:17" x14ac:dyDescent="0.3">
      <c r="A904" t="s">
        <v>1351</v>
      </c>
      <c r="B904" s="2">
        <v>45729</v>
      </c>
      <c r="C904" s="2" t="str">
        <f t="shared" si="70"/>
        <v>March</v>
      </c>
      <c r="D904" t="s">
        <v>469</v>
      </c>
      <c r="E904" t="s">
        <v>362</v>
      </c>
      <c r="F904">
        <v>5</v>
      </c>
      <c r="G904" t="s">
        <v>1454</v>
      </c>
      <c r="H904" t="s">
        <v>1455</v>
      </c>
      <c r="I904" t="s">
        <v>332</v>
      </c>
      <c r="J904" t="str">
        <f>_xlfn.XLOOKUP(E904, Product_Master!$A$2:$A$101, Product_Master!$C$2:$C$101)</f>
        <v>Accessories</v>
      </c>
      <c r="K904">
        <f>_xlfn.XLOOKUP(E904, Product_Master!$A$2:$A$101, Product_Master!$D$2:$D$101)</f>
        <v>500</v>
      </c>
      <c r="L904">
        <f>_xlfn.XLOOKUP(E904, Product_Master!$A$2:$A$101, Product_Master!$E$2:$E$101)</f>
        <v>800</v>
      </c>
      <c r="M904">
        <f t="shared" si="71"/>
        <v>4000</v>
      </c>
      <c r="N904">
        <f t="shared" si="72"/>
        <v>2500</v>
      </c>
      <c r="O904">
        <f t="shared" si="73"/>
        <v>1500</v>
      </c>
      <c r="P904" s="3">
        <f t="shared" si="74"/>
        <v>0.375</v>
      </c>
      <c r="Q904" s="3" t="str">
        <v>High Profit</v>
      </c>
    </row>
    <row r="905" spans="1:17" x14ac:dyDescent="0.3">
      <c r="A905" t="s">
        <v>1352</v>
      </c>
      <c r="B905" s="2">
        <v>45848</v>
      </c>
      <c r="C905" s="2" t="str">
        <f t="shared" si="70"/>
        <v>July</v>
      </c>
      <c r="D905" t="s">
        <v>301</v>
      </c>
      <c r="E905" t="s">
        <v>411</v>
      </c>
      <c r="F905">
        <v>5</v>
      </c>
      <c r="G905" t="s">
        <v>22</v>
      </c>
      <c r="H905" t="s">
        <v>5</v>
      </c>
      <c r="I905" t="s">
        <v>346</v>
      </c>
      <c r="J905" t="str">
        <f>_xlfn.XLOOKUP(E905, Product_Master!$A$2:$A$101, Product_Master!$C$2:$C$101)</f>
        <v>Accessories</v>
      </c>
      <c r="K905">
        <f>_xlfn.XLOOKUP(E905, Product_Master!$A$2:$A$101, Product_Master!$D$2:$D$101)</f>
        <v>9000</v>
      </c>
      <c r="L905">
        <f>_xlfn.XLOOKUP(E905, Product_Master!$A$2:$A$101, Product_Master!$E$2:$E$101)</f>
        <v>12000</v>
      </c>
      <c r="M905">
        <f t="shared" si="71"/>
        <v>60000</v>
      </c>
      <c r="N905">
        <f t="shared" si="72"/>
        <v>45000</v>
      </c>
      <c r="O905">
        <f t="shared" si="73"/>
        <v>15000</v>
      </c>
      <c r="P905" s="3">
        <f t="shared" si="74"/>
        <v>0.25</v>
      </c>
      <c r="Q905" s="3" t="str">
        <v>High Profit</v>
      </c>
    </row>
    <row r="906" spans="1:17" x14ac:dyDescent="0.3">
      <c r="A906" t="s">
        <v>1353</v>
      </c>
      <c r="B906" s="2">
        <v>45770</v>
      </c>
      <c r="C906" s="2" t="str">
        <f t="shared" si="70"/>
        <v>April</v>
      </c>
      <c r="D906" t="s">
        <v>87</v>
      </c>
      <c r="E906" t="s">
        <v>349</v>
      </c>
      <c r="F906">
        <v>5</v>
      </c>
      <c r="G906" t="s">
        <v>47</v>
      </c>
      <c r="H906" t="s">
        <v>20</v>
      </c>
      <c r="I906" t="s">
        <v>346</v>
      </c>
      <c r="J906" t="str">
        <f>_xlfn.XLOOKUP(E906, Product_Master!$A$2:$A$101, Product_Master!$C$2:$C$101)</f>
        <v>Accessories</v>
      </c>
      <c r="K906">
        <f>_xlfn.XLOOKUP(E906, Product_Master!$A$2:$A$101, Product_Master!$D$2:$D$101)</f>
        <v>9000</v>
      </c>
      <c r="L906">
        <f>_xlfn.XLOOKUP(E906, Product_Master!$A$2:$A$101, Product_Master!$E$2:$E$101)</f>
        <v>12000</v>
      </c>
      <c r="M906">
        <f t="shared" si="71"/>
        <v>60000</v>
      </c>
      <c r="N906">
        <f t="shared" si="72"/>
        <v>45000</v>
      </c>
      <c r="O906">
        <f t="shared" si="73"/>
        <v>15000</v>
      </c>
      <c r="P906" s="3">
        <f t="shared" si="74"/>
        <v>0.25</v>
      </c>
      <c r="Q906" s="3" t="str">
        <v>High Profit</v>
      </c>
    </row>
    <row r="907" spans="1:17" x14ac:dyDescent="0.3">
      <c r="A907" t="s">
        <v>1354</v>
      </c>
      <c r="B907" s="2">
        <v>45881</v>
      </c>
      <c r="C907" s="2" t="str">
        <f t="shared" si="70"/>
        <v>August</v>
      </c>
      <c r="D907" t="s">
        <v>202</v>
      </c>
      <c r="E907" t="s">
        <v>372</v>
      </c>
      <c r="F907">
        <v>5</v>
      </c>
      <c r="G907" t="s">
        <v>4</v>
      </c>
      <c r="H907" t="s">
        <v>20</v>
      </c>
      <c r="I907" t="s">
        <v>340</v>
      </c>
      <c r="J907" t="str">
        <f>_xlfn.XLOOKUP(E907, Product_Master!$A$2:$A$101, Product_Master!$C$2:$C$101)</f>
        <v>Electronics</v>
      </c>
      <c r="K907">
        <f>_xlfn.XLOOKUP(E907, Product_Master!$A$2:$A$101, Product_Master!$D$2:$D$101)</f>
        <v>42000</v>
      </c>
      <c r="L907">
        <f>_xlfn.XLOOKUP(E907, Product_Master!$A$2:$A$101, Product_Master!$E$2:$E$101)</f>
        <v>50000</v>
      </c>
      <c r="M907">
        <f t="shared" si="71"/>
        <v>250000</v>
      </c>
      <c r="N907">
        <f t="shared" si="72"/>
        <v>210000</v>
      </c>
      <c r="O907">
        <f t="shared" si="73"/>
        <v>40000</v>
      </c>
      <c r="P907" s="3">
        <f t="shared" si="74"/>
        <v>0.16</v>
      </c>
      <c r="Q907" s="3" t="str">
        <v>Low Profit</v>
      </c>
    </row>
    <row r="908" spans="1:17" x14ac:dyDescent="0.3">
      <c r="A908" t="s">
        <v>1355</v>
      </c>
      <c r="B908" s="2">
        <v>45756</v>
      </c>
      <c r="C908" s="2" t="str">
        <f t="shared" si="70"/>
        <v>April</v>
      </c>
      <c r="D908" t="s">
        <v>156</v>
      </c>
      <c r="E908" t="s">
        <v>348</v>
      </c>
      <c r="F908">
        <v>4</v>
      </c>
      <c r="G908" t="s">
        <v>4</v>
      </c>
      <c r="H908" t="s">
        <v>20</v>
      </c>
      <c r="I908" t="s">
        <v>335</v>
      </c>
      <c r="J908" t="str">
        <f>_xlfn.XLOOKUP(E908, Product_Master!$A$2:$A$101, Product_Master!$C$2:$C$101)</f>
        <v>Accessories</v>
      </c>
      <c r="K908">
        <f>_xlfn.XLOOKUP(E908, Product_Master!$A$2:$A$101, Product_Master!$D$2:$D$101)</f>
        <v>900</v>
      </c>
      <c r="L908">
        <f>_xlfn.XLOOKUP(E908, Product_Master!$A$2:$A$101, Product_Master!$E$2:$E$101)</f>
        <v>1500</v>
      </c>
      <c r="M908">
        <f t="shared" si="71"/>
        <v>6000</v>
      </c>
      <c r="N908">
        <f t="shared" si="72"/>
        <v>3600</v>
      </c>
      <c r="O908">
        <f t="shared" si="73"/>
        <v>2400</v>
      </c>
      <c r="P908" s="3">
        <f t="shared" si="74"/>
        <v>0.4</v>
      </c>
      <c r="Q908" s="3" t="str">
        <v>High Profit</v>
      </c>
    </row>
    <row r="909" spans="1:17" x14ac:dyDescent="0.3">
      <c r="A909" t="s">
        <v>1356</v>
      </c>
      <c r="B909" s="2">
        <v>45834</v>
      </c>
      <c r="C909" s="2" t="str">
        <f t="shared" si="70"/>
        <v>June</v>
      </c>
      <c r="D909" t="s">
        <v>300</v>
      </c>
      <c r="E909" t="s">
        <v>410</v>
      </c>
      <c r="F909">
        <v>1</v>
      </c>
      <c r="G909" t="s">
        <v>16</v>
      </c>
      <c r="H909" t="s">
        <v>20</v>
      </c>
      <c r="I909" t="s">
        <v>353</v>
      </c>
      <c r="J909" t="str">
        <f>_xlfn.XLOOKUP(E909, Product_Master!$A$2:$A$101, Product_Master!$C$2:$C$101)</f>
        <v>Electronics</v>
      </c>
      <c r="K909">
        <f>_xlfn.XLOOKUP(E909, Product_Master!$A$2:$A$101, Product_Master!$D$2:$D$101)</f>
        <v>12000</v>
      </c>
      <c r="L909">
        <f>_xlfn.XLOOKUP(E909, Product_Master!$A$2:$A$101, Product_Master!$E$2:$E$101)</f>
        <v>15000</v>
      </c>
      <c r="M909">
        <f t="shared" si="71"/>
        <v>15000</v>
      </c>
      <c r="N909">
        <f t="shared" si="72"/>
        <v>12000</v>
      </c>
      <c r="O909">
        <f t="shared" si="73"/>
        <v>3000</v>
      </c>
      <c r="P909" s="3">
        <f t="shared" si="74"/>
        <v>0.2</v>
      </c>
      <c r="Q909" s="3" t="str">
        <v>Low Profit</v>
      </c>
    </row>
    <row r="910" spans="1:17" x14ac:dyDescent="0.3">
      <c r="A910" t="s">
        <v>1357</v>
      </c>
      <c r="B910" s="2">
        <v>45704</v>
      </c>
      <c r="C910" s="2" t="str">
        <f t="shared" si="70"/>
        <v>February</v>
      </c>
      <c r="D910" t="s">
        <v>155</v>
      </c>
      <c r="E910" t="s">
        <v>386</v>
      </c>
      <c r="F910">
        <v>2</v>
      </c>
      <c r="G910" t="s">
        <v>4</v>
      </c>
      <c r="H910" t="s">
        <v>20</v>
      </c>
      <c r="I910" t="s">
        <v>335</v>
      </c>
      <c r="J910" t="str">
        <f>_xlfn.XLOOKUP(E910, Product_Master!$A$2:$A$101, Product_Master!$C$2:$C$101)</f>
        <v>Accessories</v>
      </c>
      <c r="K910">
        <f>_xlfn.XLOOKUP(E910, Product_Master!$A$2:$A$101, Product_Master!$D$2:$D$101)</f>
        <v>900</v>
      </c>
      <c r="L910">
        <f>_xlfn.XLOOKUP(E910, Product_Master!$A$2:$A$101, Product_Master!$E$2:$E$101)</f>
        <v>1500</v>
      </c>
      <c r="M910">
        <f t="shared" si="71"/>
        <v>3000</v>
      </c>
      <c r="N910">
        <f t="shared" si="72"/>
        <v>1800</v>
      </c>
      <c r="O910">
        <f t="shared" si="73"/>
        <v>1200</v>
      </c>
      <c r="P910" s="3">
        <f t="shared" si="74"/>
        <v>0.4</v>
      </c>
      <c r="Q910" s="3" t="str">
        <v>High Profit</v>
      </c>
    </row>
    <row r="911" spans="1:17" x14ac:dyDescent="0.3">
      <c r="A911" t="s">
        <v>1358</v>
      </c>
      <c r="B911" s="2">
        <v>45769</v>
      </c>
      <c r="C911" s="2" t="str">
        <f t="shared" si="70"/>
        <v>April</v>
      </c>
      <c r="D911" t="s">
        <v>256</v>
      </c>
      <c r="E911" t="s">
        <v>366</v>
      </c>
      <c r="F911">
        <v>4</v>
      </c>
      <c r="G911" t="s">
        <v>37</v>
      </c>
      <c r="H911" t="s">
        <v>20</v>
      </c>
      <c r="I911" t="s">
        <v>340</v>
      </c>
      <c r="J911" t="str">
        <f>_xlfn.XLOOKUP(E911, Product_Master!$A$2:$A$101, Product_Master!$C$2:$C$101)</f>
        <v>Electronics</v>
      </c>
      <c r="K911">
        <f>_xlfn.XLOOKUP(E911, Product_Master!$A$2:$A$101, Product_Master!$D$2:$D$101)</f>
        <v>42000</v>
      </c>
      <c r="L911">
        <f>_xlfn.XLOOKUP(E911, Product_Master!$A$2:$A$101, Product_Master!$E$2:$E$101)</f>
        <v>50000</v>
      </c>
      <c r="M911">
        <f t="shared" si="71"/>
        <v>200000</v>
      </c>
      <c r="N911">
        <f t="shared" si="72"/>
        <v>168000</v>
      </c>
      <c r="O911">
        <f t="shared" si="73"/>
        <v>32000</v>
      </c>
      <c r="P911" s="3">
        <f t="shared" si="74"/>
        <v>0.16</v>
      </c>
      <c r="Q911" s="3" t="str">
        <v>Low Profit</v>
      </c>
    </row>
    <row r="912" spans="1:17" x14ac:dyDescent="0.3">
      <c r="A912" t="s">
        <v>1359</v>
      </c>
      <c r="B912" s="2">
        <v>46003</v>
      </c>
      <c r="C912" s="2" t="str">
        <f t="shared" si="70"/>
        <v>December</v>
      </c>
      <c r="D912" t="s">
        <v>469</v>
      </c>
      <c r="E912" t="s">
        <v>403</v>
      </c>
      <c r="F912">
        <v>1</v>
      </c>
      <c r="G912" t="s">
        <v>1454</v>
      </c>
      <c r="H912" t="s">
        <v>1455</v>
      </c>
      <c r="I912" t="s">
        <v>353</v>
      </c>
      <c r="J912" t="str">
        <f>_xlfn.XLOOKUP(E912, Product_Master!$A$2:$A$101, Product_Master!$C$2:$C$101)</f>
        <v>Electronics</v>
      </c>
      <c r="K912">
        <f>_xlfn.XLOOKUP(E912, Product_Master!$A$2:$A$101, Product_Master!$D$2:$D$101)</f>
        <v>12000</v>
      </c>
      <c r="L912">
        <f>_xlfn.XLOOKUP(E912, Product_Master!$A$2:$A$101, Product_Master!$E$2:$E$101)</f>
        <v>15000</v>
      </c>
      <c r="M912">
        <f t="shared" si="71"/>
        <v>15000</v>
      </c>
      <c r="N912">
        <f t="shared" si="72"/>
        <v>12000</v>
      </c>
      <c r="O912">
        <f t="shared" si="73"/>
        <v>3000</v>
      </c>
      <c r="P912" s="3">
        <f t="shared" si="74"/>
        <v>0.2</v>
      </c>
      <c r="Q912" s="3" t="str">
        <v>Low Profit</v>
      </c>
    </row>
    <row r="913" spans="1:17" x14ac:dyDescent="0.3">
      <c r="A913" t="s">
        <v>1360</v>
      </c>
      <c r="B913" s="2">
        <v>45963</v>
      </c>
      <c r="C913" s="2" t="str">
        <f t="shared" si="70"/>
        <v>November</v>
      </c>
      <c r="D913" t="s">
        <v>207</v>
      </c>
      <c r="E913" t="s">
        <v>373</v>
      </c>
      <c r="F913">
        <v>4</v>
      </c>
      <c r="G913" t="s">
        <v>37</v>
      </c>
      <c r="H913" t="s">
        <v>27</v>
      </c>
      <c r="I913" t="s">
        <v>335</v>
      </c>
      <c r="J913" t="str">
        <f>_xlfn.XLOOKUP(E913, Product_Master!$A$2:$A$101, Product_Master!$C$2:$C$101)</f>
        <v>Accessories</v>
      </c>
      <c r="K913">
        <f>_xlfn.XLOOKUP(E913, Product_Master!$A$2:$A$101, Product_Master!$D$2:$D$101)</f>
        <v>900</v>
      </c>
      <c r="L913">
        <f>_xlfn.XLOOKUP(E913, Product_Master!$A$2:$A$101, Product_Master!$E$2:$E$101)</f>
        <v>1500</v>
      </c>
      <c r="M913">
        <f t="shared" si="71"/>
        <v>6000</v>
      </c>
      <c r="N913">
        <f t="shared" si="72"/>
        <v>3600</v>
      </c>
      <c r="O913">
        <f t="shared" si="73"/>
        <v>2400</v>
      </c>
      <c r="P913" s="3">
        <f t="shared" si="74"/>
        <v>0.4</v>
      </c>
      <c r="Q913" s="3" t="str">
        <v>High Profit</v>
      </c>
    </row>
    <row r="914" spans="1:17" x14ac:dyDescent="0.3">
      <c r="A914" t="s">
        <v>1361</v>
      </c>
      <c r="B914" s="2">
        <v>45974</v>
      </c>
      <c r="C914" s="2" t="str">
        <f t="shared" si="70"/>
        <v>November</v>
      </c>
      <c r="D914" t="s">
        <v>290</v>
      </c>
      <c r="E914" t="s">
        <v>395</v>
      </c>
      <c r="F914">
        <v>3</v>
      </c>
      <c r="G914" t="s">
        <v>16</v>
      </c>
      <c r="H914" t="s">
        <v>27</v>
      </c>
      <c r="I914" t="s">
        <v>340</v>
      </c>
      <c r="J914" t="str">
        <f>_xlfn.XLOOKUP(E914, Product_Master!$A$2:$A$101, Product_Master!$C$2:$C$101)</f>
        <v>Electronics</v>
      </c>
      <c r="K914">
        <f>_xlfn.XLOOKUP(E914, Product_Master!$A$2:$A$101, Product_Master!$D$2:$D$101)</f>
        <v>42000</v>
      </c>
      <c r="L914">
        <f>_xlfn.XLOOKUP(E914, Product_Master!$A$2:$A$101, Product_Master!$E$2:$E$101)</f>
        <v>50000</v>
      </c>
      <c r="M914">
        <f t="shared" si="71"/>
        <v>150000</v>
      </c>
      <c r="N914">
        <f t="shared" si="72"/>
        <v>126000</v>
      </c>
      <c r="O914">
        <f t="shared" si="73"/>
        <v>24000</v>
      </c>
      <c r="P914" s="3">
        <f t="shared" si="74"/>
        <v>0.16</v>
      </c>
      <c r="Q914" s="3" t="str">
        <v>Low Profit</v>
      </c>
    </row>
    <row r="915" spans="1:17" x14ac:dyDescent="0.3">
      <c r="A915" t="s">
        <v>1362</v>
      </c>
      <c r="B915" s="2">
        <v>45676</v>
      </c>
      <c r="C915" s="2" t="str">
        <f t="shared" si="70"/>
        <v>January</v>
      </c>
      <c r="D915" t="s">
        <v>172</v>
      </c>
      <c r="E915" t="s">
        <v>405</v>
      </c>
      <c r="F915">
        <v>2</v>
      </c>
      <c r="G915" t="s">
        <v>10</v>
      </c>
      <c r="H915" t="s">
        <v>39</v>
      </c>
      <c r="I915" t="s">
        <v>332</v>
      </c>
      <c r="J915" t="str">
        <f>_xlfn.XLOOKUP(E915, Product_Master!$A$2:$A$101, Product_Master!$C$2:$C$101)</f>
        <v>Accessories</v>
      </c>
      <c r="K915">
        <f>_xlfn.XLOOKUP(E915, Product_Master!$A$2:$A$101, Product_Master!$D$2:$D$101)</f>
        <v>500</v>
      </c>
      <c r="L915">
        <f>_xlfn.XLOOKUP(E915, Product_Master!$A$2:$A$101, Product_Master!$E$2:$E$101)</f>
        <v>800</v>
      </c>
      <c r="M915">
        <f t="shared" si="71"/>
        <v>1600</v>
      </c>
      <c r="N915">
        <f t="shared" si="72"/>
        <v>1000</v>
      </c>
      <c r="O915">
        <f t="shared" si="73"/>
        <v>600</v>
      </c>
      <c r="P915" s="3">
        <f t="shared" si="74"/>
        <v>0.375</v>
      </c>
      <c r="Q915" s="3" t="str">
        <v>High Profit</v>
      </c>
    </row>
    <row r="916" spans="1:17" x14ac:dyDescent="0.3">
      <c r="A916" t="s">
        <v>1363</v>
      </c>
      <c r="B916" s="2">
        <v>45942</v>
      </c>
      <c r="C916" s="2" t="str">
        <f t="shared" si="70"/>
        <v>October</v>
      </c>
      <c r="D916" t="s">
        <v>195</v>
      </c>
      <c r="E916" t="s">
        <v>396</v>
      </c>
      <c r="F916">
        <v>1</v>
      </c>
      <c r="G916" t="s">
        <v>12</v>
      </c>
      <c r="H916" t="s">
        <v>17</v>
      </c>
      <c r="I916" t="s">
        <v>335</v>
      </c>
      <c r="J916" t="str">
        <f>_xlfn.XLOOKUP(E916, Product_Master!$A$2:$A$101, Product_Master!$C$2:$C$101)</f>
        <v>Accessories</v>
      </c>
      <c r="K916">
        <f>_xlfn.XLOOKUP(E916, Product_Master!$A$2:$A$101, Product_Master!$D$2:$D$101)</f>
        <v>900</v>
      </c>
      <c r="L916">
        <f>_xlfn.XLOOKUP(E916, Product_Master!$A$2:$A$101, Product_Master!$E$2:$E$101)</f>
        <v>1500</v>
      </c>
      <c r="M916">
        <f t="shared" si="71"/>
        <v>1500</v>
      </c>
      <c r="N916">
        <f t="shared" si="72"/>
        <v>900</v>
      </c>
      <c r="O916">
        <f t="shared" si="73"/>
        <v>600</v>
      </c>
      <c r="P916" s="3">
        <f t="shared" si="74"/>
        <v>0.4</v>
      </c>
      <c r="Q916" s="3" t="str">
        <v>High Profit</v>
      </c>
    </row>
    <row r="917" spans="1:17" x14ac:dyDescent="0.3">
      <c r="A917" t="s">
        <v>1364</v>
      </c>
      <c r="B917" s="2">
        <v>45764</v>
      </c>
      <c r="C917" s="2" t="str">
        <f t="shared" si="70"/>
        <v>April</v>
      </c>
      <c r="D917" t="s">
        <v>95</v>
      </c>
      <c r="E917" t="s">
        <v>398</v>
      </c>
      <c r="F917">
        <v>3</v>
      </c>
      <c r="G917" t="s">
        <v>24</v>
      </c>
      <c r="H917" t="s">
        <v>5</v>
      </c>
      <c r="I917" t="s">
        <v>344</v>
      </c>
      <c r="J917" t="str">
        <f>_xlfn.XLOOKUP(E917, Product_Master!$A$2:$A$101, Product_Master!$C$2:$C$101)</f>
        <v>Accessories</v>
      </c>
      <c r="K917">
        <f>_xlfn.XLOOKUP(E917, Product_Master!$A$2:$A$101, Product_Master!$D$2:$D$101)</f>
        <v>2000</v>
      </c>
      <c r="L917">
        <f>_xlfn.XLOOKUP(E917, Product_Master!$A$2:$A$101, Product_Master!$E$2:$E$101)</f>
        <v>3000</v>
      </c>
      <c r="M917">
        <f t="shared" si="71"/>
        <v>9000</v>
      </c>
      <c r="N917">
        <f t="shared" si="72"/>
        <v>6000</v>
      </c>
      <c r="O917">
        <f t="shared" si="73"/>
        <v>3000</v>
      </c>
      <c r="P917" s="3">
        <f t="shared" si="74"/>
        <v>0.33333333333333331</v>
      </c>
      <c r="Q917" s="3" t="str">
        <v>High Profit</v>
      </c>
    </row>
    <row r="918" spans="1:17" x14ac:dyDescent="0.3">
      <c r="A918" t="s">
        <v>1365</v>
      </c>
      <c r="B918" s="2">
        <v>45784</v>
      </c>
      <c r="C918" s="2" t="str">
        <f t="shared" si="70"/>
        <v>May</v>
      </c>
      <c r="D918" t="s">
        <v>73</v>
      </c>
      <c r="E918" t="s">
        <v>357</v>
      </c>
      <c r="F918">
        <v>3</v>
      </c>
      <c r="G918" t="s">
        <v>7</v>
      </c>
      <c r="H918" t="s">
        <v>20</v>
      </c>
      <c r="I918" t="s">
        <v>340</v>
      </c>
      <c r="J918" t="str">
        <f>_xlfn.XLOOKUP(E918, Product_Master!$A$2:$A$101, Product_Master!$C$2:$C$101)</f>
        <v>Electronics</v>
      </c>
      <c r="K918">
        <f>_xlfn.XLOOKUP(E918, Product_Master!$A$2:$A$101, Product_Master!$D$2:$D$101)</f>
        <v>42000</v>
      </c>
      <c r="L918">
        <f>_xlfn.XLOOKUP(E918, Product_Master!$A$2:$A$101, Product_Master!$E$2:$E$101)</f>
        <v>50000</v>
      </c>
      <c r="M918">
        <f t="shared" si="71"/>
        <v>150000</v>
      </c>
      <c r="N918">
        <f t="shared" si="72"/>
        <v>126000</v>
      </c>
      <c r="O918">
        <f t="shared" si="73"/>
        <v>24000</v>
      </c>
      <c r="P918" s="3">
        <f t="shared" si="74"/>
        <v>0.16</v>
      </c>
      <c r="Q918" s="3" t="str">
        <v>Low Profit</v>
      </c>
    </row>
    <row r="919" spans="1:17" x14ac:dyDescent="0.3">
      <c r="A919" t="s">
        <v>1366</v>
      </c>
      <c r="B919" s="2">
        <v>45660</v>
      </c>
      <c r="C919" s="2" t="str">
        <f t="shared" si="70"/>
        <v>January</v>
      </c>
      <c r="D919" t="s">
        <v>61</v>
      </c>
      <c r="E919" t="s">
        <v>431</v>
      </c>
      <c r="F919">
        <v>2</v>
      </c>
      <c r="G919" t="s">
        <v>7</v>
      </c>
      <c r="H919" t="s">
        <v>5</v>
      </c>
      <c r="I919" t="s">
        <v>332</v>
      </c>
      <c r="J919" t="str">
        <f>_xlfn.XLOOKUP(E919, Product_Master!$A$2:$A$101, Product_Master!$C$2:$C$101)</f>
        <v>Accessories</v>
      </c>
      <c r="K919">
        <f>_xlfn.XLOOKUP(E919, Product_Master!$A$2:$A$101, Product_Master!$D$2:$D$101)</f>
        <v>500</v>
      </c>
      <c r="L919">
        <f>_xlfn.XLOOKUP(E919, Product_Master!$A$2:$A$101, Product_Master!$E$2:$E$101)</f>
        <v>800</v>
      </c>
      <c r="M919">
        <f t="shared" si="71"/>
        <v>1600</v>
      </c>
      <c r="N919">
        <f t="shared" si="72"/>
        <v>1000</v>
      </c>
      <c r="O919">
        <f t="shared" si="73"/>
        <v>600</v>
      </c>
      <c r="P919" s="3">
        <f t="shared" si="74"/>
        <v>0.375</v>
      </c>
      <c r="Q919" s="3" t="str">
        <v>High Profit</v>
      </c>
    </row>
    <row r="920" spans="1:17" x14ac:dyDescent="0.3">
      <c r="A920" t="s">
        <v>1367</v>
      </c>
      <c r="B920" s="2">
        <v>46019</v>
      </c>
      <c r="C920" s="2" t="str">
        <f t="shared" si="70"/>
        <v>December</v>
      </c>
      <c r="D920" t="s">
        <v>78</v>
      </c>
      <c r="E920" t="s">
        <v>358</v>
      </c>
      <c r="F920">
        <v>1</v>
      </c>
      <c r="G920" t="s">
        <v>7</v>
      </c>
      <c r="H920" t="s">
        <v>39</v>
      </c>
      <c r="I920" t="s">
        <v>332</v>
      </c>
      <c r="J920" t="str">
        <f>_xlfn.XLOOKUP(E920, Product_Master!$A$2:$A$101, Product_Master!$C$2:$C$101)</f>
        <v>Accessories</v>
      </c>
      <c r="K920">
        <f>_xlfn.XLOOKUP(E920, Product_Master!$A$2:$A$101, Product_Master!$D$2:$D$101)</f>
        <v>500</v>
      </c>
      <c r="L920">
        <f>_xlfn.XLOOKUP(E920, Product_Master!$A$2:$A$101, Product_Master!$E$2:$E$101)</f>
        <v>800</v>
      </c>
      <c r="M920">
        <f t="shared" si="71"/>
        <v>800</v>
      </c>
      <c r="N920">
        <f t="shared" si="72"/>
        <v>500</v>
      </c>
      <c r="O920">
        <f t="shared" si="73"/>
        <v>300</v>
      </c>
      <c r="P920" s="3">
        <f t="shared" si="74"/>
        <v>0.375</v>
      </c>
      <c r="Q920" s="3" t="str">
        <v>High Profit</v>
      </c>
    </row>
    <row r="921" spans="1:17" x14ac:dyDescent="0.3">
      <c r="A921" t="s">
        <v>1368</v>
      </c>
      <c r="B921" s="2">
        <v>45700</v>
      </c>
      <c r="C921" s="2" t="str">
        <f t="shared" si="70"/>
        <v>February</v>
      </c>
      <c r="D921" t="s">
        <v>73</v>
      </c>
      <c r="E921" t="s">
        <v>410</v>
      </c>
      <c r="F921">
        <v>4</v>
      </c>
      <c r="G921" t="s">
        <v>7</v>
      </c>
      <c r="H921" t="s">
        <v>20</v>
      </c>
      <c r="I921" t="s">
        <v>353</v>
      </c>
      <c r="J921" t="str">
        <f>_xlfn.XLOOKUP(E921, Product_Master!$A$2:$A$101, Product_Master!$C$2:$C$101)</f>
        <v>Electronics</v>
      </c>
      <c r="K921">
        <f>_xlfn.XLOOKUP(E921, Product_Master!$A$2:$A$101, Product_Master!$D$2:$D$101)</f>
        <v>12000</v>
      </c>
      <c r="L921">
        <f>_xlfn.XLOOKUP(E921, Product_Master!$A$2:$A$101, Product_Master!$E$2:$E$101)</f>
        <v>15000</v>
      </c>
      <c r="M921">
        <f t="shared" si="71"/>
        <v>60000</v>
      </c>
      <c r="N921">
        <f t="shared" si="72"/>
        <v>48000</v>
      </c>
      <c r="O921">
        <f t="shared" si="73"/>
        <v>12000</v>
      </c>
      <c r="P921" s="3">
        <f t="shared" si="74"/>
        <v>0.2</v>
      </c>
      <c r="Q921" s="3" t="str">
        <v>Low Profit</v>
      </c>
    </row>
    <row r="922" spans="1:17" x14ac:dyDescent="0.3">
      <c r="A922" t="s">
        <v>1369</v>
      </c>
      <c r="B922" s="2">
        <v>45914</v>
      </c>
      <c r="C922" s="2" t="str">
        <f t="shared" si="70"/>
        <v>September</v>
      </c>
      <c r="D922" t="s">
        <v>318</v>
      </c>
      <c r="E922" t="s">
        <v>342</v>
      </c>
      <c r="F922">
        <v>2</v>
      </c>
      <c r="G922" t="s">
        <v>16</v>
      </c>
      <c r="H922" t="s">
        <v>31</v>
      </c>
      <c r="I922" t="s">
        <v>337</v>
      </c>
      <c r="J922" t="str">
        <f>_xlfn.XLOOKUP(E922, Product_Master!$A$2:$A$101, Product_Master!$C$2:$C$101)</f>
        <v>Electronics</v>
      </c>
      <c r="K922">
        <f>_xlfn.XLOOKUP(E922, Product_Master!$A$2:$A$101, Product_Master!$D$2:$D$101)</f>
        <v>15000</v>
      </c>
      <c r="L922">
        <f>_xlfn.XLOOKUP(E922, Product_Master!$A$2:$A$101, Product_Master!$E$2:$E$101)</f>
        <v>18000</v>
      </c>
      <c r="M922">
        <f t="shared" si="71"/>
        <v>36000</v>
      </c>
      <c r="N922">
        <f t="shared" si="72"/>
        <v>30000</v>
      </c>
      <c r="O922">
        <f t="shared" si="73"/>
        <v>6000</v>
      </c>
      <c r="P922" s="3">
        <f t="shared" si="74"/>
        <v>0.16666666666666666</v>
      </c>
      <c r="Q922" s="3" t="str">
        <v>Low Profit</v>
      </c>
    </row>
    <row r="923" spans="1:17" x14ac:dyDescent="0.3">
      <c r="A923" t="s">
        <v>1370</v>
      </c>
      <c r="B923" s="2">
        <v>45957</v>
      </c>
      <c r="C923" s="2" t="str">
        <f t="shared" si="70"/>
        <v>October</v>
      </c>
      <c r="D923" t="s">
        <v>281</v>
      </c>
      <c r="E923" t="s">
        <v>348</v>
      </c>
      <c r="F923">
        <v>1</v>
      </c>
      <c r="G923" t="s">
        <v>47</v>
      </c>
      <c r="H923" t="s">
        <v>14</v>
      </c>
      <c r="I923" t="s">
        <v>335</v>
      </c>
      <c r="J923" t="str">
        <f>_xlfn.XLOOKUP(E923, Product_Master!$A$2:$A$101, Product_Master!$C$2:$C$101)</f>
        <v>Accessories</v>
      </c>
      <c r="K923">
        <f>_xlfn.XLOOKUP(E923, Product_Master!$A$2:$A$101, Product_Master!$D$2:$D$101)</f>
        <v>900</v>
      </c>
      <c r="L923">
        <f>_xlfn.XLOOKUP(E923, Product_Master!$A$2:$A$101, Product_Master!$E$2:$E$101)</f>
        <v>1500</v>
      </c>
      <c r="M923">
        <f t="shared" si="71"/>
        <v>1500</v>
      </c>
      <c r="N923">
        <f t="shared" si="72"/>
        <v>900</v>
      </c>
      <c r="O923">
        <f t="shared" si="73"/>
        <v>600</v>
      </c>
      <c r="P923" s="3">
        <f t="shared" si="74"/>
        <v>0.4</v>
      </c>
      <c r="Q923" s="3" t="str">
        <v>High Profit</v>
      </c>
    </row>
    <row r="924" spans="1:17" x14ac:dyDescent="0.3">
      <c r="A924" t="s">
        <v>1371</v>
      </c>
      <c r="B924" s="2">
        <v>46003</v>
      </c>
      <c r="C924" s="2" t="str">
        <f t="shared" si="70"/>
        <v>December</v>
      </c>
      <c r="D924" t="s">
        <v>90</v>
      </c>
      <c r="E924" t="s">
        <v>370</v>
      </c>
      <c r="F924">
        <v>4</v>
      </c>
      <c r="G924" t="s">
        <v>7</v>
      </c>
      <c r="H924" t="s">
        <v>14</v>
      </c>
      <c r="I924" t="s">
        <v>335</v>
      </c>
      <c r="J924" t="str">
        <f>_xlfn.XLOOKUP(E924, Product_Master!$A$2:$A$101, Product_Master!$C$2:$C$101)</f>
        <v>Accessories</v>
      </c>
      <c r="K924">
        <f>_xlfn.XLOOKUP(E924, Product_Master!$A$2:$A$101, Product_Master!$D$2:$D$101)</f>
        <v>900</v>
      </c>
      <c r="L924">
        <f>_xlfn.XLOOKUP(E924, Product_Master!$A$2:$A$101, Product_Master!$E$2:$E$101)</f>
        <v>1500</v>
      </c>
      <c r="M924">
        <f t="shared" si="71"/>
        <v>6000</v>
      </c>
      <c r="N924">
        <f t="shared" si="72"/>
        <v>3600</v>
      </c>
      <c r="O924">
        <f t="shared" si="73"/>
        <v>2400</v>
      </c>
      <c r="P924" s="3">
        <f t="shared" si="74"/>
        <v>0.4</v>
      </c>
      <c r="Q924" s="3" t="str">
        <v>High Profit</v>
      </c>
    </row>
    <row r="925" spans="1:17" x14ac:dyDescent="0.3">
      <c r="A925" t="s">
        <v>1372</v>
      </c>
      <c r="B925" s="2">
        <v>45982</v>
      </c>
      <c r="C925" s="2" t="str">
        <f t="shared" si="70"/>
        <v>November</v>
      </c>
      <c r="D925" t="s">
        <v>300</v>
      </c>
      <c r="E925" t="s">
        <v>373</v>
      </c>
      <c r="F925">
        <v>2</v>
      </c>
      <c r="G925" t="s">
        <v>16</v>
      </c>
      <c r="H925" t="s">
        <v>20</v>
      </c>
      <c r="I925" t="s">
        <v>335</v>
      </c>
      <c r="J925" t="str">
        <f>_xlfn.XLOOKUP(E925, Product_Master!$A$2:$A$101, Product_Master!$C$2:$C$101)</f>
        <v>Accessories</v>
      </c>
      <c r="K925">
        <f>_xlfn.XLOOKUP(E925, Product_Master!$A$2:$A$101, Product_Master!$D$2:$D$101)</f>
        <v>900</v>
      </c>
      <c r="L925">
        <f>_xlfn.XLOOKUP(E925, Product_Master!$A$2:$A$101, Product_Master!$E$2:$E$101)</f>
        <v>1500</v>
      </c>
      <c r="M925">
        <f t="shared" si="71"/>
        <v>3000</v>
      </c>
      <c r="N925">
        <f t="shared" si="72"/>
        <v>1800</v>
      </c>
      <c r="O925">
        <f t="shared" si="73"/>
        <v>1200</v>
      </c>
      <c r="P925" s="3">
        <f t="shared" si="74"/>
        <v>0.4</v>
      </c>
      <c r="Q925" s="3" t="str">
        <v>High Profit</v>
      </c>
    </row>
    <row r="926" spans="1:17" x14ac:dyDescent="0.3">
      <c r="A926" t="s">
        <v>1373</v>
      </c>
      <c r="B926" s="2">
        <v>45796</v>
      </c>
      <c r="C926" s="2" t="str">
        <f t="shared" si="70"/>
        <v>May</v>
      </c>
      <c r="D926" t="s">
        <v>93</v>
      </c>
      <c r="E926" t="s">
        <v>442</v>
      </c>
      <c r="F926">
        <v>4</v>
      </c>
      <c r="G926" t="s">
        <v>45</v>
      </c>
      <c r="H926" t="s">
        <v>14</v>
      </c>
      <c r="I926" t="s">
        <v>335</v>
      </c>
      <c r="J926" t="str">
        <f>_xlfn.XLOOKUP(E926, Product_Master!$A$2:$A$101, Product_Master!$C$2:$C$101)</f>
        <v>Accessories</v>
      </c>
      <c r="K926">
        <f>_xlfn.XLOOKUP(E926, Product_Master!$A$2:$A$101, Product_Master!$D$2:$D$101)</f>
        <v>900</v>
      </c>
      <c r="L926">
        <f>_xlfn.XLOOKUP(E926, Product_Master!$A$2:$A$101, Product_Master!$E$2:$E$101)</f>
        <v>1500</v>
      </c>
      <c r="M926">
        <f t="shared" si="71"/>
        <v>6000</v>
      </c>
      <c r="N926">
        <f t="shared" si="72"/>
        <v>3600</v>
      </c>
      <c r="O926">
        <f t="shared" si="73"/>
        <v>2400</v>
      </c>
      <c r="P926" s="3">
        <f t="shared" si="74"/>
        <v>0.4</v>
      </c>
      <c r="Q926" s="3" t="str">
        <v>High Profit</v>
      </c>
    </row>
    <row r="927" spans="1:17" x14ac:dyDescent="0.3">
      <c r="A927" t="s">
        <v>1374</v>
      </c>
      <c r="B927" s="2">
        <v>45807</v>
      </c>
      <c r="C927" s="2" t="str">
        <f t="shared" si="70"/>
        <v>May</v>
      </c>
      <c r="D927" t="s">
        <v>313</v>
      </c>
      <c r="E927" t="s">
        <v>359</v>
      </c>
      <c r="F927">
        <v>3</v>
      </c>
      <c r="G927" t="s">
        <v>4</v>
      </c>
      <c r="H927" t="s">
        <v>8</v>
      </c>
      <c r="I927" t="s">
        <v>329</v>
      </c>
      <c r="J927" t="str">
        <f>_xlfn.XLOOKUP(E927, Product_Master!$A$2:$A$101, Product_Master!$C$2:$C$101)</f>
        <v>Electronics</v>
      </c>
      <c r="K927">
        <f>_xlfn.XLOOKUP(E927, Product_Master!$A$2:$A$101, Product_Master!$D$2:$D$101)</f>
        <v>20000</v>
      </c>
      <c r="L927">
        <f>_xlfn.XLOOKUP(E927, Product_Master!$A$2:$A$101, Product_Master!$E$2:$E$101)</f>
        <v>25000</v>
      </c>
      <c r="M927">
        <f t="shared" si="71"/>
        <v>75000</v>
      </c>
      <c r="N927">
        <f t="shared" si="72"/>
        <v>60000</v>
      </c>
      <c r="O927">
        <f t="shared" si="73"/>
        <v>15000</v>
      </c>
      <c r="P927" s="3">
        <f t="shared" si="74"/>
        <v>0.2</v>
      </c>
      <c r="Q927" s="3" t="str">
        <v>Low Profit</v>
      </c>
    </row>
    <row r="928" spans="1:17" x14ac:dyDescent="0.3">
      <c r="A928" t="s">
        <v>1375</v>
      </c>
      <c r="B928" s="2">
        <v>45973</v>
      </c>
      <c r="C928" s="2" t="str">
        <f t="shared" si="70"/>
        <v>November</v>
      </c>
      <c r="D928" t="s">
        <v>299</v>
      </c>
      <c r="E928" t="s">
        <v>389</v>
      </c>
      <c r="F928">
        <v>5</v>
      </c>
      <c r="G928" t="s">
        <v>7</v>
      </c>
      <c r="H928" t="s">
        <v>39</v>
      </c>
      <c r="I928" t="s">
        <v>337</v>
      </c>
      <c r="J928" t="str">
        <f>_xlfn.XLOOKUP(E928, Product_Master!$A$2:$A$101, Product_Master!$C$2:$C$101)</f>
        <v>Electronics</v>
      </c>
      <c r="K928">
        <f>_xlfn.XLOOKUP(E928, Product_Master!$A$2:$A$101, Product_Master!$D$2:$D$101)</f>
        <v>15000</v>
      </c>
      <c r="L928">
        <f>_xlfn.XLOOKUP(E928, Product_Master!$A$2:$A$101, Product_Master!$E$2:$E$101)</f>
        <v>18000</v>
      </c>
      <c r="M928">
        <f t="shared" si="71"/>
        <v>90000</v>
      </c>
      <c r="N928">
        <f t="shared" si="72"/>
        <v>75000</v>
      </c>
      <c r="O928">
        <f t="shared" si="73"/>
        <v>15000</v>
      </c>
      <c r="P928" s="3">
        <f t="shared" si="74"/>
        <v>0.16666666666666666</v>
      </c>
      <c r="Q928" s="3" t="str">
        <v>Low Profit</v>
      </c>
    </row>
    <row r="929" spans="1:17" x14ac:dyDescent="0.3">
      <c r="A929" t="s">
        <v>1376</v>
      </c>
      <c r="B929" s="2">
        <v>45696</v>
      </c>
      <c r="C929" s="2" t="str">
        <f t="shared" si="70"/>
        <v>February</v>
      </c>
      <c r="D929" t="s">
        <v>25</v>
      </c>
      <c r="E929" t="s">
        <v>419</v>
      </c>
      <c r="F929">
        <v>3</v>
      </c>
      <c r="G929" t="s">
        <v>10</v>
      </c>
      <c r="H929" t="s">
        <v>8</v>
      </c>
      <c r="I929" t="s">
        <v>344</v>
      </c>
      <c r="J929" t="str">
        <f>_xlfn.XLOOKUP(E929, Product_Master!$A$2:$A$101, Product_Master!$C$2:$C$101)</f>
        <v>Accessories</v>
      </c>
      <c r="K929">
        <f>_xlfn.XLOOKUP(E929, Product_Master!$A$2:$A$101, Product_Master!$D$2:$D$101)</f>
        <v>2000</v>
      </c>
      <c r="L929">
        <f>_xlfn.XLOOKUP(E929, Product_Master!$A$2:$A$101, Product_Master!$E$2:$E$101)</f>
        <v>3000</v>
      </c>
      <c r="M929">
        <f t="shared" si="71"/>
        <v>9000</v>
      </c>
      <c r="N929">
        <f t="shared" si="72"/>
        <v>6000</v>
      </c>
      <c r="O929">
        <f t="shared" si="73"/>
        <v>3000</v>
      </c>
      <c r="P929" s="3">
        <f t="shared" si="74"/>
        <v>0.33333333333333331</v>
      </c>
      <c r="Q929" s="3" t="str">
        <v>High Profit</v>
      </c>
    </row>
    <row r="930" spans="1:17" x14ac:dyDescent="0.3">
      <c r="A930" t="s">
        <v>1377</v>
      </c>
      <c r="B930" s="2">
        <v>45799</v>
      </c>
      <c r="C930" s="2" t="str">
        <f t="shared" si="70"/>
        <v>May</v>
      </c>
      <c r="D930" t="s">
        <v>137</v>
      </c>
      <c r="E930" t="s">
        <v>355</v>
      </c>
      <c r="F930">
        <v>2</v>
      </c>
      <c r="G930" t="s">
        <v>4</v>
      </c>
      <c r="H930" t="s">
        <v>5</v>
      </c>
      <c r="I930" t="s">
        <v>335</v>
      </c>
      <c r="J930" t="str">
        <f>_xlfn.XLOOKUP(E930, Product_Master!$A$2:$A$101, Product_Master!$C$2:$C$101)</f>
        <v>Accessories</v>
      </c>
      <c r="K930">
        <f>_xlfn.XLOOKUP(E930, Product_Master!$A$2:$A$101, Product_Master!$D$2:$D$101)</f>
        <v>900</v>
      </c>
      <c r="L930">
        <f>_xlfn.XLOOKUP(E930, Product_Master!$A$2:$A$101, Product_Master!$E$2:$E$101)</f>
        <v>1500</v>
      </c>
      <c r="M930">
        <f t="shared" si="71"/>
        <v>3000</v>
      </c>
      <c r="N930">
        <f t="shared" si="72"/>
        <v>1800</v>
      </c>
      <c r="O930">
        <f t="shared" si="73"/>
        <v>1200</v>
      </c>
      <c r="P930" s="3">
        <f t="shared" si="74"/>
        <v>0.4</v>
      </c>
      <c r="Q930" s="3" t="str">
        <v>High Profit</v>
      </c>
    </row>
    <row r="931" spans="1:17" x14ac:dyDescent="0.3">
      <c r="A931" t="s">
        <v>1378</v>
      </c>
      <c r="B931" s="2">
        <v>45671</v>
      </c>
      <c r="C931" s="2" t="str">
        <f t="shared" si="70"/>
        <v>January</v>
      </c>
      <c r="D931" t="s">
        <v>301</v>
      </c>
      <c r="E931" t="s">
        <v>338</v>
      </c>
      <c r="F931">
        <v>5</v>
      </c>
      <c r="G931" t="s">
        <v>22</v>
      </c>
      <c r="H931" t="s">
        <v>5</v>
      </c>
      <c r="I931" t="s">
        <v>332</v>
      </c>
      <c r="J931" t="str">
        <f>_xlfn.XLOOKUP(E931, Product_Master!$A$2:$A$101, Product_Master!$C$2:$C$101)</f>
        <v>Accessories</v>
      </c>
      <c r="K931">
        <f>_xlfn.XLOOKUP(E931, Product_Master!$A$2:$A$101, Product_Master!$D$2:$D$101)</f>
        <v>500</v>
      </c>
      <c r="L931">
        <f>_xlfn.XLOOKUP(E931, Product_Master!$A$2:$A$101, Product_Master!$E$2:$E$101)</f>
        <v>800</v>
      </c>
      <c r="M931">
        <f t="shared" si="71"/>
        <v>4000</v>
      </c>
      <c r="N931">
        <f t="shared" si="72"/>
        <v>2500</v>
      </c>
      <c r="O931">
        <f t="shared" si="73"/>
        <v>1500</v>
      </c>
      <c r="P931" s="3">
        <f t="shared" si="74"/>
        <v>0.375</v>
      </c>
      <c r="Q931" s="3" t="str">
        <v>High Profit</v>
      </c>
    </row>
    <row r="932" spans="1:17" x14ac:dyDescent="0.3">
      <c r="A932" t="s">
        <v>1379</v>
      </c>
      <c r="B932" s="2">
        <v>45737</v>
      </c>
      <c r="C932" s="2" t="str">
        <f t="shared" si="70"/>
        <v>March</v>
      </c>
      <c r="D932" t="s">
        <v>130</v>
      </c>
      <c r="E932" t="s">
        <v>385</v>
      </c>
      <c r="F932">
        <v>2</v>
      </c>
      <c r="G932" t="s">
        <v>47</v>
      </c>
      <c r="H932" t="s">
        <v>20</v>
      </c>
      <c r="I932" t="s">
        <v>340</v>
      </c>
      <c r="J932" t="str">
        <f>_xlfn.XLOOKUP(E932, Product_Master!$A$2:$A$101, Product_Master!$C$2:$C$101)</f>
        <v>Electronics</v>
      </c>
      <c r="K932">
        <f>_xlfn.XLOOKUP(E932, Product_Master!$A$2:$A$101, Product_Master!$D$2:$D$101)</f>
        <v>42000</v>
      </c>
      <c r="L932">
        <f>_xlfn.XLOOKUP(E932, Product_Master!$A$2:$A$101, Product_Master!$E$2:$E$101)</f>
        <v>50000</v>
      </c>
      <c r="M932">
        <f t="shared" si="71"/>
        <v>100000</v>
      </c>
      <c r="N932">
        <f t="shared" si="72"/>
        <v>84000</v>
      </c>
      <c r="O932">
        <f t="shared" si="73"/>
        <v>16000</v>
      </c>
      <c r="P932" s="3">
        <f t="shared" si="74"/>
        <v>0.16</v>
      </c>
      <c r="Q932" s="3" t="str">
        <v>Low Profit</v>
      </c>
    </row>
    <row r="933" spans="1:17" x14ac:dyDescent="0.3">
      <c r="A933" t="s">
        <v>1380</v>
      </c>
      <c r="B933" s="2">
        <v>45932</v>
      </c>
      <c r="C933" s="2" t="str">
        <f t="shared" si="70"/>
        <v>October</v>
      </c>
      <c r="D933" t="s">
        <v>95</v>
      </c>
      <c r="E933" t="s">
        <v>362</v>
      </c>
      <c r="F933">
        <v>4</v>
      </c>
      <c r="G933" t="s">
        <v>24</v>
      </c>
      <c r="H933" t="s">
        <v>5</v>
      </c>
      <c r="I933" t="s">
        <v>332</v>
      </c>
      <c r="J933" t="str">
        <f>_xlfn.XLOOKUP(E933, Product_Master!$A$2:$A$101, Product_Master!$C$2:$C$101)</f>
        <v>Accessories</v>
      </c>
      <c r="K933">
        <f>_xlfn.XLOOKUP(E933, Product_Master!$A$2:$A$101, Product_Master!$D$2:$D$101)</f>
        <v>500</v>
      </c>
      <c r="L933">
        <f>_xlfn.XLOOKUP(E933, Product_Master!$A$2:$A$101, Product_Master!$E$2:$E$101)</f>
        <v>800</v>
      </c>
      <c r="M933">
        <f t="shared" si="71"/>
        <v>3200</v>
      </c>
      <c r="N933">
        <f t="shared" si="72"/>
        <v>2000</v>
      </c>
      <c r="O933">
        <f t="shared" si="73"/>
        <v>1200</v>
      </c>
      <c r="P933" s="3">
        <f t="shared" si="74"/>
        <v>0.375</v>
      </c>
      <c r="Q933" s="3" t="str">
        <v>High Profit</v>
      </c>
    </row>
    <row r="934" spans="1:17" x14ac:dyDescent="0.3">
      <c r="A934" t="s">
        <v>1381</v>
      </c>
      <c r="B934" s="2">
        <v>46001</v>
      </c>
      <c r="C934" s="2" t="str">
        <f t="shared" si="70"/>
        <v>December</v>
      </c>
      <c r="D934" t="s">
        <v>161</v>
      </c>
      <c r="E934" t="s">
        <v>396</v>
      </c>
      <c r="F934">
        <v>1</v>
      </c>
      <c r="G934" t="s">
        <v>45</v>
      </c>
      <c r="H934" t="s">
        <v>31</v>
      </c>
      <c r="I934" t="s">
        <v>335</v>
      </c>
      <c r="J934" t="str">
        <f>_xlfn.XLOOKUP(E934, Product_Master!$A$2:$A$101, Product_Master!$C$2:$C$101)</f>
        <v>Accessories</v>
      </c>
      <c r="K934">
        <f>_xlfn.XLOOKUP(E934, Product_Master!$A$2:$A$101, Product_Master!$D$2:$D$101)</f>
        <v>900</v>
      </c>
      <c r="L934">
        <f>_xlfn.XLOOKUP(E934, Product_Master!$A$2:$A$101, Product_Master!$E$2:$E$101)</f>
        <v>1500</v>
      </c>
      <c r="M934">
        <f t="shared" si="71"/>
        <v>1500</v>
      </c>
      <c r="N934">
        <f t="shared" si="72"/>
        <v>900</v>
      </c>
      <c r="O934">
        <f t="shared" si="73"/>
        <v>600</v>
      </c>
      <c r="P934" s="3">
        <f t="shared" si="74"/>
        <v>0.4</v>
      </c>
      <c r="Q934" s="3" t="str">
        <v>High Profit</v>
      </c>
    </row>
    <row r="935" spans="1:17" x14ac:dyDescent="0.3">
      <c r="A935" t="s">
        <v>1382</v>
      </c>
      <c r="B935" s="2">
        <v>45908</v>
      </c>
      <c r="C935" s="2" t="str">
        <f t="shared" si="70"/>
        <v>September</v>
      </c>
      <c r="D935" t="s">
        <v>97</v>
      </c>
      <c r="E935" t="s">
        <v>426</v>
      </c>
      <c r="F935">
        <v>3</v>
      </c>
      <c r="G935" t="s">
        <v>12</v>
      </c>
      <c r="H935" t="s">
        <v>14</v>
      </c>
      <c r="I935" t="s">
        <v>337</v>
      </c>
      <c r="J935" t="str">
        <f>_xlfn.XLOOKUP(E935, Product_Master!$A$2:$A$101, Product_Master!$C$2:$C$101)</f>
        <v>Electronics</v>
      </c>
      <c r="K935">
        <f>_xlfn.XLOOKUP(E935, Product_Master!$A$2:$A$101, Product_Master!$D$2:$D$101)</f>
        <v>15000</v>
      </c>
      <c r="L935">
        <f>_xlfn.XLOOKUP(E935, Product_Master!$A$2:$A$101, Product_Master!$E$2:$E$101)</f>
        <v>18000</v>
      </c>
      <c r="M935">
        <f t="shared" si="71"/>
        <v>54000</v>
      </c>
      <c r="N935">
        <f t="shared" si="72"/>
        <v>45000</v>
      </c>
      <c r="O935">
        <f t="shared" si="73"/>
        <v>9000</v>
      </c>
      <c r="P935" s="3">
        <f t="shared" si="74"/>
        <v>0.16666666666666666</v>
      </c>
      <c r="Q935" s="3" t="str">
        <v>Low Profit</v>
      </c>
    </row>
    <row r="936" spans="1:17" x14ac:dyDescent="0.3">
      <c r="A936" t="s">
        <v>1383</v>
      </c>
      <c r="B936" s="2">
        <v>45919</v>
      </c>
      <c r="C936" s="2" t="str">
        <f t="shared" si="70"/>
        <v>September</v>
      </c>
      <c r="D936" t="s">
        <v>181</v>
      </c>
      <c r="E936" t="s">
        <v>401</v>
      </c>
      <c r="F936">
        <v>2</v>
      </c>
      <c r="G936" t="s">
        <v>10</v>
      </c>
      <c r="H936" t="s">
        <v>20</v>
      </c>
      <c r="I936" t="s">
        <v>335</v>
      </c>
      <c r="J936" t="str">
        <f>_xlfn.XLOOKUP(E936, Product_Master!$A$2:$A$101, Product_Master!$C$2:$C$101)</f>
        <v>Accessories</v>
      </c>
      <c r="K936">
        <f>_xlfn.XLOOKUP(E936, Product_Master!$A$2:$A$101, Product_Master!$D$2:$D$101)</f>
        <v>900</v>
      </c>
      <c r="L936">
        <f>_xlfn.XLOOKUP(E936, Product_Master!$A$2:$A$101, Product_Master!$E$2:$E$101)</f>
        <v>1500</v>
      </c>
      <c r="M936">
        <f t="shared" si="71"/>
        <v>3000</v>
      </c>
      <c r="N936">
        <f t="shared" si="72"/>
        <v>1800</v>
      </c>
      <c r="O936">
        <f t="shared" si="73"/>
        <v>1200</v>
      </c>
      <c r="P936" s="3">
        <f t="shared" si="74"/>
        <v>0.4</v>
      </c>
      <c r="Q936" s="3" t="str">
        <v>High Profit</v>
      </c>
    </row>
    <row r="937" spans="1:17" x14ac:dyDescent="0.3">
      <c r="A937" t="s">
        <v>1384</v>
      </c>
      <c r="B937" s="2">
        <v>45808</v>
      </c>
      <c r="C937" s="2" t="str">
        <f t="shared" si="70"/>
        <v>May</v>
      </c>
      <c r="D937" t="s">
        <v>86</v>
      </c>
      <c r="E937" t="s">
        <v>375</v>
      </c>
      <c r="F937">
        <v>4</v>
      </c>
      <c r="G937" t="s">
        <v>19</v>
      </c>
      <c r="H937" t="s">
        <v>39</v>
      </c>
      <c r="I937" t="s">
        <v>329</v>
      </c>
      <c r="J937" t="str">
        <f>_xlfn.XLOOKUP(E937, Product_Master!$A$2:$A$101, Product_Master!$C$2:$C$101)</f>
        <v>Electronics</v>
      </c>
      <c r="K937">
        <f>_xlfn.XLOOKUP(E937, Product_Master!$A$2:$A$101, Product_Master!$D$2:$D$101)</f>
        <v>20000</v>
      </c>
      <c r="L937">
        <f>_xlfn.XLOOKUP(E937, Product_Master!$A$2:$A$101, Product_Master!$E$2:$E$101)</f>
        <v>25000</v>
      </c>
      <c r="M937">
        <f t="shared" si="71"/>
        <v>100000</v>
      </c>
      <c r="N937">
        <f t="shared" si="72"/>
        <v>80000</v>
      </c>
      <c r="O937">
        <f t="shared" si="73"/>
        <v>20000</v>
      </c>
      <c r="P937" s="3">
        <f t="shared" si="74"/>
        <v>0.2</v>
      </c>
      <c r="Q937" s="3" t="str">
        <v>Low Profit</v>
      </c>
    </row>
    <row r="938" spans="1:17" x14ac:dyDescent="0.3">
      <c r="A938" t="s">
        <v>1385</v>
      </c>
      <c r="B938" s="2">
        <v>45871</v>
      </c>
      <c r="C938" s="2" t="str">
        <f t="shared" si="70"/>
        <v>August</v>
      </c>
      <c r="D938" t="s">
        <v>123</v>
      </c>
      <c r="E938" t="s">
        <v>358</v>
      </c>
      <c r="F938">
        <v>1</v>
      </c>
      <c r="G938" t="s">
        <v>22</v>
      </c>
      <c r="H938" t="s">
        <v>27</v>
      </c>
      <c r="I938" t="s">
        <v>332</v>
      </c>
      <c r="J938" t="str">
        <f>_xlfn.XLOOKUP(E938, Product_Master!$A$2:$A$101, Product_Master!$C$2:$C$101)</f>
        <v>Accessories</v>
      </c>
      <c r="K938">
        <f>_xlfn.XLOOKUP(E938, Product_Master!$A$2:$A$101, Product_Master!$D$2:$D$101)</f>
        <v>500</v>
      </c>
      <c r="L938">
        <f>_xlfn.XLOOKUP(E938, Product_Master!$A$2:$A$101, Product_Master!$E$2:$E$101)</f>
        <v>800</v>
      </c>
      <c r="M938">
        <f t="shared" si="71"/>
        <v>800</v>
      </c>
      <c r="N938">
        <f t="shared" si="72"/>
        <v>500</v>
      </c>
      <c r="O938">
        <f t="shared" si="73"/>
        <v>300</v>
      </c>
      <c r="P938" s="3">
        <f t="shared" si="74"/>
        <v>0.375</v>
      </c>
      <c r="Q938" s="3" t="str">
        <v>High Profit</v>
      </c>
    </row>
    <row r="939" spans="1:17" x14ac:dyDescent="0.3">
      <c r="A939" t="s">
        <v>1386</v>
      </c>
      <c r="B939" s="2">
        <v>45770</v>
      </c>
      <c r="C939" s="2" t="str">
        <f t="shared" si="70"/>
        <v>April</v>
      </c>
      <c r="D939" t="s">
        <v>54</v>
      </c>
      <c r="E939" t="s">
        <v>390</v>
      </c>
      <c r="F939">
        <v>3</v>
      </c>
      <c r="G939" t="s">
        <v>45</v>
      </c>
      <c r="H939" t="s">
        <v>5</v>
      </c>
      <c r="I939" t="s">
        <v>344</v>
      </c>
      <c r="J939" t="str">
        <f>_xlfn.XLOOKUP(E939, Product_Master!$A$2:$A$101, Product_Master!$C$2:$C$101)</f>
        <v>Accessories</v>
      </c>
      <c r="K939">
        <f>_xlfn.XLOOKUP(E939, Product_Master!$A$2:$A$101, Product_Master!$D$2:$D$101)</f>
        <v>2000</v>
      </c>
      <c r="L939">
        <f>_xlfn.XLOOKUP(E939, Product_Master!$A$2:$A$101, Product_Master!$E$2:$E$101)</f>
        <v>3000</v>
      </c>
      <c r="M939">
        <f t="shared" si="71"/>
        <v>9000</v>
      </c>
      <c r="N939">
        <f t="shared" si="72"/>
        <v>6000</v>
      </c>
      <c r="O939">
        <f t="shared" si="73"/>
        <v>3000</v>
      </c>
      <c r="P939" s="3">
        <f t="shared" si="74"/>
        <v>0.33333333333333331</v>
      </c>
      <c r="Q939" s="3" t="str">
        <v>High Profit</v>
      </c>
    </row>
    <row r="940" spans="1:17" x14ac:dyDescent="0.3">
      <c r="A940" t="s">
        <v>1387</v>
      </c>
      <c r="B940" s="2">
        <v>45878</v>
      </c>
      <c r="C940" s="2" t="str">
        <f t="shared" si="70"/>
        <v>August</v>
      </c>
      <c r="D940" t="s">
        <v>54</v>
      </c>
      <c r="E940" t="s">
        <v>437</v>
      </c>
      <c r="F940">
        <v>5</v>
      </c>
      <c r="G940" t="s">
        <v>45</v>
      </c>
      <c r="H940" t="s">
        <v>5</v>
      </c>
      <c r="I940" t="s">
        <v>344</v>
      </c>
      <c r="J940" t="str">
        <f>_xlfn.XLOOKUP(E940, Product_Master!$A$2:$A$101, Product_Master!$C$2:$C$101)</f>
        <v>Accessories</v>
      </c>
      <c r="K940">
        <f>_xlfn.XLOOKUP(E940, Product_Master!$A$2:$A$101, Product_Master!$D$2:$D$101)</f>
        <v>2000</v>
      </c>
      <c r="L940">
        <f>_xlfn.XLOOKUP(E940, Product_Master!$A$2:$A$101, Product_Master!$E$2:$E$101)</f>
        <v>3000</v>
      </c>
      <c r="M940">
        <f t="shared" si="71"/>
        <v>15000</v>
      </c>
      <c r="N940">
        <f t="shared" si="72"/>
        <v>10000</v>
      </c>
      <c r="O940">
        <f t="shared" si="73"/>
        <v>5000</v>
      </c>
      <c r="P940" s="3">
        <f t="shared" si="74"/>
        <v>0.33333333333333331</v>
      </c>
      <c r="Q940" s="3" t="str">
        <v>High Profit</v>
      </c>
    </row>
    <row r="941" spans="1:17" x14ac:dyDescent="0.3">
      <c r="A941" t="s">
        <v>1388</v>
      </c>
      <c r="B941" s="2">
        <v>45668</v>
      </c>
      <c r="C941" s="2" t="str">
        <f t="shared" si="70"/>
        <v>January</v>
      </c>
      <c r="D941" t="s">
        <v>260</v>
      </c>
      <c r="E941" t="s">
        <v>442</v>
      </c>
      <c r="F941">
        <v>2</v>
      </c>
      <c r="G941" t="s">
        <v>10</v>
      </c>
      <c r="H941" t="s">
        <v>17</v>
      </c>
      <c r="I941" t="s">
        <v>335</v>
      </c>
      <c r="J941" t="str">
        <f>_xlfn.XLOOKUP(E941, Product_Master!$A$2:$A$101, Product_Master!$C$2:$C$101)</f>
        <v>Accessories</v>
      </c>
      <c r="K941">
        <f>_xlfn.XLOOKUP(E941, Product_Master!$A$2:$A$101, Product_Master!$D$2:$D$101)</f>
        <v>900</v>
      </c>
      <c r="L941">
        <f>_xlfn.XLOOKUP(E941, Product_Master!$A$2:$A$101, Product_Master!$E$2:$E$101)</f>
        <v>1500</v>
      </c>
      <c r="M941">
        <f t="shared" si="71"/>
        <v>3000</v>
      </c>
      <c r="N941">
        <f t="shared" si="72"/>
        <v>1800</v>
      </c>
      <c r="O941">
        <f t="shared" si="73"/>
        <v>1200</v>
      </c>
      <c r="P941" s="3">
        <f t="shared" si="74"/>
        <v>0.4</v>
      </c>
      <c r="Q941" s="3" t="str">
        <v>High Profit</v>
      </c>
    </row>
    <row r="942" spans="1:17" x14ac:dyDescent="0.3">
      <c r="A942" t="s">
        <v>1389</v>
      </c>
      <c r="B942" s="2">
        <v>45999</v>
      </c>
      <c r="C942" s="2" t="str">
        <f t="shared" si="70"/>
        <v>December</v>
      </c>
      <c r="D942" t="s">
        <v>218</v>
      </c>
      <c r="E942" t="s">
        <v>384</v>
      </c>
      <c r="F942">
        <v>1</v>
      </c>
      <c r="G942" t="s">
        <v>22</v>
      </c>
      <c r="H942" t="s">
        <v>27</v>
      </c>
      <c r="I942" t="s">
        <v>353</v>
      </c>
      <c r="J942" t="str">
        <f>_xlfn.XLOOKUP(E942, Product_Master!$A$2:$A$101, Product_Master!$C$2:$C$101)</f>
        <v>Electronics</v>
      </c>
      <c r="K942">
        <f>_xlfn.XLOOKUP(E942, Product_Master!$A$2:$A$101, Product_Master!$D$2:$D$101)</f>
        <v>12000</v>
      </c>
      <c r="L942">
        <f>_xlfn.XLOOKUP(E942, Product_Master!$A$2:$A$101, Product_Master!$E$2:$E$101)</f>
        <v>15000</v>
      </c>
      <c r="M942">
        <f t="shared" si="71"/>
        <v>15000</v>
      </c>
      <c r="N942">
        <f t="shared" si="72"/>
        <v>12000</v>
      </c>
      <c r="O942">
        <f t="shared" si="73"/>
        <v>3000</v>
      </c>
      <c r="P942" s="3">
        <f t="shared" si="74"/>
        <v>0.2</v>
      </c>
      <c r="Q942" s="3" t="str">
        <v>Low Profit</v>
      </c>
    </row>
    <row r="943" spans="1:17" x14ac:dyDescent="0.3">
      <c r="A943" t="s">
        <v>1390</v>
      </c>
      <c r="B943" s="2">
        <v>45728</v>
      </c>
      <c r="C943" s="2" t="str">
        <f t="shared" si="70"/>
        <v>March</v>
      </c>
      <c r="D943" t="s">
        <v>96</v>
      </c>
      <c r="E943" t="s">
        <v>406</v>
      </c>
      <c r="F943">
        <v>1</v>
      </c>
      <c r="G943" t="s">
        <v>4</v>
      </c>
      <c r="H943" t="s">
        <v>31</v>
      </c>
      <c r="I943" t="s">
        <v>344</v>
      </c>
      <c r="J943" t="str">
        <f>_xlfn.XLOOKUP(E943, Product_Master!$A$2:$A$101, Product_Master!$C$2:$C$101)</f>
        <v>Accessories</v>
      </c>
      <c r="K943">
        <f>_xlfn.XLOOKUP(E943, Product_Master!$A$2:$A$101, Product_Master!$D$2:$D$101)</f>
        <v>2000</v>
      </c>
      <c r="L943">
        <f>_xlfn.XLOOKUP(E943, Product_Master!$A$2:$A$101, Product_Master!$E$2:$E$101)</f>
        <v>3000</v>
      </c>
      <c r="M943">
        <f t="shared" si="71"/>
        <v>3000</v>
      </c>
      <c r="N943">
        <f t="shared" si="72"/>
        <v>2000</v>
      </c>
      <c r="O943">
        <f t="shared" si="73"/>
        <v>1000</v>
      </c>
      <c r="P943" s="3">
        <f t="shared" si="74"/>
        <v>0.33333333333333331</v>
      </c>
      <c r="Q943" s="3" t="str">
        <v>High Profit</v>
      </c>
    </row>
    <row r="944" spans="1:17" x14ac:dyDescent="0.3">
      <c r="A944" t="s">
        <v>1391</v>
      </c>
      <c r="B944" s="2">
        <v>45925</v>
      </c>
      <c r="C944" s="2" t="str">
        <f t="shared" si="70"/>
        <v>September</v>
      </c>
      <c r="D944" t="s">
        <v>255</v>
      </c>
      <c r="E944" t="s">
        <v>406</v>
      </c>
      <c r="F944">
        <v>3</v>
      </c>
      <c r="G944" t="s">
        <v>29</v>
      </c>
      <c r="H944" t="s">
        <v>20</v>
      </c>
      <c r="I944" t="s">
        <v>344</v>
      </c>
      <c r="J944" t="str">
        <f>_xlfn.XLOOKUP(E944, Product_Master!$A$2:$A$101, Product_Master!$C$2:$C$101)</f>
        <v>Accessories</v>
      </c>
      <c r="K944">
        <f>_xlfn.XLOOKUP(E944, Product_Master!$A$2:$A$101, Product_Master!$D$2:$D$101)</f>
        <v>2000</v>
      </c>
      <c r="L944">
        <f>_xlfn.XLOOKUP(E944, Product_Master!$A$2:$A$101, Product_Master!$E$2:$E$101)</f>
        <v>3000</v>
      </c>
      <c r="M944">
        <f t="shared" si="71"/>
        <v>9000</v>
      </c>
      <c r="N944">
        <f t="shared" si="72"/>
        <v>6000</v>
      </c>
      <c r="O944">
        <f t="shared" si="73"/>
        <v>3000</v>
      </c>
      <c r="P944" s="3">
        <f t="shared" si="74"/>
        <v>0.33333333333333331</v>
      </c>
      <c r="Q944" s="3" t="str">
        <v>High Profit</v>
      </c>
    </row>
    <row r="945" spans="1:17" x14ac:dyDescent="0.3">
      <c r="A945" t="s">
        <v>1392</v>
      </c>
      <c r="B945" s="2">
        <v>45905</v>
      </c>
      <c r="C945" s="2" t="str">
        <f t="shared" si="70"/>
        <v>September</v>
      </c>
      <c r="D945" t="s">
        <v>271</v>
      </c>
      <c r="E945" t="s">
        <v>400</v>
      </c>
      <c r="F945">
        <v>4</v>
      </c>
      <c r="G945" t="s">
        <v>45</v>
      </c>
      <c r="H945" t="s">
        <v>20</v>
      </c>
      <c r="I945" t="s">
        <v>335</v>
      </c>
      <c r="J945" t="str">
        <f>_xlfn.XLOOKUP(E945, Product_Master!$A$2:$A$101, Product_Master!$C$2:$C$101)</f>
        <v>Accessories</v>
      </c>
      <c r="K945">
        <f>_xlfn.XLOOKUP(E945, Product_Master!$A$2:$A$101, Product_Master!$D$2:$D$101)</f>
        <v>900</v>
      </c>
      <c r="L945">
        <f>_xlfn.XLOOKUP(E945, Product_Master!$A$2:$A$101, Product_Master!$E$2:$E$101)</f>
        <v>1500</v>
      </c>
      <c r="M945">
        <f t="shared" si="71"/>
        <v>6000</v>
      </c>
      <c r="N945">
        <f t="shared" si="72"/>
        <v>3600</v>
      </c>
      <c r="O945">
        <f t="shared" si="73"/>
        <v>2400</v>
      </c>
      <c r="P945" s="3">
        <f t="shared" si="74"/>
        <v>0.4</v>
      </c>
      <c r="Q945" s="3" t="str">
        <v>High Profit</v>
      </c>
    </row>
    <row r="946" spans="1:17" x14ac:dyDescent="0.3">
      <c r="A946" t="s">
        <v>1393</v>
      </c>
      <c r="B946" s="2">
        <v>45691</v>
      </c>
      <c r="C946" s="2" t="str">
        <f t="shared" si="70"/>
        <v>February</v>
      </c>
      <c r="D946" t="s">
        <v>133</v>
      </c>
      <c r="E946" t="s">
        <v>407</v>
      </c>
      <c r="F946">
        <v>3</v>
      </c>
      <c r="G946" t="s">
        <v>29</v>
      </c>
      <c r="H946" t="s">
        <v>39</v>
      </c>
      <c r="I946" t="s">
        <v>329</v>
      </c>
      <c r="J946" t="str">
        <f>_xlfn.XLOOKUP(E946, Product_Master!$A$2:$A$101, Product_Master!$C$2:$C$101)</f>
        <v>Electronics</v>
      </c>
      <c r="K946">
        <f>_xlfn.XLOOKUP(E946, Product_Master!$A$2:$A$101, Product_Master!$D$2:$D$101)</f>
        <v>20000</v>
      </c>
      <c r="L946">
        <f>_xlfn.XLOOKUP(E946, Product_Master!$A$2:$A$101, Product_Master!$E$2:$E$101)</f>
        <v>25000</v>
      </c>
      <c r="M946">
        <f t="shared" si="71"/>
        <v>75000</v>
      </c>
      <c r="N946">
        <f t="shared" si="72"/>
        <v>60000</v>
      </c>
      <c r="O946">
        <f t="shared" si="73"/>
        <v>15000</v>
      </c>
      <c r="P946" s="3">
        <f t="shared" si="74"/>
        <v>0.2</v>
      </c>
      <c r="Q946" s="3" t="str">
        <v>Low Profit</v>
      </c>
    </row>
    <row r="947" spans="1:17" x14ac:dyDescent="0.3">
      <c r="A947" t="s">
        <v>1394</v>
      </c>
      <c r="B947" s="2">
        <v>45807</v>
      </c>
      <c r="C947" s="2" t="str">
        <f t="shared" si="70"/>
        <v>May</v>
      </c>
      <c r="D947" t="s">
        <v>70</v>
      </c>
      <c r="E947" t="s">
        <v>433</v>
      </c>
      <c r="F947">
        <v>4</v>
      </c>
      <c r="G947" t="s">
        <v>22</v>
      </c>
      <c r="H947" t="s">
        <v>14</v>
      </c>
      <c r="I947" t="s">
        <v>353</v>
      </c>
      <c r="J947" t="str">
        <f>_xlfn.XLOOKUP(E947, Product_Master!$A$2:$A$101, Product_Master!$C$2:$C$101)</f>
        <v>Electronics</v>
      </c>
      <c r="K947">
        <f>_xlfn.XLOOKUP(E947, Product_Master!$A$2:$A$101, Product_Master!$D$2:$D$101)</f>
        <v>12000</v>
      </c>
      <c r="L947">
        <f>_xlfn.XLOOKUP(E947, Product_Master!$A$2:$A$101, Product_Master!$E$2:$E$101)</f>
        <v>15000</v>
      </c>
      <c r="M947">
        <f t="shared" si="71"/>
        <v>60000</v>
      </c>
      <c r="N947">
        <f t="shared" si="72"/>
        <v>48000</v>
      </c>
      <c r="O947">
        <f t="shared" si="73"/>
        <v>12000</v>
      </c>
      <c r="P947" s="3">
        <f t="shared" si="74"/>
        <v>0.2</v>
      </c>
      <c r="Q947" s="3" t="str">
        <v>Low Profit</v>
      </c>
    </row>
    <row r="948" spans="1:17" x14ac:dyDescent="0.3">
      <c r="A948" t="s">
        <v>1395</v>
      </c>
      <c r="B948" s="2">
        <v>45705</v>
      </c>
      <c r="C948" s="2" t="str">
        <f t="shared" si="70"/>
        <v>February</v>
      </c>
      <c r="D948" t="s">
        <v>288</v>
      </c>
      <c r="E948" t="s">
        <v>334</v>
      </c>
      <c r="F948">
        <v>2</v>
      </c>
      <c r="G948" t="s">
        <v>29</v>
      </c>
      <c r="H948" t="s">
        <v>20</v>
      </c>
      <c r="I948" t="s">
        <v>335</v>
      </c>
      <c r="J948" t="str">
        <f>_xlfn.XLOOKUP(E948, Product_Master!$A$2:$A$101, Product_Master!$C$2:$C$101)</f>
        <v>Accessories</v>
      </c>
      <c r="K948">
        <f>_xlfn.XLOOKUP(E948, Product_Master!$A$2:$A$101, Product_Master!$D$2:$D$101)</f>
        <v>900</v>
      </c>
      <c r="L948">
        <f>_xlfn.XLOOKUP(E948, Product_Master!$A$2:$A$101, Product_Master!$E$2:$E$101)</f>
        <v>1500</v>
      </c>
      <c r="M948">
        <f t="shared" si="71"/>
        <v>3000</v>
      </c>
      <c r="N948">
        <f t="shared" si="72"/>
        <v>1800</v>
      </c>
      <c r="O948">
        <f t="shared" si="73"/>
        <v>1200</v>
      </c>
      <c r="P948" s="3">
        <f t="shared" si="74"/>
        <v>0.4</v>
      </c>
      <c r="Q948" s="3" t="str">
        <v>High Profit</v>
      </c>
    </row>
    <row r="949" spans="1:17" x14ac:dyDescent="0.3">
      <c r="A949" t="s">
        <v>1396</v>
      </c>
      <c r="B949" s="2">
        <v>45667</v>
      </c>
      <c r="C949" s="2" t="str">
        <f t="shared" si="70"/>
        <v>January</v>
      </c>
      <c r="D949" t="s">
        <v>51</v>
      </c>
      <c r="E949" t="s">
        <v>409</v>
      </c>
      <c r="F949">
        <v>4</v>
      </c>
      <c r="G949" t="s">
        <v>7</v>
      </c>
      <c r="H949" t="s">
        <v>27</v>
      </c>
      <c r="I949" t="s">
        <v>340</v>
      </c>
      <c r="J949" t="str">
        <f>_xlfn.XLOOKUP(E949, Product_Master!$A$2:$A$101, Product_Master!$C$2:$C$101)</f>
        <v>Electronics</v>
      </c>
      <c r="K949">
        <f>_xlfn.XLOOKUP(E949, Product_Master!$A$2:$A$101, Product_Master!$D$2:$D$101)</f>
        <v>42000</v>
      </c>
      <c r="L949">
        <f>_xlfn.XLOOKUP(E949, Product_Master!$A$2:$A$101, Product_Master!$E$2:$E$101)</f>
        <v>50000</v>
      </c>
      <c r="M949">
        <f t="shared" si="71"/>
        <v>200000</v>
      </c>
      <c r="N949">
        <f t="shared" si="72"/>
        <v>168000</v>
      </c>
      <c r="O949">
        <f t="shared" si="73"/>
        <v>32000</v>
      </c>
      <c r="P949" s="3">
        <f t="shared" si="74"/>
        <v>0.16</v>
      </c>
      <c r="Q949" s="3" t="str">
        <v>Low Profit</v>
      </c>
    </row>
    <row r="950" spans="1:17" x14ac:dyDescent="0.3">
      <c r="A950" t="s">
        <v>1397</v>
      </c>
      <c r="B950" s="2">
        <v>45659</v>
      </c>
      <c r="C950" s="2" t="str">
        <f t="shared" si="70"/>
        <v>January</v>
      </c>
      <c r="D950" t="s">
        <v>110</v>
      </c>
      <c r="E950" t="s">
        <v>443</v>
      </c>
      <c r="F950">
        <v>4</v>
      </c>
      <c r="G950" t="s">
        <v>10</v>
      </c>
      <c r="H950" t="s">
        <v>27</v>
      </c>
      <c r="I950" t="s">
        <v>344</v>
      </c>
      <c r="J950" t="str">
        <f>_xlfn.XLOOKUP(E950, Product_Master!$A$2:$A$101, Product_Master!$C$2:$C$101)</f>
        <v>Accessories</v>
      </c>
      <c r="K950">
        <f>_xlfn.XLOOKUP(E950, Product_Master!$A$2:$A$101, Product_Master!$D$2:$D$101)</f>
        <v>2000</v>
      </c>
      <c r="L950">
        <f>_xlfn.XLOOKUP(E950, Product_Master!$A$2:$A$101, Product_Master!$E$2:$E$101)</f>
        <v>3000</v>
      </c>
      <c r="M950">
        <f t="shared" si="71"/>
        <v>12000</v>
      </c>
      <c r="N950">
        <f t="shared" si="72"/>
        <v>8000</v>
      </c>
      <c r="O950">
        <f t="shared" si="73"/>
        <v>4000</v>
      </c>
      <c r="P950" s="3">
        <f t="shared" si="74"/>
        <v>0.33333333333333331</v>
      </c>
      <c r="Q950" s="3" t="str">
        <v>High Profit</v>
      </c>
    </row>
    <row r="951" spans="1:17" x14ac:dyDescent="0.3">
      <c r="A951" t="s">
        <v>1398</v>
      </c>
      <c r="B951" s="2">
        <v>45761</v>
      </c>
      <c r="C951" s="2" t="str">
        <f t="shared" si="70"/>
        <v>April</v>
      </c>
      <c r="D951" t="s">
        <v>108</v>
      </c>
      <c r="E951" t="s">
        <v>415</v>
      </c>
      <c r="F951">
        <v>1</v>
      </c>
      <c r="G951" t="s">
        <v>22</v>
      </c>
      <c r="H951" t="s">
        <v>27</v>
      </c>
      <c r="I951" t="s">
        <v>329</v>
      </c>
      <c r="J951" t="str">
        <f>_xlfn.XLOOKUP(E951, Product_Master!$A$2:$A$101, Product_Master!$C$2:$C$101)</f>
        <v>Electronics</v>
      </c>
      <c r="K951">
        <f>_xlfn.XLOOKUP(E951, Product_Master!$A$2:$A$101, Product_Master!$D$2:$D$101)</f>
        <v>20000</v>
      </c>
      <c r="L951">
        <f>_xlfn.XLOOKUP(E951, Product_Master!$A$2:$A$101, Product_Master!$E$2:$E$101)</f>
        <v>25000</v>
      </c>
      <c r="M951">
        <f t="shared" si="71"/>
        <v>25000</v>
      </c>
      <c r="N951">
        <f t="shared" si="72"/>
        <v>20000</v>
      </c>
      <c r="O951">
        <f t="shared" si="73"/>
        <v>5000</v>
      </c>
      <c r="P951" s="3">
        <f t="shared" si="74"/>
        <v>0.2</v>
      </c>
      <c r="Q951" s="3" t="str">
        <v>Low Profit</v>
      </c>
    </row>
    <row r="952" spans="1:17" x14ac:dyDescent="0.3">
      <c r="A952" t="s">
        <v>1399</v>
      </c>
      <c r="B952" s="2">
        <v>45965</v>
      </c>
      <c r="C952" s="2" t="str">
        <f t="shared" si="70"/>
        <v>November</v>
      </c>
      <c r="D952" t="s">
        <v>240</v>
      </c>
      <c r="E952" t="s">
        <v>437</v>
      </c>
      <c r="F952">
        <v>5</v>
      </c>
      <c r="G952" t="s">
        <v>47</v>
      </c>
      <c r="H952" t="s">
        <v>39</v>
      </c>
      <c r="I952" t="s">
        <v>344</v>
      </c>
      <c r="J952" t="str">
        <f>_xlfn.XLOOKUP(E952, Product_Master!$A$2:$A$101, Product_Master!$C$2:$C$101)</f>
        <v>Accessories</v>
      </c>
      <c r="K952">
        <f>_xlfn.XLOOKUP(E952, Product_Master!$A$2:$A$101, Product_Master!$D$2:$D$101)</f>
        <v>2000</v>
      </c>
      <c r="L952">
        <f>_xlfn.XLOOKUP(E952, Product_Master!$A$2:$A$101, Product_Master!$E$2:$E$101)</f>
        <v>3000</v>
      </c>
      <c r="M952">
        <f t="shared" si="71"/>
        <v>15000</v>
      </c>
      <c r="N952">
        <f t="shared" si="72"/>
        <v>10000</v>
      </c>
      <c r="O952">
        <f t="shared" si="73"/>
        <v>5000</v>
      </c>
      <c r="P952" s="3">
        <f t="shared" si="74"/>
        <v>0.33333333333333331</v>
      </c>
      <c r="Q952" s="3" t="str">
        <v>High Profit</v>
      </c>
    </row>
    <row r="953" spans="1:17" x14ac:dyDescent="0.3">
      <c r="A953" t="s">
        <v>1400</v>
      </c>
      <c r="B953" s="2">
        <v>45863</v>
      </c>
      <c r="C953" s="2" t="str">
        <f t="shared" si="70"/>
        <v>July</v>
      </c>
      <c r="D953" t="s">
        <v>50</v>
      </c>
      <c r="E953" t="s">
        <v>400</v>
      </c>
      <c r="F953">
        <v>5</v>
      </c>
      <c r="G953" t="s">
        <v>16</v>
      </c>
      <c r="H953" t="s">
        <v>8</v>
      </c>
      <c r="I953" t="s">
        <v>335</v>
      </c>
      <c r="J953" t="str">
        <f>_xlfn.XLOOKUP(E953, Product_Master!$A$2:$A$101, Product_Master!$C$2:$C$101)</f>
        <v>Accessories</v>
      </c>
      <c r="K953">
        <f>_xlfn.XLOOKUP(E953, Product_Master!$A$2:$A$101, Product_Master!$D$2:$D$101)</f>
        <v>900</v>
      </c>
      <c r="L953">
        <f>_xlfn.XLOOKUP(E953, Product_Master!$A$2:$A$101, Product_Master!$E$2:$E$101)</f>
        <v>1500</v>
      </c>
      <c r="M953">
        <f t="shared" si="71"/>
        <v>7500</v>
      </c>
      <c r="N953">
        <f t="shared" si="72"/>
        <v>4500</v>
      </c>
      <c r="O953">
        <f t="shared" si="73"/>
        <v>3000</v>
      </c>
      <c r="P953" s="3">
        <f t="shared" si="74"/>
        <v>0.4</v>
      </c>
      <c r="Q953" s="3" t="str">
        <v>High Profit</v>
      </c>
    </row>
    <row r="954" spans="1:17" x14ac:dyDescent="0.3">
      <c r="A954" t="s">
        <v>1401</v>
      </c>
      <c r="B954" s="2">
        <v>45973</v>
      </c>
      <c r="C954" s="2" t="str">
        <f t="shared" si="70"/>
        <v>November</v>
      </c>
      <c r="D954" t="s">
        <v>151</v>
      </c>
      <c r="E954" t="s">
        <v>418</v>
      </c>
      <c r="F954">
        <v>2</v>
      </c>
      <c r="G954" t="s">
        <v>22</v>
      </c>
      <c r="H954" t="s">
        <v>39</v>
      </c>
      <c r="I954" t="s">
        <v>329</v>
      </c>
      <c r="J954" t="str">
        <f>_xlfn.XLOOKUP(E954, Product_Master!$A$2:$A$101, Product_Master!$C$2:$C$101)</f>
        <v>Electronics</v>
      </c>
      <c r="K954">
        <f>_xlfn.XLOOKUP(E954, Product_Master!$A$2:$A$101, Product_Master!$D$2:$D$101)</f>
        <v>20000</v>
      </c>
      <c r="L954">
        <f>_xlfn.XLOOKUP(E954, Product_Master!$A$2:$A$101, Product_Master!$E$2:$E$101)</f>
        <v>25000</v>
      </c>
      <c r="M954">
        <f t="shared" si="71"/>
        <v>50000</v>
      </c>
      <c r="N954">
        <f t="shared" si="72"/>
        <v>40000</v>
      </c>
      <c r="O954">
        <f t="shared" si="73"/>
        <v>10000</v>
      </c>
      <c r="P954" s="3">
        <f t="shared" si="74"/>
        <v>0.2</v>
      </c>
      <c r="Q954" s="3" t="str">
        <v>Low Profit</v>
      </c>
    </row>
    <row r="955" spans="1:17" x14ac:dyDescent="0.3">
      <c r="A955" t="s">
        <v>1402</v>
      </c>
      <c r="B955" s="2">
        <v>45821</v>
      </c>
      <c r="C955" s="2" t="str">
        <f t="shared" si="70"/>
        <v>June</v>
      </c>
      <c r="D955" t="s">
        <v>21</v>
      </c>
      <c r="E955" t="s">
        <v>357</v>
      </c>
      <c r="F955">
        <v>2</v>
      </c>
      <c r="G955" t="s">
        <v>22</v>
      </c>
      <c r="H955" t="s">
        <v>20</v>
      </c>
      <c r="I955" t="s">
        <v>340</v>
      </c>
      <c r="J955" t="str">
        <f>_xlfn.XLOOKUP(E955, Product_Master!$A$2:$A$101, Product_Master!$C$2:$C$101)</f>
        <v>Electronics</v>
      </c>
      <c r="K955">
        <f>_xlfn.XLOOKUP(E955, Product_Master!$A$2:$A$101, Product_Master!$D$2:$D$101)</f>
        <v>42000</v>
      </c>
      <c r="L955">
        <f>_xlfn.XLOOKUP(E955, Product_Master!$A$2:$A$101, Product_Master!$E$2:$E$101)</f>
        <v>50000</v>
      </c>
      <c r="M955">
        <f t="shared" si="71"/>
        <v>100000</v>
      </c>
      <c r="N955">
        <f t="shared" si="72"/>
        <v>84000</v>
      </c>
      <c r="O955">
        <f t="shared" si="73"/>
        <v>16000</v>
      </c>
      <c r="P955" s="3">
        <f t="shared" si="74"/>
        <v>0.16</v>
      </c>
      <c r="Q955" s="3" t="str">
        <v>Low Profit</v>
      </c>
    </row>
    <row r="956" spans="1:17" x14ac:dyDescent="0.3">
      <c r="A956" t="s">
        <v>1403</v>
      </c>
      <c r="B956" s="2">
        <v>45981</v>
      </c>
      <c r="C956" s="2" t="str">
        <f t="shared" si="70"/>
        <v>November</v>
      </c>
      <c r="D956" t="s">
        <v>102</v>
      </c>
      <c r="E956" t="s">
        <v>358</v>
      </c>
      <c r="F956">
        <v>3</v>
      </c>
      <c r="G956" t="s">
        <v>19</v>
      </c>
      <c r="H956" t="s">
        <v>20</v>
      </c>
      <c r="I956" t="s">
        <v>332</v>
      </c>
      <c r="J956" t="str">
        <f>_xlfn.XLOOKUP(E956, Product_Master!$A$2:$A$101, Product_Master!$C$2:$C$101)</f>
        <v>Accessories</v>
      </c>
      <c r="K956">
        <f>_xlfn.XLOOKUP(E956, Product_Master!$A$2:$A$101, Product_Master!$D$2:$D$101)</f>
        <v>500</v>
      </c>
      <c r="L956">
        <f>_xlfn.XLOOKUP(E956, Product_Master!$A$2:$A$101, Product_Master!$E$2:$E$101)</f>
        <v>800</v>
      </c>
      <c r="M956">
        <f t="shared" si="71"/>
        <v>2400</v>
      </c>
      <c r="N956">
        <f t="shared" si="72"/>
        <v>1500</v>
      </c>
      <c r="O956">
        <f t="shared" si="73"/>
        <v>900</v>
      </c>
      <c r="P956" s="3">
        <f t="shared" si="74"/>
        <v>0.375</v>
      </c>
      <c r="Q956" s="3" t="str">
        <v>High Profit</v>
      </c>
    </row>
    <row r="957" spans="1:17" x14ac:dyDescent="0.3">
      <c r="A957" t="s">
        <v>1404</v>
      </c>
      <c r="B957" s="2">
        <v>45870</v>
      </c>
      <c r="C957" s="2" t="str">
        <f t="shared" si="70"/>
        <v>August</v>
      </c>
      <c r="D957" t="s">
        <v>147</v>
      </c>
      <c r="E957" t="s">
        <v>355</v>
      </c>
      <c r="F957">
        <v>3</v>
      </c>
      <c r="G957" t="s">
        <v>10</v>
      </c>
      <c r="H957" t="s">
        <v>20</v>
      </c>
      <c r="I957" t="s">
        <v>335</v>
      </c>
      <c r="J957" t="str">
        <f>_xlfn.XLOOKUP(E957, Product_Master!$A$2:$A$101, Product_Master!$C$2:$C$101)</f>
        <v>Accessories</v>
      </c>
      <c r="K957">
        <f>_xlfn.XLOOKUP(E957, Product_Master!$A$2:$A$101, Product_Master!$D$2:$D$101)</f>
        <v>900</v>
      </c>
      <c r="L957">
        <f>_xlfn.XLOOKUP(E957, Product_Master!$A$2:$A$101, Product_Master!$E$2:$E$101)</f>
        <v>1500</v>
      </c>
      <c r="M957">
        <f t="shared" si="71"/>
        <v>4500</v>
      </c>
      <c r="N957">
        <f t="shared" si="72"/>
        <v>2700</v>
      </c>
      <c r="O957">
        <f t="shared" si="73"/>
        <v>1800</v>
      </c>
      <c r="P957" s="3">
        <f t="shared" si="74"/>
        <v>0.4</v>
      </c>
      <c r="Q957" s="3" t="str">
        <v>High Profit</v>
      </c>
    </row>
    <row r="958" spans="1:17" x14ac:dyDescent="0.3">
      <c r="A958" t="s">
        <v>1405</v>
      </c>
      <c r="B958" s="2">
        <v>45779</v>
      </c>
      <c r="C958" s="2" t="str">
        <f t="shared" si="70"/>
        <v>May</v>
      </c>
      <c r="D958" t="s">
        <v>469</v>
      </c>
      <c r="E958" t="s">
        <v>371</v>
      </c>
      <c r="F958">
        <v>3</v>
      </c>
      <c r="G958" t="s">
        <v>1454</v>
      </c>
      <c r="H958" t="s">
        <v>1455</v>
      </c>
      <c r="I958" t="s">
        <v>329</v>
      </c>
      <c r="J958" t="str">
        <f>_xlfn.XLOOKUP(E958, Product_Master!$A$2:$A$101, Product_Master!$C$2:$C$101)</f>
        <v>Electronics</v>
      </c>
      <c r="K958">
        <f>_xlfn.XLOOKUP(E958, Product_Master!$A$2:$A$101, Product_Master!$D$2:$D$101)</f>
        <v>20000</v>
      </c>
      <c r="L958">
        <f>_xlfn.XLOOKUP(E958, Product_Master!$A$2:$A$101, Product_Master!$E$2:$E$101)</f>
        <v>25000</v>
      </c>
      <c r="M958">
        <f t="shared" si="71"/>
        <v>75000</v>
      </c>
      <c r="N958">
        <f t="shared" si="72"/>
        <v>60000</v>
      </c>
      <c r="O958">
        <f t="shared" si="73"/>
        <v>15000</v>
      </c>
      <c r="P958" s="3">
        <f t="shared" si="74"/>
        <v>0.2</v>
      </c>
      <c r="Q958" s="3" t="str">
        <v>Low Profit</v>
      </c>
    </row>
    <row r="959" spans="1:17" x14ac:dyDescent="0.3">
      <c r="A959" t="s">
        <v>1406</v>
      </c>
      <c r="B959" s="2">
        <v>45851</v>
      </c>
      <c r="C959" s="2" t="str">
        <f t="shared" si="70"/>
        <v>July</v>
      </c>
      <c r="D959" t="s">
        <v>104</v>
      </c>
      <c r="E959" t="s">
        <v>341</v>
      </c>
      <c r="F959">
        <v>1</v>
      </c>
      <c r="G959" t="s">
        <v>10</v>
      </c>
      <c r="H959" t="s">
        <v>14</v>
      </c>
      <c r="I959" t="s">
        <v>329</v>
      </c>
      <c r="J959" t="str">
        <f>_xlfn.XLOOKUP(E959, Product_Master!$A$2:$A$101, Product_Master!$C$2:$C$101)</f>
        <v>Electronics</v>
      </c>
      <c r="K959">
        <f>_xlfn.XLOOKUP(E959, Product_Master!$A$2:$A$101, Product_Master!$D$2:$D$101)</f>
        <v>20000</v>
      </c>
      <c r="L959">
        <f>_xlfn.XLOOKUP(E959, Product_Master!$A$2:$A$101, Product_Master!$E$2:$E$101)</f>
        <v>25000</v>
      </c>
      <c r="M959">
        <f t="shared" si="71"/>
        <v>25000</v>
      </c>
      <c r="N959">
        <f t="shared" si="72"/>
        <v>20000</v>
      </c>
      <c r="O959">
        <f t="shared" si="73"/>
        <v>5000</v>
      </c>
      <c r="P959" s="3">
        <f t="shared" si="74"/>
        <v>0.2</v>
      </c>
      <c r="Q959" s="3" t="str">
        <v>Low Profit</v>
      </c>
    </row>
    <row r="960" spans="1:17" x14ac:dyDescent="0.3">
      <c r="A960" t="s">
        <v>1407</v>
      </c>
      <c r="B960" s="2">
        <v>45742</v>
      </c>
      <c r="C960" s="2" t="str">
        <f t="shared" si="70"/>
        <v>March</v>
      </c>
      <c r="D960" t="s">
        <v>79</v>
      </c>
      <c r="E960" t="s">
        <v>416</v>
      </c>
      <c r="F960">
        <v>1</v>
      </c>
      <c r="G960" t="s">
        <v>47</v>
      </c>
      <c r="H960" t="s">
        <v>20</v>
      </c>
      <c r="I960" t="s">
        <v>340</v>
      </c>
      <c r="J960" t="str">
        <f>_xlfn.XLOOKUP(E960, Product_Master!$A$2:$A$101, Product_Master!$C$2:$C$101)</f>
        <v>Electronics</v>
      </c>
      <c r="K960">
        <f>_xlfn.XLOOKUP(E960, Product_Master!$A$2:$A$101, Product_Master!$D$2:$D$101)</f>
        <v>42000</v>
      </c>
      <c r="L960">
        <f>_xlfn.XLOOKUP(E960, Product_Master!$A$2:$A$101, Product_Master!$E$2:$E$101)</f>
        <v>50000</v>
      </c>
      <c r="M960">
        <f t="shared" si="71"/>
        <v>50000</v>
      </c>
      <c r="N960">
        <f t="shared" si="72"/>
        <v>42000</v>
      </c>
      <c r="O960">
        <f t="shared" si="73"/>
        <v>8000</v>
      </c>
      <c r="P960" s="3">
        <f t="shared" si="74"/>
        <v>0.16</v>
      </c>
      <c r="Q960" s="3" t="str">
        <v>Low Profit</v>
      </c>
    </row>
    <row r="961" spans="1:17" x14ac:dyDescent="0.3">
      <c r="A961" t="s">
        <v>1408</v>
      </c>
      <c r="B961" s="2">
        <v>45713</v>
      </c>
      <c r="C961" s="2" t="str">
        <f t="shared" si="70"/>
        <v>February</v>
      </c>
      <c r="D961" t="s">
        <v>184</v>
      </c>
      <c r="E961" t="s">
        <v>434</v>
      </c>
      <c r="F961">
        <v>4</v>
      </c>
      <c r="G961" t="s">
        <v>4</v>
      </c>
      <c r="H961" t="s">
        <v>39</v>
      </c>
      <c r="I961" t="s">
        <v>346</v>
      </c>
      <c r="J961" t="str">
        <f>_xlfn.XLOOKUP(E961, Product_Master!$A$2:$A$101, Product_Master!$C$2:$C$101)</f>
        <v>Accessories</v>
      </c>
      <c r="K961">
        <f>_xlfn.XLOOKUP(E961, Product_Master!$A$2:$A$101, Product_Master!$D$2:$D$101)</f>
        <v>9000</v>
      </c>
      <c r="L961">
        <f>_xlfn.XLOOKUP(E961, Product_Master!$A$2:$A$101, Product_Master!$E$2:$E$101)</f>
        <v>12000</v>
      </c>
      <c r="M961">
        <f t="shared" si="71"/>
        <v>48000</v>
      </c>
      <c r="N961">
        <f t="shared" si="72"/>
        <v>36000</v>
      </c>
      <c r="O961">
        <f t="shared" si="73"/>
        <v>12000</v>
      </c>
      <c r="P961" s="3">
        <f t="shared" si="74"/>
        <v>0.25</v>
      </c>
      <c r="Q961" s="3" t="str">
        <v>High Profit</v>
      </c>
    </row>
    <row r="962" spans="1:17" x14ac:dyDescent="0.3">
      <c r="A962" t="s">
        <v>1409</v>
      </c>
      <c r="B962" s="2">
        <v>45862</v>
      </c>
      <c r="C962" s="2" t="str">
        <f t="shared" si="70"/>
        <v>July</v>
      </c>
      <c r="D962" t="s">
        <v>112</v>
      </c>
      <c r="E962" t="s">
        <v>386</v>
      </c>
      <c r="F962">
        <v>3</v>
      </c>
      <c r="G962" t="s">
        <v>29</v>
      </c>
      <c r="H962" t="s">
        <v>14</v>
      </c>
      <c r="I962" t="s">
        <v>335</v>
      </c>
      <c r="J962" t="str">
        <f>_xlfn.XLOOKUP(E962, Product_Master!$A$2:$A$101, Product_Master!$C$2:$C$101)</f>
        <v>Accessories</v>
      </c>
      <c r="K962">
        <f>_xlfn.XLOOKUP(E962, Product_Master!$A$2:$A$101, Product_Master!$D$2:$D$101)</f>
        <v>900</v>
      </c>
      <c r="L962">
        <f>_xlfn.XLOOKUP(E962, Product_Master!$A$2:$A$101, Product_Master!$E$2:$E$101)</f>
        <v>1500</v>
      </c>
      <c r="M962">
        <f t="shared" si="71"/>
        <v>4500</v>
      </c>
      <c r="N962">
        <f t="shared" si="72"/>
        <v>2700</v>
      </c>
      <c r="O962">
        <f t="shared" si="73"/>
        <v>1800</v>
      </c>
      <c r="P962" s="3">
        <f t="shared" si="74"/>
        <v>0.4</v>
      </c>
      <c r="Q962" s="3" t="str">
        <v>High Profit</v>
      </c>
    </row>
    <row r="963" spans="1:17" x14ac:dyDescent="0.3">
      <c r="A963" t="s">
        <v>1410</v>
      </c>
      <c r="B963" s="2">
        <v>45668</v>
      </c>
      <c r="C963" s="2" t="str">
        <f t="shared" ref="C963:C1001" si="75">TEXT(B963,"MMMM")</f>
        <v>January</v>
      </c>
      <c r="D963" t="s">
        <v>48</v>
      </c>
      <c r="E963" t="s">
        <v>412</v>
      </c>
      <c r="F963">
        <v>4</v>
      </c>
      <c r="G963" t="s">
        <v>10</v>
      </c>
      <c r="H963" t="s">
        <v>8</v>
      </c>
      <c r="I963" t="s">
        <v>346</v>
      </c>
      <c r="J963" t="str">
        <f>_xlfn.XLOOKUP(E963, Product_Master!$A$2:$A$101, Product_Master!$C$2:$C$101)</f>
        <v>Accessories</v>
      </c>
      <c r="K963">
        <f>_xlfn.XLOOKUP(E963, Product_Master!$A$2:$A$101, Product_Master!$D$2:$D$101)</f>
        <v>9000</v>
      </c>
      <c r="L963">
        <f>_xlfn.XLOOKUP(E963, Product_Master!$A$2:$A$101, Product_Master!$E$2:$E$101)</f>
        <v>12000</v>
      </c>
      <c r="M963">
        <f t="shared" ref="M963:M1001" si="76">F963*L963</f>
        <v>48000</v>
      </c>
      <c r="N963">
        <f t="shared" ref="N963:N1001" si="77">F963*K963</f>
        <v>36000</v>
      </c>
      <c r="O963">
        <f t="shared" ref="O963:O1001" si="78">M963-N963</f>
        <v>12000</v>
      </c>
      <c r="P963" s="3">
        <f t="shared" ref="P963:P1001" si="79">O963/M963</f>
        <v>0.25</v>
      </c>
      <c r="Q963" s="3" t="str">
        <v>High Profit</v>
      </c>
    </row>
    <row r="964" spans="1:17" x14ac:dyDescent="0.3">
      <c r="A964" t="s">
        <v>1411</v>
      </c>
      <c r="B964" s="2">
        <v>45960</v>
      </c>
      <c r="C964" s="2" t="str">
        <f t="shared" si="75"/>
        <v>October</v>
      </c>
      <c r="D964" t="s">
        <v>269</v>
      </c>
      <c r="E964" t="s">
        <v>438</v>
      </c>
      <c r="F964">
        <v>2</v>
      </c>
      <c r="G964" t="s">
        <v>24</v>
      </c>
      <c r="H964" t="s">
        <v>39</v>
      </c>
      <c r="I964" t="s">
        <v>329</v>
      </c>
      <c r="J964" t="str">
        <f>_xlfn.XLOOKUP(E964, Product_Master!$A$2:$A$101, Product_Master!$C$2:$C$101)</f>
        <v>Electronics</v>
      </c>
      <c r="K964">
        <f>_xlfn.XLOOKUP(E964, Product_Master!$A$2:$A$101, Product_Master!$D$2:$D$101)</f>
        <v>20000</v>
      </c>
      <c r="L964">
        <f>_xlfn.XLOOKUP(E964, Product_Master!$A$2:$A$101, Product_Master!$E$2:$E$101)</f>
        <v>25000</v>
      </c>
      <c r="M964">
        <f t="shared" si="76"/>
        <v>50000</v>
      </c>
      <c r="N964">
        <f t="shared" si="77"/>
        <v>40000</v>
      </c>
      <c r="O964">
        <f t="shared" si="78"/>
        <v>10000</v>
      </c>
      <c r="P964" s="3">
        <f t="shared" si="79"/>
        <v>0.2</v>
      </c>
      <c r="Q964" s="3" t="str">
        <v>Low Profit</v>
      </c>
    </row>
    <row r="965" spans="1:17" x14ac:dyDescent="0.3">
      <c r="A965" t="s">
        <v>1412</v>
      </c>
      <c r="B965" s="2">
        <v>45830</v>
      </c>
      <c r="C965" s="2" t="str">
        <f t="shared" si="75"/>
        <v>June</v>
      </c>
      <c r="D965" t="s">
        <v>315</v>
      </c>
      <c r="E965" t="s">
        <v>367</v>
      </c>
      <c r="F965">
        <v>1</v>
      </c>
      <c r="G965" t="s">
        <v>29</v>
      </c>
      <c r="H965" t="s">
        <v>14</v>
      </c>
      <c r="I965" t="s">
        <v>344</v>
      </c>
      <c r="J965" t="str">
        <f>_xlfn.XLOOKUP(E965, Product_Master!$A$2:$A$101, Product_Master!$C$2:$C$101)</f>
        <v>Accessories</v>
      </c>
      <c r="K965">
        <f>_xlfn.XLOOKUP(E965, Product_Master!$A$2:$A$101, Product_Master!$D$2:$D$101)</f>
        <v>2000</v>
      </c>
      <c r="L965">
        <f>_xlfn.XLOOKUP(E965, Product_Master!$A$2:$A$101, Product_Master!$E$2:$E$101)</f>
        <v>3000</v>
      </c>
      <c r="M965">
        <f t="shared" si="76"/>
        <v>3000</v>
      </c>
      <c r="N965">
        <f t="shared" si="77"/>
        <v>2000</v>
      </c>
      <c r="O965">
        <f t="shared" si="78"/>
        <v>1000</v>
      </c>
      <c r="P965" s="3">
        <f t="shared" si="79"/>
        <v>0.33333333333333331</v>
      </c>
      <c r="Q965" s="3" t="str">
        <v>High Profit</v>
      </c>
    </row>
    <row r="966" spans="1:17" x14ac:dyDescent="0.3">
      <c r="A966" t="s">
        <v>1413</v>
      </c>
      <c r="B966" s="2">
        <v>45687</v>
      </c>
      <c r="C966" s="2" t="str">
        <f t="shared" si="75"/>
        <v>January</v>
      </c>
      <c r="D966" t="s">
        <v>237</v>
      </c>
      <c r="E966" t="s">
        <v>431</v>
      </c>
      <c r="F966">
        <v>5</v>
      </c>
      <c r="G966" t="s">
        <v>47</v>
      </c>
      <c r="H966" t="s">
        <v>8</v>
      </c>
      <c r="I966" t="s">
        <v>332</v>
      </c>
      <c r="J966" t="str">
        <f>_xlfn.XLOOKUP(E966, Product_Master!$A$2:$A$101, Product_Master!$C$2:$C$101)</f>
        <v>Accessories</v>
      </c>
      <c r="K966">
        <f>_xlfn.XLOOKUP(E966, Product_Master!$A$2:$A$101, Product_Master!$D$2:$D$101)</f>
        <v>500</v>
      </c>
      <c r="L966">
        <f>_xlfn.XLOOKUP(E966, Product_Master!$A$2:$A$101, Product_Master!$E$2:$E$101)</f>
        <v>800</v>
      </c>
      <c r="M966">
        <f t="shared" si="76"/>
        <v>4000</v>
      </c>
      <c r="N966">
        <f t="shared" si="77"/>
        <v>2500</v>
      </c>
      <c r="O966">
        <f t="shared" si="78"/>
        <v>1500</v>
      </c>
      <c r="P966" s="3">
        <f t="shared" si="79"/>
        <v>0.375</v>
      </c>
      <c r="Q966" s="3" t="str">
        <v>High Profit</v>
      </c>
    </row>
    <row r="967" spans="1:17" x14ac:dyDescent="0.3">
      <c r="A967" t="s">
        <v>1414</v>
      </c>
      <c r="B967" s="2">
        <v>45678</v>
      </c>
      <c r="C967" s="2" t="str">
        <f t="shared" si="75"/>
        <v>January</v>
      </c>
      <c r="D967" t="s">
        <v>459</v>
      </c>
      <c r="E967" t="s">
        <v>437</v>
      </c>
      <c r="F967">
        <v>2</v>
      </c>
      <c r="G967" t="s">
        <v>1454</v>
      </c>
      <c r="H967" t="s">
        <v>1455</v>
      </c>
      <c r="I967" t="s">
        <v>344</v>
      </c>
      <c r="J967" t="str">
        <f>_xlfn.XLOOKUP(E967, Product_Master!$A$2:$A$101, Product_Master!$C$2:$C$101)</f>
        <v>Accessories</v>
      </c>
      <c r="K967">
        <f>_xlfn.XLOOKUP(E967, Product_Master!$A$2:$A$101, Product_Master!$D$2:$D$101)</f>
        <v>2000</v>
      </c>
      <c r="L967">
        <f>_xlfn.XLOOKUP(E967, Product_Master!$A$2:$A$101, Product_Master!$E$2:$E$101)</f>
        <v>3000</v>
      </c>
      <c r="M967">
        <f t="shared" si="76"/>
        <v>6000</v>
      </c>
      <c r="N967">
        <f t="shared" si="77"/>
        <v>4000</v>
      </c>
      <c r="O967">
        <f t="shared" si="78"/>
        <v>2000</v>
      </c>
      <c r="P967" s="3">
        <f t="shared" si="79"/>
        <v>0.33333333333333331</v>
      </c>
      <c r="Q967" s="3" t="str">
        <v>High Profit</v>
      </c>
    </row>
    <row r="968" spans="1:17" x14ac:dyDescent="0.3">
      <c r="A968" t="s">
        <v>1415</v>
      </c>
      <c r="B968" s="2">
        <v>45720</v>
      </c>
      <c r="C968" s="2" t="str">
        <f t="shared" si="75"/>
        <v>March</v>
      </c>
      <c r="D968" t="s">
        <v>459</v>
      </c>
      <c r="E968" t="s">
        <v>380</v>
      </c>
      <c r="F968">
        <v>1</v>
      </c>
      <c r="G968" t="s">
        <v>1454</v>
      </c>
      <c r="H968" t="s">
        <v>1455</v>
      </c>
      <c r="I968" t="s">
        <v>340</v>
      </c>
      <c r="J968" t="str">
        <f>_xlfn.XLOOKUP(E968, Product_Master!$A$2:$A$101, Product_Master!$C$2:$C$101)</f>
        <v>Electronics</v>
      </c>
      <c r="K968">
        <f>_xlfn.XLOOKUP(E968, Product_Master!$A$2:$A$101, Product_Master!$D$2:$D$101)</f>
        <v>42000</v>
      </c>
      <c r="L968">
        <f>_xlfn.XLOOKUP(E968, Product_Master!$A$2:$A$101, Product_Master!$E$2:$E$101)</f>
        <v>50000</v>
      </c>
      <c r="M968">
        <f t="shared" si="76"/>
        <v>50000</v>
      </c>
      <c r="N968">
        <f t="shared" si="77"/>
        <v>42000</v>
      </c>
      <c r="O968">
        <f t="shared" si="78"/>
        <v>8000</v>
      </c>
      <c r="P968" s="3">
        <f t="shared" si="79"/>
        <v>0.16</v>
      </c>
      <c r="Q968" s="3" t="str">
        <v>Low Profit</v>
      </c>
    </row>
    <row r="969" spans="1:17" x14ac:dyDescent="0.3">
      <c r="A969" t="s">
        <v>1416</v>
      </c>
      <c r="B969" s="2">
        <v>45954</v>
      </c>
      <c r="C969" s="2" t="str">
        <f t="shared" si="75"/>
        <v>October</v>
      </c>
      <c r="D969" t="s">
        <v>257</v>
      </c>
      <c r="E969" t="s">
        <v>375</v>
      </c>
      <c r="F969">
        <v>5</v>
      </c>
      <c r="G969" t="s">
        <v>19</v>
      </c>
      <c r="H969" t="s">
        <v>5</v>
      </c>
      <c r="I969" t="s">
        <v>329</v>
      </c>
      <c r="J969" t="str">
        <f>_xlfn.XLOOKUP(E969, Product_Master!$A$2:$A$101, Product_Master!$C$2:$C$101)</f>
        <v>Electronics</v>
      </c>
      <c r="K969">
        <f>_xlfn.XLOOKUP(E969, Product_Master!$A$2:$A$101, Product_Master!$D$2:$D$101)</f>
        <v>20000</v>
      </c>
      <c r="L969">
        <f>_xlfn.XLOOKUP(E969, Product_Master!$A$2:$A$101, Product_Master!$E$2:$E$101)</f>
        <v>25000</v>
      </c>
      <c r="M969">
        <f t="shared" si="76"/>
        <v>125000</v>
      </c>
      <c r="N969">
        <f t="shared" si="77"/>
        <v>100000</v>
      </c>
      <c r="O969">
        <f t="shared" si="78"/>
        <v>25000</v>
      </c>
      <c r="P969" s="3">
        <f t="shared" si="79"/>
        <v>0.2</v>
      </c>
      <c r="Q969" s="3" t="str">
        <v>Low Profit</v>
      </c>
    </row>
    <row r="970" spans="1:17" x14ac:dyDescent="0.3">
      <c r="A970" t="s">
        <v>1417</v>
      </c>
      <c r="B970" s="2">
        <v>46018</v>
      </c>
      <c r="C970" s="2" t="str">
        <f t="shared" si="75"/>
        <v>December</v>
      </c>
      <c r="D970" t="s">
        <v>212</v>
      </c>
      <c r="E970" t="s">
        <v>436</v>
      </c>
      <c r="F970">
        <v>3</v>
      </c>
      <c r="G970" t="s">
        <v>4</v>
      </c>
      <c r="H970" t="s">
        <v>39</v>
      </c>
      <c r="I970" t="s">
        <v>353</v>
      </c>
      <c r="J970" t="str">
        <f>_xlfn.XLOOKUP(E970, Product_Master!$A$2:$A$101, Product_Master!$C$2:$C$101)</f>
        <v>Electronics</v>
      </c>
      <c r="K970">
        <f>_xlfn.XLOOKUP(E970, Product_Master!$A$2:$A$101, Product_Master!$D$2:$D$101)</f>
        <v>12000</v>
      </c>
      <c r="L970">
        <f>_xlfn.XLOOKUP(E970, Product_Master!$A$2:$A$101, Product_Master!$E$2:$E$101)</f>
        <v>15000</v>
      </c>
      <c r="M970">
        <f t="shared" si="76"/>
        <v>45000</v>
      </c>
      <c r="N970">
        <f t="shared" si="77"/>
        <v>36000</v>
      </c>
      <c r="O970">
        <f t="shared" si="78"/>
        <v>9000</v>
      </c>
      <c r="P970" s="3">
        <f t="shared" si="79"/>
        <v>0.2</v>
      </c>
      <c r="Q970" s="3" t="str">
        <v>Low Profit</v>
      </c>
    </row>
    <row r="971" spans="1:17" x14ac:dyDescent="0.3">
      <c r="A971" t="s">
        <v>1418</v>
      </c>
      <c r="B971" s="2">
        <v>45666</v>
      </c>
      <c r="C971" s="2" t="str">
        <f t="shared" si="75"/>
        <v>January</v>
      </c>
      <c r="D971" t="s">
        <v>139</v>
      </c>
      <c r="E971" t="s">
        <v>351</v>
      </c>
      <c r="F971">
        <v>5</v>
      </c>
      <c r="G971" t="s">
        <v>37</v>
      </c>
      <c r="H971" t="s">
        <v>14</v>
      </c>
      <c r="I971" t="s">
        <v>332</v>
      </c>
      <c r="J971" t="str">
        <f>_xlfn.XLOOKUP(E971, Product_Master!$A$2:$A$101, Product_Master!$C$2:$C$101)</f>
        <v>Accessories</v>
      </c>
      <c r="K971">
        <f>_xlfn.XLOOKUP(E971, Product_Master!$A$2:$A$101, Product_Master!$D$2:$D$101)</f>
        <v>500</v>
      </c>
      <c r="L971">
        <f>_xlfn.XLOOKUP(E971, Product_Master!$A$2:$A$101, Product_Master!$E$2:$E$101)</f>
        <v>800</v>
      </c>
      <c r="M971">
        <f t="shared" si="76"/>
        <v>4000</v>
      </c>
      <c r="N971">
        <f t="shared" si="77"/>
        <v>2500</v>
      </c>
      <c r="O971">
        <f t="shared" si="78"/>
        <v>1500</v>
      </c>
      <c r="P971" s="3">
        <f t="shared" si="79"/>
        <v>0.375</v>
      </c>
      <c r="Q971" s="3" t="str">
        <v>High Profit</v>
      </c>
    </row>
    <row r="972" spans="1:17" x14ac:dyDescent="0.3">
      <c r="A972" t="s">
        <v>1419</v>
      </c>
      <c r="B972" s="2">
        <v>45870</v>
      </c>
      <c r="C972" s="2" t="str">
        <f t="shared" si="75"/>
        <v>August</v>
      </c>
      <c r="D972" t="s">
        <v>174</v>
      </c>
      <c r="E972" t="s">
        <v>389</v>
      </c>
      <c r="F972">
        <v>3</v>
      </c>
      <c r="G972" t="s">
        <v>24</v>
      </c>
      <c r="H972" t="s">
        <v>39</v>
      </c>
      <c r="I972" t="s">
        <v>337</v>
      </c>
      <c r="J972" t="str">
        <f>_xlfn.XLOOKUP(E972, Product_Master!$A$2:$A$101, Product_Master!$C$2:$C$101)</f>
        <v>Electronics</v>
      </c>
      <c r="K972">
        <f>_xlfn.XLOOKUP(E972, Product_Master!$A$2:$A$101, Product_Master!$D$2:$D$101)</f>
        <v>15000</v>
      </c>
      <c r="L972">
        <f>_xlfn.XLOOKUP(E972, Product_Master!$A$2:$A$101, Product_Master!$E$2:$E$101)</f>
        <v>18000</v>
      </c>
      <c r="M972">
        <f t="shared" si="76"/>
        <v>54000</v>
      </c>
      <c r="N972">
        <f t="shared" si="77"/>
        <v>45000</v>
      </c>
      <c r="O972">
        <f t="shared" si="78"/>
        <v>9000</v>
      </c>
      <c r="P972" s="3">
        <f t="shared" si="79"/>
        <v>0.16666666666666666</v>
      </c>
      <c r="Q972" s="3" t="str">
        <v>Low Profit</v>
      </c>
    </row>
    <row r="973" spans="1:17" x14ac:dyDescent="0.3">
      <c r="A973" t="s">
        <v>1420</v>
      </c>
      <c r="B973" s="2">
        <v>45728</v>
      </c>
      <c r="C973" s="2" t="str">
        <f t="shared" si="75"/>
        <v>March</v>
      </c>
      <c r="D973" t="s">
        <v>44</v>
      </c>
      <c r="E973" t="s">
        <v>376</v>
      </c>
      <c r="F973">
        <v>3</v>
      </c>
      <c r="G973" t="s">
        <v>45</v>
      </c>
      <c r="H973" t="s">
        <v>27</v>
      </c>
      <c r="I973" t="s">
        <v>353</v>
      </c>
      <c r="J973" t="str">
        <f>_xlfn.XLOOKUP(E973, Product_Master!$A$2:$A$101, Product_Master!$C$2:$C$101)</f>
        <v>Electronics</v>
      </c>
      <c r="K973">
        <f>_xlfn.XLOOKUP(E973, Product_Master!$A$2:$A$101, Product_Master!$D$2:$D$101)</f>
        <v>12000</v>
      </c>
      <c r="L973">
        <f>_xlfn.XLOOKUP(E973, Product_Master!$A$2:$A$101, Product_Master!$E$2:$E$101)</f>
        <v>15000</v>
      </c>
      <c r="M973">
        <f t="shared" si="76"/>
        <v>45000</v>
      </c>
      <c r="N973">
        <f t="shared" si="77"/>
        <v>36000</v>
      </c>
      <c r="O973">
        <f t="shared" si="78"/>
        <v>9000</v>
      </c>
      <c r="P973" s="3">
        <f t="shared" si="79"/>
        <v>0.2</v>
      </c>
      <c r="Q973" s="3" t="str">
        <v>Low Profit</v>
      </c>
    </row>
    <row r="974" spans="1:17" x14ac:dyDescent="0.3">
      <c r="A974" t="s">
        <v>1421</v>
      </c>
      <c r="B974" s="2">
        <v>45680</v>
      </c>
      <c r="C974" s="2" t="str">
        <f t="shared" si="75"/>
        <v>January</v>
      </c>
      <c r="D974" t="s">
        <v>313</v>
      </c>
      <c r="E974" t="s">
        <v>393</v>
      </c>
      <c r="F974">
        <v>4</v>
      </c>
      <c r="G974" t="s">
        <v>4</v>
      </c>
      <c r="H974" t="s">
        <v>8</v>
      </c>
      <c r="I974" t="s">
        <v>344</v>
      </c>
      <c r="J974" t="str">
        <f>_xlfn.XLOOKUP(E974, Product_Master!$A$2:$A$101, Product_Master!$C$2:$C$101)</f>
        <v>Accessories</v>
      </c>
      <c r="K974">
        <f>_xlfn.XLOOKUP(E974, Product_Master!$A$2:$A$101, Product_Master!$D$2:$D$101)</f>
        <v>2000</v>
      </c>
      <c r="L974">
        <f>_xlfn.XLOOKUP(E974, Product_Master!$A$2:$A$101, Product_Master!$E$2:$E$101)</f>
        <v>3000</v>
      </c>
      <c r="M974">
        <f t="shared" si="76"/>
        <v>12000</v>
      </c>
      <c r="N974">
        <f t="shared" si="77"/>
        <v>8000</v>
      </c>
      <c r="O974">
        <f t="shared" si="78"/>
        <v>4000</v>
      </c>
      <c r="P974" s="3">
        <f t="shared" si="79"/>
        <v>0.33333333333333331</v>
      </c>
      <c r="Q974" s="3" t="str">
        <v>High Profit</v>
      </c>
    </row>
    <row r="975" spans="1:17" x14ac:dyDescent="0.3">
      <c r="A975" t="s">
        <v>1422</v>
      </c>
      <c r="B975" s="2">
        <v>45713</v>
      </c>
      <c r="C975" s="2" t="str">
        <f t="shared" si="75"/>
        <v>February</v>
      </c>
      <c r="D975" t="s">
        <v>193</v>
      </c>
      <c r="E975" t="s">
        <v>386</v>
      </c>
      <c r="F975">
        <v>4</v>
      </c>
      <c r="G975" t="s">
        <v>4</v>
      </c>
      <c r="H975" t="s">
        <v>8</v>
      </c>
      <c r="I975" t="s">
        <v>335</v>
      </c>
      <c r="J975" t="str">
        <f>_xlfn.XLOOKUP(E975, Product_Master!$A$2:$A$101, Product_Master!$C$2:$C$101)</f>
        <v>Accessories</v>
      </c>
      <c r="K975">
        <f>_xlfn.XLOOKUP(E975, Product_Master!$A$2:$A$101, Product_Master!$D$2:$D$101)</f>
        <v>900</v>
      </c>
      <c r="L975">
        <f>_xlfn.XLOOKUP(E975, Product_Master!$A$2:$A$101, Product_Master!$E$2:$E$101)</f>
        <v>1500</v>
      </c>
      <c r="M975">
        <f t="shared" si="76"/>
        <v>6000</v>
      </c>
      <c r="N975">
        <f t="shared" si="77"/>
        <v>3600</v>
      </c>
      <c r="O975">
        <f t="shared" si="78"/>
        <v>2400</v>
      </c>
      <c r="P975" s="3">
        <f t="shared" si="79"/>
        <v>0.4</v>
      </c>
      <c r="Q975" s="3" t="str">
        <v>High Profit</v>
      </c>
    </row>
    <row r="976" spans="1:17" x14ac:dyDescent="0.3">
      <c r="A976" t="s">
        <v>1423</v>
      </c>
      <c r="B976" s="2">
        <v>45658</v>
      </c>
      <c r="C976" s="2" t="str">
        <f t="shared" si="75"/>
        <v>January</v>
      </c>
      <c r="D976" t="s">
        <v>270</v>
      </c>
      <c r="E976" t="s">
        <v>377</v>
      </c>
      <c r="F976">
        <v>4</v>
      </c>
      <c r="G976" t="s">
        <v>16</v>
      </c>
      <c r="H976" t="s">
        <v>5</v>
      </c>
      <c r="I976" t="s">
        <v>337</v>
      </c>
      <c r="J976" t="str">
        <f>_xlfn.XLOOKUP(E976, Product_Master!$A$2:$A$101, Product_Master!$C$2:$C$101)</f>
        <v>Electronics</v>
      </c>
      <c r="K976">
        <f>_xlfn.XLOOKUP(E976, Product_Master!$A$2:$A$101, Product_Master!$D$2:$D$101)</f>
        <v>15000</v>
      </c>
      <c r="L976">
        <f>_xlfn.XLOOKUP(E976, Product_Master!$A$2:$A$101, Product_Master!$E$2:$E$101)</f>
        <v>18000</v>
      </c>
      <c r="M976">
        <f t="shared" si="76"/>
        <v>72000</v>
      </c>
      <c r="N976">
        <f t="shared" si="77"/>
        <v>60000</v>
      </c>
      <c r="O976">
        <f t="shared" si="78"/>
        <v>12000</v>
      </c>
      <c r="P976" s="3">
        <f t="shared" si="79"/>
        <v>0.16666666666666666</v>
      </c>
      <c r="Q976" s="3" t="str">
        <v>Low Profit</v>
      </c>
    </row>
    <row r="977" spans="1:17" x14ac:dyDescent="0.3">
      <c r="A977" t="s">
        <v>1424</v>
      </c>
      <c r="B977" s="2">
        <v>45936</v>
      </c>
      <c r="C977" s="2" t="str">
        <f t="shared" si="75"/>
        <v>October</v>
      </c>
      <c r="D977" t="s">
        <v>279</v>
      </c>
      <c r="E977" t="s">
        <v>356</v>
      </c>
      <c r="F977">
        <v>4</v>
      </c>
      <c r="G977" t="s">
        <v>22</v>
      </c>
      <c r="H977" t="s">
        <v>31</v>
      </c>
      <c r="I977" t="s">
        <v>340</v>
      </c>
      <c r="J977" t="str">
        <f>_xlfn.XLOOKUP(E977, Product_Master!$A$2:$A$101, Product_Master!$C$2:$C$101)</f>
        <v>Electronics</v>
      </c>
      <c r="K977">
        <f>_xlfn.XLOOKUP(E977, Product_Master!$A$2:$A$101, Product_Master!$D$2:$D$101)</f>
        <v>42000</v>
      </c>
      <c r="L977">
        <f>_xlfn.XLOOKUP(E977, Product_Master!$A$2:$A$101, Product_Master!$E$2:$E$101)</f>
        <v>50000</v>
      </c>
      <c r="M977">
        <f t="shared" si="76"/>
        <v>200000</v>
      </c>
      <c r="N977">
        <f t="shared" si="77"/>
        <v>168000</v>
      </c>
      <c r="O977">
        <f t="shared" si="78"/>
        <v>32000</v>
      </c>
      <c r="P977" s="3">
        <f t="shared" si="79"/>
        <v>0.16</v>
      </c>
      <c r="Q977" s="3" t="str">
        <v>Low Profit</v>
      </c>
    </row>
    <row r="978" spans="1:17" x14ac:dyDescent="0.3">
      <c r="A978" t="s">
        <v>1425</v>
      </c>
      <c r="B978" s="2">
        <v>45941</v>
      </c>
      <c r="C978" s="2" t="str">
        <f t="shared" si="75"/>
        <v>October</v>
      </c>
      <c r="D978" t="s">
        <v>275</v>
      </c>
      <c r="E978" t="s">
        <v>406</v>
      </c>
      <c r="F978">
        <v>4</v>
      </c>
      <c r="G978" t="s">
        <v>22</v>
      </c>
      <c r="H978" t="s">
        <v>27</v>
      </c>
      <c r="I978" t="s">
        <v>344</v>
      </c>
      <c r="J978" t="str">
        <f>_xlfn.XLOOKUP(E978, Product_Master!$A$2:$A$101, Product_Master!$C$2:$C$101)</f>
        <v>Accessories</v>
      </c>
      <c r="K978">
        <f>_xlfn.XLOOKUP(E978, Product_Master!$A$2:$A$101, Product_Master!$D$2:$D$101)</f>
        <v>2000</v>
      </c>
      <c r="L978">
        <f>_xlfn.XLOOKUP(E978, Product_Master!$A$2:$A$101, Product_Master!$E$2:$E$101)</f>
        <v>3000</v>
      </c>
      <c r="M978">
        <f t="shared" si="76"/>
        <v>12000</v>
      </c>
      <c r="N978">
        <f t="shared" si="77"/>
        <v>8000</v>
      </c>
      <c r="O978">
        <f t="shared" si="78"/>
        <v>4000</v>
      </c>
      <c r="P978" s="3">
        <f t="shared" si="79"/>
        <v>0.33333333333333331</v>
      </c>
      <c r="Q978" s="3" t="str">
        <v>High Profit</v>
      </c>
    </row>
    <row r="979" spans="1:17" x14ac:dyDescent="0.3">
      <c r="A979" t="s">
        <v>1426</v>
      </c>
      <c r="B979" s="2">
        <v>45804</v>
      </c>
      <c r="C979" s="2" t="str">
        <f t="shared" si="75"/>
        <v>May</v>
      </c>
      <c r="D979" t="s">
        <v>63</v>
      </c>
      <c r="E979" t="s">
        <v>399</v>
      </c>
      <c r="F979">
        <v>3</v>
      </c>
      <c r="G979" t="s">
        <v>12</v>
      </c>
      <c r="H979" t="s">
        <v>20</v>
      </c>
      <c r="I979" t="s">
        <v>340</v>
      </c>
      <c r="J979" t="str">
        <f>_xlfn.XLOOKUP(E979, Product_Master!$A$2:$A$101, Product_Master!$C$2:$C$101)</f>
        <v>Electronics</v>
      </c>
      <c r="K979">
        <f>_xlfn.XLOOKUP(E979, Product_Master!$A$2:$A$101, Product_Master!$D$2:$D$101)</f>
        <v>42000</v>
      </c>
      <c r="L979">
        <f>_xlfn.XLOOKUP(E979, Product_Master!$A$2:$A$101, Product_Master!$E$2:$E$101)</f>
        <v>50000</v>
      </c>
      <c r="M979">
        <f t="shared" si="76"/>
        <v>150000</v>
      </c>
      <c r="N979">
        <f t="shared" si="77"/>
        <v>126000</v>
      </c>
      <c r="O979">
        <f t="shared" si="78"/>
        <v>24000</v>
      </c>
      <c r="P979" s="3">
        <f t="shared" si="79"/>
        <v>0.16</v>
      </c>
      <c r="Q979" s="3" t="str">
        <v>Low Profit</v>
      </c>
    </row>
    <row r="980" spans="1:17" x14ac:dyDescent="0.3">
      <c r="A980" t="s">
        <v>1427</v>
      </c>
      <c r="B980" s="2">
        <v>45884</v>
      </c>
      <c r="C980" s="2" t="str">
        <f t="shared" si="75"/>
        <v>August</v>
      </c>
      <c r="D980" t="s">
        <v>459</v>
      </c>
      <c r="E980" t="s">
        <v>385</v>
      </c>
      <c r="F980">
        <v>1</v>
      </c>
      <c r="G980" t="s">
        <v>1454</v>
      </c>
      <c r="H980" t="s">
        <v>1455</v>
      </c>
      <c r="I980" t="s">
        <v>340</v>
      </c>
      <c r="J980" t="str">
        <f>_xlfn.XLOOKUP(E980, Product_Master!$A$2:$A$101, Product_Master!$C$2:$C$101)</f>
        <v>Electronics</v>
      </c>
      <c r="K980">
        <f>_xlfn.XLOOKUP(E980, Product_Master!$A$2:$A$101, Product_Master!$D$2:$D$101)</f>
        <v>42000</v>
      </c>
      <c r="L980">
        <f>_xlfn.XLOOKUP(E980, Product_Master!$A$2:$A$101, Product_Master!$E$2:$E$101)</f>
        <v>50000</v>
      </c>
      <c r="M980">
        <f t="shared" si="76"/>
        <v>50000</v>
      </c>
      <c r="N980">
        <f t="shared" si="77"/>
        <v>42000</v>
      </c>
      <c r="O980">
        <f t="shared" si="78"/>
        <v>8000</v>
      </c>
      <c r="P980" s="3">
        <f t="shared" si="79"/>
        <v>0.16</v>
      </c>
      <c r="Q980" s="3" t="str">
        <v>Low Profit</v>
      </c>
    </row>
    <row r="981" spans="1:17" x14ac:dyDescent="0.3">
      <c r="A981" t="s">
        <v>1428</v>
      </c>
      <c r="B981" s="2">
        <v>45719</v>
      </c>
      <c r="C981" s="2" t="str">
        <f t="shared" si="75"/>
        <v>March</v>
      </c>
      <c r="D981" t="s">
        <v>469</v>
      </c>
      <c r="E981" t="s">
        <v>352</v>
      </c>
      <c r="F981">
        <v>5</v>
      </c>
      <c r="G981" t="s">
        <v>1454</v>
      </c>
      <c r="H981" t="s">
        <v>1455</v>
      </c>
      <c r="I981" t="s">
        <v>353</v>
      </c>
      <c r="J981" t="str">
        <f>_xlfn.XLOOKUP(E981, Product_Master!$A$2:$A$101, Product_Master!$C$2:$C$101)</f>
        <v>Electronics</v>
      </c>
      <c r="K981">
        <f>_xlfn.XLOOKUP(E981, Product_Master!$A$2:$A$101, Product_Master!$D$2:$D$101)</f>
        <v>12000</v>
      </c>
      <c r="L981">
        <f>_xlfn.XLOOKUP(E981, Product_Master!$A$2:$A$101, Product_Master!$E$2:$E$101)</f>
        <v>15000</v>
      </c>
      <c r="M981">
        <f t="shared" si="76"/>
        <v>75000</v>
      </c>
      <c r="N981">
        <f t="shared" si="77"/>
        <v>60000</v>
      </c>
      <c r="O981">
        <f t="shared" si="78"/>
        <v>15000</v>
      </c>
      <c r="P981" s="3">
        <f t="shared" si="79"/>
        <v>0.2</v>
      </c>
      <c r="Q981" s="3" t="str">
        <v>Low Profit</v>
      </c>
    </row>
    <row r="982" spans="1:17" x14ac:dyDescent="0.3">
      <c r="A982" t="s">
        <v>1429</v>
      </c>
      <c r="B982" s="2">
        <v>45809</v>
      </c>
      <c r="C982" s="2" t="str">
        <f t="shared" si="75"/>
        <v>June</v>
      </c>
      <c r="D982" t="s">
        <v>129</v>
      </c>
      <c r="E982" t="s">
        <v>362</v>
      </c>
      <c r="F982">
        <v>5</v>
      </c>
      <c r="G982" t="s">
        <v>16</v>
      </c>
      <c r="H982" t="s">
        <v>20</v>
      </c>
      <c r="I982" t="s">
        <v>332</v>
      </c>
      <c r="J982" t="str">
        <f>_xlfn.XLOOKUP(E982, Product_Master!$A$2:$A$101, Product_Master!$C$2:$C$101)</f>
        <v>Accessories</v>
      </c>
      <c r="K982">
        <f>_xlfn.XLOOKUP(E982, Product_Master!$A$2:$A$101, Product_Master!$D$2:$D$101)</f>
        <v>500</v>
      </c>
      <c r="L982">
        <f>_xlfn.XLOOKUP(E982, Product_Master!$A$2:$A$101, Product_Master!$E$2:$E$101)</f>
        <v>800</v>
      </c>
      <c r="M982">
        <f t="shared" si="76"/>
        <v>4000</v>
      </c>
      <c r="N982">
        <f t="shared" si="77"/>
        <v>2500</v>
      </c>
      <c r="O982">
        <f t="shared" si="78"/>
        <v>1500</v>
      </c>
      <c r="P982" s="3">
        <f t="shared" si="79"/>
        <v>0.375</v>
      </c>
      <c r="Q982" s="3" t="str">
        <v>High Profit</v>
      </c>
    </row>
    <row r="983" spans="1:17" x14ac:dyDescent="0.3">
      <c r="A983" t="s">
        <v>1430</v>
      </c>
      <c r="B983" s="2">
        <v>45718</v>
      </c>
      <c r="C983" s="2" t="str">
        <f t="shared" si="75"/>
        <v>March</v>
      </c>
      <c r="D983" t="s">
        <v>32</v>
      </c>
      <c r="E983" t="s">
        <v>398</v>
      </c>
      <c r="F983">
        <v>1</v>
      </c>
      <c r="G983" t="s">
        <v>4</v>
      </c>
      <c r="H983" t="s">
        <v>14</v>
      </c>
      <c r="I983" t="s">
        <v>344</v>
      </c>
      <c r="J983" t="str">
        <f>_xlfn.XLOOKUP(E983, Product_Master!$A$2:$A$101, Product_Master!$C$2:$C$101)</f>
        <v>Accessories</v>
      </c>
      <c r="K983">
        <f>_xlfn.XLOOKUP(E983, Product_Master!$A$2:$A$101, Product_Master!$D$2:$D$101)</f>
        <v>2000</v>
      </c>
      <c r="L983">
        <f>_xlfn.XLOOKUP(E983, Product_Master!$A$2:$A$101, Product_Master!$E$2:$E$101)</f>
        <v>3000</v>
      </c>
      <c r="M983">
        <f t="shared" si="76"/>
        <v>3000</v>
      </c>
      <c r="N983">
        <f t="shared" si="77"/>
        <v>2000</v>
      </c>
      <c r="O983">
        <f t="shared" si="78"/>
        <v>1000</v>
      </c>
      <c r="P983" s="3">
        <f t="shared" si="79"/>
        <v>0.33333333333333331</v>
      </c>
      <c r="Q983" s="3" t="str">
        <v>High Profit</v>
      </c>
    </row>
    <row r="984" spans="1:17" x14ac:dyDescent="0.3">
      <c r="A984" t="s">
        <v>1431</v>
      </c>
      <c r="B984" s="2">
        <v>45899</v>
      </c>
      <c r="C984" s="2" t="str">
        <f t="shared" si="75"/>
        <v>August</v>
      </c>
      <c r="D984" t="s">
        <v>51</v>
      </c>
      <c r="E984" t="s">
        <v>434</v>
      </c>
      <c r="F984">
        <v>4</v>
      </c>
      <c r="G984" t="s">
        <v>7</v>
      </c>
      <c r="H984" t="s">
        <v>27</v>
      </c>
      <c r="I984" t="s">
        <v>346</v>
      </c>
      <c r="J984" t="str">
        <f>_xlfn.XLOOKUP(E984, Product_Master!$A$2:$A$101, Product_Master!$C$2:$C$101)</f>
        <v>Accessories</v>
      </c>
      <c r="K984">
        <f>_xlfn.XLOOKUP(E984, Product_Master!$A$2:$A$101, Product_Master!$D$2:$D$101)</f>
        <v>9000</v>
      </c>
      <c r="L984">
        <f>_xlfn.XLOOKUP(E984, Product_Master!$A$2:$A$101, Product_Master!$E$2:$E$101)</f>
        <v>12000</v>
      </c>
      <c r="M984">
        <f t="shared" si="76"/>
        <v>48000</v>
      </c>
      <c r="N984">
        <f t="shared" si="77"/>
        <v>36000</v>
      </c>
      <c r="O984">
        <f t="shared" si="78"/>
        <v>12000</v>
      </c>
      <c r="P984" s="3">
        <f t="shared" si="79"/>
        <v>0.25</v>
      </c>
      <c r="Q984" s="3" t="str">
        <v>High Profit</v>
      </c>
    </row>
    <row r="985" spans="1:17" x14ac:dyDescent="0.3">
      <c r="A985" t="s">
        <v>1432</v>
      </c>
      <c r="B985" s="2">
        <v>45879</v>
      </c>
      <c r="C985" s="2" t="str">
        <f t="shared" si="75"/>
        <v>August</v>
      </c>
      <c r="D985" t="s">
        <v>167</v>
      </c>
      <c r="E985" t="s">
        <v>370</v>
      </c>
      <c r="F985">
        <v>1</v>
      </c>
      <c r="G985" t="s">
        <v>37</v>
      </c>
      <c r="H985" t="s">
        <v>17</v>
      </c>
      <c r="I985" t="s">
        <v>335</v>
      </c>
      <c r="J985" t="str">
        <f>_xlfn.XLOOKUP(E985, Product_Master!$A$2:$A$101, Product_Master!$C$2:$C$101)</f>
        <v>Accessories</v>
      </c>
      <c r="K985">
        <f>_xlfn.XLOOKUP(E985, Product_Master!$A$2:$A$101, Product_Master!$D$2:$D$101)</f>
        <v>900</v>
      </c>
      <c r="L985">
        <f>_xlfn.XLOOKUP(E985, Product_Master!$A$2:$A$101, Product_Master!$E$2:$E$101)</f>
        <v>1500</v>
      </c>
      <c r="M985">
        <f t="shared" si="76"/>
        <v>1500</v>
      </c>
      <c r="N985">
        <f t="shared" si="77"/>
        <v>900</v>
      </c>
      <c r="O985">
        <f t="shared" si="78"/>
        <v>600</v>
      </c>
      <c r="P985" s="3">
        <f t="shared" si="79"/>
        <v>0.4</v>
      </c>
      <c r="Q985" s="3" t="str">
        <v>High Profit</v>
      </c>
    </row>
    <row r="986" spans="1:17" x14ac:dyDescent="0.3">
      <c r="A986" t="s">
        <v>1433</v>
      </c>
      <c r="B986" s="2">
        <v>46011</v>
      </c>
      <c r="C986" s="2" t="str">
        <f t="shared" si="75"/>
        <v>December</v>
      </c>
      <c r="D986" t="s">
        <v>252</v>
      </c>
      <c r="E986" t="s">
        <v>371</v>
      </c>
      <c r="F986">
        <v>5</v>
      </c>
      <c r="G986" t="s">
        <v>19</v>
      </c>
      <c r="H986" t="s">
        <v>27</v>
      </c>
      <c r="I986" t="s">
        <v>329</v>
      </c>
      <c r="J986" t="str">
        <f>_xlfn.XLOOKUP(E986, Product_Master!$A$2:$A$101, Product_Master!$C$2:$C$101)</f>
        <v>Electronics</v>
      </c>
      <c r="K986">
        <f>_xlfn.XLOOKUP(E986, Product_Master!$A$2:$A$101, Product_Master!$D$2:$D$101)</f>
        <v>20000</v>
      </c>
      <c r="L986">
        <f>_xlfn.XLOOKUP(E986, Product_Master!$A$2:$A$101, Product_Master!$E$2:$E$101)</f>
        <v>25000</v>
      </c>
      <c r="M986">
        <f t="shared" si="76"/>
        <v>125000</v>
      </c>
      <c r="N986">
        <f t="shared" si="77"/>
        <v>100000</v>
      </c>
      <c r="O986">
        <f t="shared" si="78"/>
        <v>25000</v>
      </c>
      <c r="P986" s="3">
        <f t="shared" si="79"/>
        <v>0.2</v>
      </c>
      <c r="Q986" s="3" t="str">
        <v>Low Profit</v>
      </c>
    </row>
    <row r="987" spans="1:17" x14ac:dyDescent="0.3">
      <c r="A987" t="s">
        <v>1434</v>
      </c>
      <c r="B987" s="2">
        <v>45797</v>
      </c>
      <c r="C987" s="2" t="str">
        <f t="shared" si="75"/>
        <v>May</v>
      </c>
      <c r="D987" t="s">
        <v>41</v>
      </c>
      <c r="E987" t="s">
        <v>417</v>
      </c>
      <c r="F987">
        <v>1</v>
      </c>
      <c r="G987" t="s">
        <v>37</v>
      </c>
      <c r="H987" t="s">
        <v>31</v>
      </c>
      <c r="I987" t="s">
        <v>335</v>
      </c>
      <c r="J987" t="str">
        <f>_xlfn.XLOOKUP(E987, Product_Master!$A$2:$A$101, Product_Master!$C$2:$C$101)</f>
        <v>Accessories</v>
      </c>
      <c r="K987">
        <f>_xlfn.XLOOKUP(E987, Product_Master!$A$2:$A$101, Product_Master!$D$2:$D$101)</f>
        <v>900</v>
      </c>
      <c r="L987">
        <f>_xlfn.XLOOKUP(E987, Product_Master!$A$2:$A$101, Product_Master!$E$2:$E$101)</f>
        <v>1500</v>
      </c>
      <c r="M987">
        <f t="shared" si="76"/>
        <v>1500</v>
      </c>
      <c r="N987">
        <f t="shared" si="77"/>
        <v>900</v>
      </c>
      <c r="O987">
        <f t="shared" si="78"/>
        <v>600</v>
      </c>
      <c r="P987" s="3">
        <f t="shared" si="79"/>
        <v>0.4</v>
      </c>
      <c r="Q987" s="3" t="str">
        <v>High Profit</v>
      </c>
    </row>
    <row r="988" spans="1:17" x14ac:dyDescent="0.3">
      <c r="A988" t="s">
        <v>1435</v>
      </c>
      <c r="B988" s="2">
        <v>45692</v>
      </c>
      <c r="C988" s="2" t="str">
        <f t="shared" si="75"/>
        <v>February</v>
      </c>
      <c r="D988" t="s">
        <v>197</v>
      </c>
      <c r="E988" t="s">
        <v>416</v>
      </c>
      <c r="F988">
        <v>4</v>
      </c>
      <c r="G988" t="s">
        <v>29</v>
      </c>
      <c r="H988" t="s">
        <v>27</v>
      </c>
      <c r="I988" t="s">
        <v>340</v>
      </c>
      <c r="J988" t="str">
        <f>_xlfn.XLOOKUP(E988, Product_Master!$A$2:$A$101, Product_Master!$C$2:$C$101)</f>
        <v>Electronics</v>
      </c>
      <c r="K988">
        <f>_xlfn.XLOOKUP(E988, Product_Master!$A$2:$A$101, Product_Master!$D$2:$D$101)</f>
        <v>42000</v>
      </c>
      <c r="L988">
        <f>_xlfn.XLOOKUP(E988, Product_Master!$A$2:$A$101, Product_Master!$E$2:$E$101)</f>
        <v>50000</v>
      </c>
      <c r="M988">
        <f t="shared" si="76"/>
        <v>200000</v>
      </c>
      <c r="N988">
        <f t="shared" si="77"/>
        <v>168000</v>
      </c>
      <c r="O988">
        <f t="shared" si="78"/>
        <v>32000</v>
      </c>
      <c r="P988" s="3">
        <f t="shared" si="79"/>
        <v>0.16</v>
      </c>
      <c r="Q988" s="3" t="str">
        <v>Low Profit</v>
      </c>
    </row>
    <row r="989" spans="1:17" x14ac:dyDescent="0.3">
      <c r="A989" t="s">
        <v>1436</v>
      </c>
      <c r="B989" s="2">
        <v>45895</v>
      </c>
      <c r="C989" s="2" t="str">
        <f t="shared" si="75"/>
        <v>August</v>
      </c>
      <c r="D989" t="s">
        <v>105</v>
      </c>
      <c r="E989" t="s">
        <v>347</v>
      </c>
      <c r="F989">
        <v>5</v>
      </c>
      <c r="G989" t="s">
        <v>12</v>
      </c>
      <c r="H989" t="s">
        <v>31</v>
      </c>
      <c r="I989" t="s">
        <v>335</v>
      </c>
      <c r="J989" t="str">
        <f>_xlfn.XLOOKUP(E989, Product_Master!$A$2:$A$101, Product_Master!$C$2:$C$101)</f>
        <v>Accessories</v>
      </c>
      <c r="K989">
        <f>_xlfn.XLOOKUP(E989, Product_Master!$A$2:$A$101, Product_Master!$D$2:$D$101)</f>
        <v>900</v>
      </c>
      <c r="L989">
        <f>_xlfn.XLOOKUP(E989, Product_Master!$A$2:$A$101, Product_Master!$E$2:$E$101)</f>
        <v>1500</v>
      </c>
      <c r="M989">
        <f t="shared" si="76"/>
        <v>7500</v>
      </c>
      <c r="N989">
        <f t="shared" si="77"/>
        <v>4500</v>
      </c>
      <c r="O989">
        <f t="shared" si="78"/>
        <v>3000</v>
      </c>
      <c r="P989" s="3">
        <f t="shared" si="79"/>
        <v>0.4</v>
      </c>
      <c r="Q989" s="3" t="str">
        <v>High Profit</v>
      </c>
    </row>
    <row r="990" spans="1:17" x14ac:dyDescent="0.3">
      <c r="A990" t="s">
        <v>1437</v>
      </c>
      <c r="B990" s="2">
        <v>45748</v>
      </c>
      <c r="C990" s="2" t="str">
        <f t="shared" si="75"/>
        <v>April</v>
      </c>
      <c r="D990" t="s">
        <v>223</v>
      </c>
      <c r="E990" t="s">
        <v>423</v>
      </c>
      <c r="F990">
        <v>1</v>
      </c>
      <c r="G990" t="s">
        <v>37</v>
      </c>
      <c r="H990" t="s">
        <v>8</v>
      </c>
      <c r="I990" t="s">
        <v>335</v>
      </c>
      <c r="J990" t="str">
        <f>_xlfn.XLOOKUP(E990, Product_Master!$A$2:$A$101, Product_Master!$C$2:$C$101)</f>
        <v>Accessories</v>
      </c>
      <c r="K990">
        <f>_xlfn.XLOOKUP(E990, Product_Master!$A$2:$A$101, Product_Master!$D$2:$D$101)</f>
        <v>900</v>
      </c>
      <c r="L990">
        <f>_xlfn.XLOOKUP(E990, Product_Master!$A$2:$A$101, Product_Master!$E$2:$E$101)</f>
        <v>1500</v>
      </c>
      <c r="M990">
        <f t="shared" si="76"/>
        <v>1500</v>
      </c>
      <c r="N990">
        <f t="shared" si="77"/>
        <v>900</v>
      </c>
      <c r="O990">
        <f t="shared" si="78"/>
        <v>600</v>
      </c>
      <c r="P990" s="3">
        <f t="shared" si="79"/>
        <v>0.4</v>
      </c>
      <c r="Q990" s="3" t="str">
        <v>High Profit</v>
      </c>
    </row>
    <row r="991" spans="1:17" x14ac:dyDescent="0.3">
      <c r="A991" t="s">
        <v>1438</v>
      </c>
      <c r="B991" s="2">
        <v>45706</v>
      </c>
      <c r="C991" s="2" t="str">
        <f t="shared" si="75"/>
        <v>February</v>
      </c>
      <c r="D991" t="s">
        <v>55</v>
      </c>
      <c r="E991" t="s">
        <v>395</v>
      </c>
      <c r="F991">
        <v>3</v>
      </c>
      <c r="G991" t="s">
        <v>37</v>
      </c>
      <c r="H991" t="s">
        <v>8</v>
      </c>
      <c r="I991" t="s">
        <v>340</v>
      </c>
      <c r="J991" t="str">
        <f>_xlfn.XLOOKUP(E991, Product_Master!$A$2:$A$101, Product_Master!$C$2:$C$101)</f>
        <v>Electronics</v>
      </c>
      <c r="K991">
        <f>_xlfn.XLOOKUP(E991, Product_Master!$A$2:$A$101, Product_Master!$D$2:$D$101)</f>
        <v>42000</v>
      </c>
      <c r="L991">
        <f>_xlfn.XLOOKUP(E991, Product_Master!$A$2:$A$101, Product_Master!$E$2:$E$101)</f>
        <v>50000</v>
      </c>
      <c r="M991">
        <f t="shared" si="76"/>
        <v>150000</v>
      </c>
      <c r="N991">
        <f t="shared" si="77"/>
        <v>126000</v>
      </c>
      <c r="O991">
        <f t="shared" si="78"/>
        <v>24000</v>
      </c>
      <c r="P991" s="3">
        <f t="shared" si="79"/>
        <v>0.16</v>
      </c>
      <c r="Q991" s="3" t="str">
        <v>Low Profit</v>
      </c>
    </row>
    <row r="992" spans="1:17" x14ac:dyDescent="0.3">
      <c r="A992" t="s">
        <v>1439</v>
      </c>
      <c r="B992" s="2">
        <v>45967</v>
      </c>
      <c r="C992" s="2" t="str">
        <f t="shared" si="75"/>
        <v>November</v>
      </c>
      <c r="D992" t="s">
        <v>46</v>
      </c>
      <c r="E992" t="s">
        <v>383</v>
      </c>
      <c r="F992">
        <v>3</v>
      </c>
      <c r="G992" t="s">
        <v>47</v>
      </c>
      <c r="H992" t="s">
        <v>5</v>
      </c>
      <c r="I992" t="s">
        <v>335</v>
      </c>
      <c r="J992" t="str">
        <f>_xlfn.XLOOKUP(E992, Product_Master!$A$2:$A$101, Product_Master!$C$2:$C$101)</f>
        <v>Accessories</v>
      </c>
      <c r="K992">
        <f>_xlfn.XLOOKUP(E992, Product_Master!$A$2:$A$101, Product_Master!$D$2:$D$101)</f>
        <v>900</v>
      </c>
      <c r="L992">
        <f>_xlfn.XLOOKUP(E992, Product_Master!$A$2:$A$101, Product_Master!$E$2:$E$101)</f>
        <v>1500</v>
      </c>
      <c r="M992">
        <f t="shared" si="76"/>
        <v>4500</v>
      </c>
      <c r="N992">
        <f t="shared" si="77"/>
        <v>2700</v>
      </c>
      <c r="O992">
        <f t="shared" si="78"/>
        <v>1800</v>
      </c>
      <c r="P992" s="3">
        <f t="shared" si="79"/>
        <v>0.4</v>
      </c>
      <c r="Q992" s="3" t="str">
        <v>High Profit</v>
      </c>
    </row>
    <row r="993" spans="1:17" x14ac:dyDescent="0.3">
      <c r="A993" t="s">
        <v>1440</v>
      </c>
      <c r="B993" s="2">
        <v>45897</v>
      </c>
      <c r="C993" s="2" t="str">
        <f t="shared" si="75"/>
        <v>August</v>
      </c>
      <c r="D993" t="s">
        <v>469</v>
      </c>
      <c r="E993" t="s">
        <v>338</v>
      </c>
      <c r="F993">
        <v>2</v>
      </c>
      <c r="G993" t="s">
        <v>1454</v>
      </c>
      <c r="H993" t="s">
        <v>1455</v>
      </c>
      <c r="I993" t="s">
        <v>332</v>
      </c>
      <c r="J993" t="str">
        <f>_xlfn.XLOOKUP(E993, Product_Master!$A$2:$A$101, Product_Master!$C$2:$C$101)</f>
        <v>Accessories</v>
      </c>
      <c r="K993">
        <f>_xlfn.XLOOKUP(E993, Product_Master!$A$2:$A$101, Product_Master!$D$2:$D$101)</f>
        <v>500</v>
      </c>
      <c r="L993">
        <f>_xlfn.XLOOKUP(E993, Product_Master!$A$2:$A$101, Product_Master!$E$2:$E$101)</f>
        <v>800</v>
      </c>
      <c r="M993">
        <f t="shared" si="76"/>
        <v>1600</v>
      </c>
      <c r="N993">
        <f t="shared" si="77"/>
        <v>1000</v>
      </c>
      <c r="O993">
        <f t="shared" si="78"/>
        <v>600</v>
      </c>
      <c r="P993" s="3">
        <f t="shared" si="79"/>
        <v>0.375</v>
      </c>
      <c r="Q993" s="3" t="str">
        <v>High Profit</v>
      </c>
    </row>
    <row r="994" spans="1:17" x14ac:dyDescent="0.3">
      <c r="A994" t="s">
        <v>1441</v>
      </c>
      <c r="B994" s="2">
        <v>45908</v>
      </c>
      <c r="C994" s="2" t="str">
        <f t="shared" si="75"/>
        <v>September</v>
      </c>
      <c r="D994" t="s">
        <v>135</v>
      </c>
      <c r="E994" t="s">
        <v>418</v>
      </c>
      <c r="F994">
        <v>1</v>
      </c>
      <c r="G994" t="s">
        <v>10</v>
      </c>
      <c r="H994" t="s">
        <v>17</v>
      </c>
      <c r="I994" t="s">
        <v>329</v>
      </c>
      <c r="J994" t="str">
        <f>_xlfn.XLOOKUP(E994, Product_Master!$A$2:$A$101, Product_Master!$C$2:$C$101)</f>
        <v>Electronics</v>
      </c>
      <c r="K994">
        <f>_xlfn.XLOOKUP(E994, Product_Master!$A$2:$A$101, Product_Master!$D$2:$D$101)</f>
        <v>20000</v>
      </c>
      <c r="L994">
        <f>_xlfn.XLOOKUP(E994, Product_Master!$A$2:$A$101, Product_Master!$E$2:$E$101)</f>
        <v>25000</v>
      </c>
      <c r="M994">
        <f t="shared" si="76"/>
        <v>25000</v>
      </c>
      <c r="N994">
        <f t="shared" si="77"/>
        <v>20000</v>
      </c>
      <c r="O994">
        <f t="shared" si="78"/>
        <v>5000</v>
      </c>
      <c r="P994" s="3">
        <f t="shared" si="79"/>
        <v>0.2</v>
      </c>
      <c r="Q994" s="3" t="str">
        <v>Low Profit</v>
      </c>
    </row>
    <row r="995" spans="1:17" x14ac:dyDescent="0.3">
      <c r="A995" t="s">
        <v>1442</v>
      </c>
      <c r="B995" s="2">
        <v>45799</v>
      </c>
      <c r="C995" s="2" t="str">
        <f t="shared" si="75"/>
        <v>May</v>
      </c>
      <c r="D995" t="s">
        <v>322</v>
      </c>
      <c r="E995" t="s">
        <v>427</v>
      </c>
      <c r="F995">
        <v>4</v>
      </c>
      <c r="G995" t="s">
        <v>29</v>
      </c>
      <c r="H995" t="s">
        <v>17</v>
      </c>
      <c r="I995" t="s">
        <v>329</v>
      </c>
      <c r="J995" t="str">
        <f>_xlfn.XLOOKUP(E995, Product_Master!$A$2:$A$101, Product_Master!$C$2:$C$101)</f>
        <v>Electronics</v>
      </c>
      <c r="K995">
        <f>_xlfn.XLOOKUP(E995, Product_Master!$A$2:$A$101, Product_Master!$D$2:$D$101)</f>
        <v>20000</v>
      </c>
      <c r="L995">
        <f>_xlfn.XLOOKUP(E995, Product_Master!$A$2:$A$101, Product_Master!$E$2:$E$101)</f>
        <v>25000</v>
      </c>
      <c r="M995">
        <f t="shared" si="76"/>
        <v>100000</v>
      </c>
      <c r="N995">
        <f t="shared" si="77"/>
        <v>80000</v>
      </c>
      <c r="O995">
        <f t="shared" si="78"/>
        <v>20000</v>
      </c>
      <c r="P995" s="3">
        <f t="shared" si="79"/>
        <v>0.2</v>
      </c>
      <c r="Q995" s="3" t="str">
        <v>Low Profit</v>
      </c>
    </row>
    <row r="996" spans="1:17" x14ac:dyDescent="0.3">
      <c r="A996" t="s">
        <v>1443</v>
      </c>
      <c r="B996" s="2">
        <v>45934</v>
      </c>
      <c r="C996" s="2" t="str">
        <f t="shared" si="75"/>
        <v>October</v>
      </c>
      <c r="D996" t="s">
        <v>167</v>
      </c>
      <c r="E996" t="s">
        <v>441</v>
      </c>
      <c r="F996">
        <v>3</v>
      </c>
      <c r="G996" t="s">
        <v>37</v>
      </c>
      <c r="H996" t="s">
        <v>17</v>
      </c>
      <c r="I996" t="s">
        <v>346</v>
      </c>
      <c r="J996" t="str">
        <f>_xlfn.XLOOKUP(E996, Product_Master!$A$2:$A$101, Product_Master!$C$2:$C$101)</f>
        <v>Accessories</v>
      </c>
      <c r="K996">
        <f>_xlfn.XLOOKUP(E996, Product_Master!$A$2:$A$101, Product_Master!$D$2:$D$101)</f>
        <v>9000</v>
      </c>
      <c r="L996">
        <f>_xlfn.XLOOKUP(E996, Product_Master!$A$2:$A$101, Product_Master!$E$2:$E$101)</f>
        <v>12000</v>
      </c>
      <c r="M996">
        <f t="shared" si="76"/>
        <v>36000</v>
      </c>
      <c r="N996">
        <f t="shared" si="77"/>
        <v>27000</v>
      </c>
      <c r="O996">
        <f t="shared" si="78"/>
        <v>9000</v>
      </c>
      <c r="P996" s="3">
        <f t="shared" si="79"/>
        <v>0.25</v>
      </c>
      <c r="Q996" s="3" t="str">
        <v>High Profit</v>
      </c>
    </row>
    <row r="997" spans="1:17" x14ac:dyDescent="0.3">
      <c r="A997" t="s">
        <v>1444</v>
      </c>
      <c r="B997" s="2">
        <v>46019</v>
      </c>
      <c r="C997" s="2" t="str">
        <f t="shared" si="75"/>
        <v>December</v>
      </c>
      <c r="D997" t="s">
        <v>165</v>
      </c>
      <c r="E997" t="s">
        <v>352</v>
      </c>
      <c r="F997">
        <v>4</v>
      </c>
      <c r="G997" t="s">
        <v>22</v>
      </c>
      <c r="H997" t="s">
        <v>17</v>
      </c>
      <c r="I997" t="s">
        <v>353</v>
      </c>
      <c r="J997" t="str">
        <f>_xlfn.XLOOKUP(E997, Product_Master!$A$2:$A$101, Product_Master!$C$2:$C$101)</f>
        <v>Electronics</v>
      </c>
      <c r="K997">
        <f>_xlfn.XLOOKUP(E997, Product_Master!$A$2:$A$101, Product_Master!$D$2:$D$101)</f>
        <v>12000</v>
      </c>
      <c r="L997">
        <f>_xlfn.XLOOKUP(E997, Product_Master!$A$2:$A$101, Product_Master!$E$2:$E$101)</f>
        <v>15000</v>
      </c>
      <c r="M997">
        <f t="shared" si="76"/>
        <v>60000</v>
      </c>
      <c r="N997">
        <f t="shared" si="77"/>
        <v>48000</v>
      </c>
      <c r="O997">
        <f t="shared" si="78"/>
        <v>12000</v>
      </c>
      <c r="P997" s="3">
        <f t="shared" si="79"/>
        <v>0.2</v>
      </c>
      <c r="Q997" s="3" t="str">
        <v>Low Profit</v>
      </c>
    </row>
    <row r="998" spans="1:17" x14ac:dyDescent="0.3">
      <c r="A998" t="s">
        <v>1445</v>
      </c>
      <c r="B998" s="2">
        <v>45975</v>
      </c>
      <c r="C998" s="2" t="str">
        <f t="shared" si="75"/>
        <v>November</v>
      </c>
      <c r="D998" t="s">
        <v>292</v>
      </c>
      <c r="E998" t="s">
        <v>432</v>
      </c>
      <c r="F998">
        <v>5</v>
      </c>
      <c r="G998" t="s">
        <v>45</v>
      </c>
      <c r="H998" t="s">
        <v>8</v>
      </c>
      <c r="I998" t="s">
        <v>344</v>
      </c>
      <c r="J998" t="str">
        <f>_xlfn.XLOOKUP(E998, Product_Master!$A$2:$A$101, Product_Master!$C$2:$C$101)</f>
        <v>Accessories</v>
      </c>
      <c r="K998">
        <f>_xlfn.XLOOKUP(E998, Product_Master!$A$2:$A$101, Product_Master!$D$2:$D$101)</f>
        <v>2000</v>
      </c>
      <c r="L998">
        <f>_xlfn.XLOOKUP(E998, Product_Master!$A$2:$A$101, Product_Master!$E$2:$E$101)</f>
        <v>3000</v>
      </c>
      <c r="M998">
        <f t="shared" si="76"/>
        <v>15000</v>
      </c>
      <c r="N998">
        <f t="shared" si="77"/>
        <v>10000</v>
      </c>
      <c r="O998">
        <f t="shared" si="78"/>
        <v>5000</v>
      </c>
      <c r="P998" s="3">
        <f t="shared" si="79"/>
        <v>0.33333333333333331</v>
      </c>
      <c r="Q998" s="3" t="str">
        <v>High Profit</v>
      </c>
    </row>
    <row r="999" spans="1:17" x14ac:dyDescent="0.3">
      <c r="A999" t="s">
        <v>1446</v>
      </c>
      <c r="B999" s="2">
        <v>45759</v>
      </c>
      <c r="C999" s="2" t="str">
        <f t="shared" si="75"/>
        <v>April</v>
      </c>
      <c r="D999" t="s">
        <v>3</v>
      </c>
      <c r="E999" t="s">
        <v>369</v>
      </c>
      <c r="F999">
        <v>5</v>
      </c>
      <c r="G999" t="s">
        <v>4</v>
      </c>
      <c r="H999" t="s">
        <v>5</v>
      </c>
      <c r="I999" t="s">
        <v>329</v>
      </c>
      <c r="J999" t="str">
        <f>_xlfn.XLOOKUP(E999, Product_Master!$A$2:$A$101, Product_Master!$C$2:$C$101)</f>
        <v>Electronics</v>
      </c>
      <c r="K999">
        <f>_xlfn.XLOOKUP(E999, Product_Master!$A$2:$A$101, Product_Master!$D$2:$D$101)</f>
        <v>20000</v>
      </c>
      <c r="L999">
        <f>_xlfn.XLOOKUP(E999, Product_Master!$A$2:$A$101, Product_Master!$E$2:$E$101)</f>
        <v>25000</v>
      </c>
      <c r="M999">
        <f t="shared" si="76"/>
        <v>125000</v>
      </c>
      <c r="N999">
        <f t="shared" si="77"/>
        <v>100000</v>
      </c>
      <c r="O999">
        <f t="shared" si="78"/>
        <v>25000</v>
      </c>
      <c r="P999" s="3">
        <f t="shared" si="79"/>
        <v>0.2</v>
      </c>
      <c r="Q999" s="3" t="str">
        <v>Low Profit</v>
      </c>
    </row>
    <row r="1000" spans="1:17" x14ac:dyDescent="0.3">
      <c r="A1000" t="s">
        <v>1447</v>
      </c>
      <c r="B1000" s="2">
        <v>45821</v>
      </c>
      <c r="C1000" s="2" t="str">
        <f t="shared" si="75"/>
        <v>June</v>
      </c>
      <c r="D1000" t="s">
        <v>307</v>
      </c>
      <c r="E1000" t="s">
        <v>431</v>
      </c>
      <c r="F1000">
        <v>5</v>
      </c>
      <c r="G1000" t="s">
        <v>22</v>
      </c>
      <c r="H1000" t="s">
        <v>5</v>
      </c>
      <c r="I1000" t="s">
        <v>332</v>
      </c>
      <c r="J1000" t="str">
        <f>_xlfn.XLOOKUP(E1000, Product_Master!$A$2:$A$101, Product_Master!$C$2:$C$101)</f>
        <v>Accessories</v>
      </c>
      <c r="K1000">
        <f>_xlfn.XLOOKUP(E1000, Product_Master!$A$2:$A$101, Product_Master!$D$2:$D$101)</f>
        <v>500</v>
      </c>
      <c r="L1000">
        <f>_xlfn.XLOOKUP(E1000, Product_Master!$A$2:$A$101, Product_Master!$E$2:$E$101)</f>
        <v>800</v>
      </c>
      <c r="M1000">
        <f t="shared" si="76"/>
        <v>4000</v>
      </c>
      <c r="N1000">
        <f t="shared" si="77"/>
        <v>2500</v>
      </c>
      <c r="O1000">
        <f t="shared" si="78"/>
        <v>1500</v>
      </c>
      <c r="P1000" s="3">
        <f t="shared" si="79"/>
        <v>0.375</v>
      </c>
      <c r="Q1000" s="3" t="str">
        <v>High Profit</v>
      </c>
    </row>
    <row r="1001" spans="1:17" x14ac:dyDescent="0.3">
      <c r="A1001" t="s">
        <v>1448</v>
      </c>
      <c r="B1001" s="2">
        <v>45860</v>
      </c>
      <c r="C1001" s="2" t="str">
        <f t="shared" si="75"/>
        <v>July</v>
      </c>
      <c r="D1001" t="s">
        <v>253</v>
      </c>
      <c r="E1001" t="s">
        <v>380</v>
      </c>
      <c r="F1001">
        <v>2</v>
      </c>
      <c r="G1001" t="s">
        <v>29</v>
      </c>
      <c r="H1001" t="s">
        <v>20</v>
      </c>
      <c r="I1001" t="s">
        <v>340</v>
      </c>
      <c r="J1001" t="str">
        <f>_xlfn.XLOOKUP(E1001, Product_Master!$A$2:$A$101, Product_Master!$C$2:$C$101)</f>
        <v>Electronics</v>
      </c>
      <c r="K1001">
        <f>_xlfn.XLOOKUP(E1001, Product_Master!$A$2:$A$101, Product_Master!$D$2:$D$101)</f>
        <v>42000</v>
      </c>
      <c r="L1001">
        <f>_xlfn.XLOOKUP(E1001, Product_Master!$A$2:$A$101, Product_Master!$E$2:$E$101)</f>
        <v>50000</v>
      </c>
      <c r="M1001">
        <f t="shared" si="76"/>
        <v>100000</v>
      </c>
      <c r="N1001">
        <f t="shared" si="77"/>
        <v>84000</v>
      </c>
      <c r="O1001">
        <f t="shared" si="78"/>
        <v>16000</v>
      </c>
      <c r="P1001" s="3">
        <f t="shared" si="79"/>
        <v>0.16</v>
      </c>
      <c r="Q1001" s="3" t="str">
        <v>Low Profit</v>
      </c>
    </row>
    <row r="1002" spans="1:17" x14ac:dyDescent="0.3">
      <c r="Q1002" s="3"/>
    </row>
    <row r="1003" spans="1:17" x14ac:dyDescent="0.3">
      <c r="Q1003" s="3"/>
    </row>
    <row r="1004" spans="1:17" x14ac:dyDescent="0.3">
      <c r="Q1004" s="3"/>
    </row>
    <row r="1005" spans="1:17" x14ac:dyDescent="0.3">
      <c r="Q1005" s="3"/>
    </row>
    <row r="1006" spans="1:17" x14ac:dyDescent="0.3">
      <c r="Q1006" s="3"/>
    </row>
    <row r="1007" spans="1:17" x14ac:dyDescent="0.3">
      <c r="Q1007" s="3"/>
    </row>
    <row r="1008" spans="1:17" x14ac:dyDescent="0.3">
      <c r="Q1008" s="3"/>
    </row>
    <row r="1009" spans="17:17" x14ac:dyDescent="0.3">
      <c r="Q1009" s="3"/>
    </row>
    <row r="1010" spans="17:17" x14ac:dyDescent="0.3">
      <c r="Q1010" s="3"/>
    </row>
    <row r="1011" spans="17:17" x14ac:dyDescent="0.3">
      <c r="Q1011" s="3"/>
    </row>
    <row r="1012" spans="17:17" x14ac:dyDescent="0.3">
      <c r="Q1012" s="3"/>
    </row>
    <row r="1013" spans="17:17" x14ac:dyDescent="0.3">
      <c r="Q1013" s="3"/>
    </row>
    <row r="1014" spans="17:17" x14ac:dyDescent="0.3">
      <c r="Q1014" s="3"/>
    </row>
    <row r="1015" spans="17:17" x14ac:dyDescent="0.3">
      <c r="Q1015" s="3"/>
    </row>
    <row r="1016" spans="17:17" x14ac:dyDescent="0.3">
      <c r="Q1016" s="3"/>
    </row>
    <row r="1017" spans="17:17" x14ac:dyDescent="0.3">
      <c r="Q1017" s="3"/>
    </row>
    <row r="1018" spans="17:17" x14ac:dyDescent="0.3">
      <c r="Q1018" s="3"/>
    </row>
    <row r="1019" spans="17:17" x14ac:dyDescent="0.3">
      <c r="Q1019" s="3"/>
    </row>
    <row r="1020" spans="17:17" x14ac:dyDescent="0.3">
      <c r="Q1020" s="3"/>
    </row>
    <row r="1021" spans="17:17" x14ac:dyDescent="0.3">
      <c r="Q1021" s="3"/>
    </row>
    <row r="1022" spans="17:17" x14ac:dyDescent="0.3">
      <c r="Q1022" s="3"/>
    </row>
    <row r="1023" spans="17:17" x14ac:dyDescent="0.3">
      <c r="Q1023" s="3"/>
    </row>
    <row r="1024" spans="17:17" x14ac:dyDescent="0.3">
      <c r="Q1024" s="3"/>
    </row>
    <row r="1025" spans="17:17" x14ac:dyDescent="0.3">
      <c r="Q1025" s="3"/>
    </row>
    <row r="1026" spans="17:17" x14ac:dyDescent="0.3">
      <c r="Q1026" s="3"/>
    </row>
    <row r="1027" spans="17:17" x14ac:dyDescent="0.3">
      <c r="Q1027" s="3"/>
    </row>
    <row r="1028" spans="17:17" x14ac:dyDescent="0.3">
      <c r="Q1028" s="3"/>
    </row>
    <row r="1029" spans="17:17" x14ac:dyDescent="0.3">
      <c r="Q1029" s="3"/>
    </row>
    <row r="1030" spans="17:17" x14ac:dyDescent="0.3">
      <c r="Q1030" s="3"/>
    </row>
    <row r="1031" spans="17:17" x14ac:dyDescent="0.3">
      <c r="Q1031" s="3"/>
    </row>
    <row r="1032" spans="17:17" x14ac:dyDescent="0.3">
      <c r="Q1032" s="3"/>
    </row>
    <row r="1033" spans="17:17" x14ac:dyDescent="0.3">
      <c r="Q1033" s="3"/>
    </row>
    <row r="1034" spans="17:17" x14ac:dyDescent="0.3">
      <c r="Q1034" s="3"/>
    </row>
    <row r="1035" spans="17:17" x14ac:dyDescent="0.3">
      <c r="Q1035" s="3"/>
    </row>
    <row r="1036" spans="17:17" x14ac:dyDescent="0.3">
      <c r="Q1036" s="3"/>
    </row>
    <row r="1037" spans="17:17" x14ac:dyDescent="0.3">
      <c r="Q1037" s="3"/>
    </row>
    <row r="1038" spans="17:17" x14ac:dyDescent="0.3">
      <c r="Q1038" s="3"/>
    </row>
    <row r="1039" spans="17:17" x14ac:dyDescent="0.3">
      <c r="Q1039" s="3"/>
    </row>
    <row r="1040" spans="17:17" x14ac:dyDescent="0.3">
      <c r="Q1040" s="3"/>
    </row>
    <row r="1041" spans="17:17" x14ac:dyDescent="0.3">
      <c r="Q1041" s="3"/>
    </row>
    <row r="1042" spans="17:17" x14ac:dyDescent="0.3">
      <c r="Q1042" s="3"/>
    </row>
    <row r="1043" spans="17:17" x14ac:dyDescent="0.3">
      <c r="Q1043" s="3"/>
    </row>
    <row r="1044" spans="17:17" x14ac:dyDescent="0.3">
      <c r="Q1044" s="3"/>
    </row>
    <row r="1045" spans="17:17" x14ac:dyDescent="0.3">
      <c r="Q1045" s="3"/>
    </row>
    <row r="1046" spans="17:17" x14ac:dyDescent="0.3">
      <c r="Q1046" s="3"/>
    </row>
    <row r="1047" spans="17:17" x14ac:dyDescent="0.3">
      <c r="Q1047" s="3"/>
    </row>
    <row r="1048" spans="17:17" x14ac:dyDescent="0.3">
      <c r="Q1048" s="3"/>
    </row>
    <row r="1049" spans="17:17" x14ac:dyDescent="0.3">
      <c r="Q1049" s="3"/>
    </row>
    <row r="1050" spans="17:17" x14ac:dyDescent="0.3">
      <c r="Q1050" s="3"/>
    </row>
    <row r="1051" spans="17:17" x14ac:dyDescent="0.3">
      <c r="Q1051" s="3"/>
    </row>
    <row r="1052" spans="17:17" x14ac:dyDescent="0.3">
      <c r="Q1052" s="3"/>
    </row>
    <row r="1053" spans="17:17" x14ac:dyDescent="0.3">
      <c r="Q1053" s="3"/>
    </row>
    <row r="1054" spans="17:17" x14ac:dyDescent="0.3">
      <c r="Q1054" s="3"/>
    </row>
    <row r="1055" spans="17:17" x14ac:dyDescent="0.3">
      <c r="Q1055" s="3"/>
    </row>
    <row r="1056" spans="17:17" x14ac:dyDescent="0.3">
      <c r="Q1056" s="3"/>
    </row>
    <row r="1057" spans="17:17" x14ac:dyDescent="0.3">
      <c r="Q1057" s="3"/>
    </row>
    <row r="1058" spans="17:17" x14ac:dyDescent="0.3">
      <c r="Q1058" s="3"/>
    </row>
    <row r="1059" spans="17:17" x14ac:dyDescent="0.3">
      <c r="Q1059" s="3"/>
    </row>
    <row r="1060" spans="17:17" x14ac:dyDescent="0.3">
      <c r="Q1060" s="3"/>
    </row>
    <row r="1061" spans="17:17" x14ac:dyDescent="0.3">
      <c r="Q1061" s="3"/>
    </row>
    <row r="1062" spans="17:17" x14ac:dyDescent="0.3">
      <c r="Q1062" s="3"/>
    </row>
    <row r="1063" spans="17:17" x14ac:dyDescent="0.3">
      <c r="Q1063" s="3"/>
    </row>
    <row r="1064" spans="17:17" x14ac:dyDescent="0.3">
      <c r="Q1064" s="3"/>
    </row>
    <row r="1065" spans="17:17" x14ac:dyDescent="0.3">
      <c r="Q1065" s="3"/>
    </row>
    <row r="1066" spans="17:17" x14ac:dyDescent="0.3">
      <c r="Q1066" s="3"/>
    </row>
    <row r="1067" spans="17:17" x14ac:dyDescent="0.3">
      <c r="Q1067" s="3"/>
    </row>
    <row r="1068" spans="17:17" x14ac:dyDescent="0.3">
      <c r="Q1068" s="3"/>
    </row>
    <row r="1069" spans="17:17" x14ac:dyDescent="0.3">
      <c r="Q1069" s="3"/>
    </row>
    <row r="1070" spans="17:17" x14ac:dyDescent="0.3">
      <c r="Q1070" s="3"/>
    </row>
    <row r="1071" spans="17:17" x14ac:dyDescent="0.3">
      <c r="Q1071" s="3"/>
    </row>
    <row r="1072" spans="17:17" x14ac:dyDescent="0.3">
      <c r="Q1072" s="3"/>
    </row>
    <row r="1073" spans="17:17" x14ac:dyDescent="0.3">
      <c r="Q1073" s="3"/>
    </row>
    <row r="1074" spans="17:17" x14ac:dyDescent="0.3">
      <c r="Q1074" s="3"/>
    </row>
    <row r="1075" spans="17:17" x14ac:dyDescent="0.3">
      <c r="Q1075" s="3"/>
    </row>
    <row r="1076" spans="17:17" x14ac:dyDescent="0.3">
      <c r="Q1076" s="3"/>
    </row>
    <row r="1077" spans="17:17" x14ac:dyDescent="0.3">
      <c r="Q1077" s="3"/>
    </row>
    <row r="1078" spans="17:17" x14ac:dyDescent="0.3">
      <c r="Q1078" s="3"/>
    </row>
    <row r="1079" spans="17:17" x14ac:dyDescent="0.3">
      <c r="Q1079" s="3"/>
    </row>
    <row r="1080" spans="17:17" x14ac:dyDescent="0.3">
      <c r="Q1080" s="3"/>
    </row>
    <row r="1081" spans="17:17" x14ac:dyDescent="0.3">
      <c r="Q1081" s="3"/>
    </row>
    <row r="1082" spans="17:17" x14ac:dyDescent="0.3">
      <c r="Q1082" s="3"/>
    </row>
    <row r="1083" spans="17:17" x14ac:dyDescent="0.3">
      <c r="Q1083" s="3"/>
    </row>
    <row r="1084" spans="17:17" x14ac:dyDescent="0.3">
      <c r="Q1084" s="3"/>
    </row>
    <row r="1085" spans="17:17" x14ac:dyDescent="0.3">
      <c r="Q1085" s="3"/>
    </row>
    <row r="1086" spans="17:17" x14ac:dyDescent="0.3">
      <c r="Q1086" s="3"/>
    </row>
    <row r="1087" spans="17:17" x14ac:dyDescent="0.3">
      <c r="Q1087" s="3"/>
    </row>
    <row r="1088" spans="17:17" x14ac:dyDescent="0.3">
      <c r="Q1088" s="3"/>
    </row>
    <row r="1089" spans="17:17" x14ac:dyDescent="0.3">
      <c r="Q1089" s="3"/>
    </row>
    <row r="1090" spans="17:17" x14ac:dyDescent="0.3">
      <c r="Q1090" s="3"/>
    </row>
    <row r="1091" spans="17:17" x14ac:dyDescent="0.3">
      <c r="Q1091" s="3"/>
    </row>
    <row r="1092" spans="17:17" x14ac:dyDescent="0.3">
      <c r="Q1092" s="3"/>
    </row>
    <row r="1093" spans="17:17" x14ac:dyDescent="0.3">
      <c r="Q1093" s="3"/>
    </row>
    <row r="1094" spans="17:17" x14ac:dyDescent="0.3">
      <c r="Q1094" s="3"/>
    </row>
    <row r="1095" spans="17:17" x14ac:dyDescent="0.3">
      <c r="Q1095" s="3"/>
    </row>
    <row r="1096" spans="17:17" x14ac:dyDescent="0.3">
      <c r="Q1096" s="3"/>
    </row>
    <row r="1097" spans="17:17" x14ac:dyDescent="0.3">
      <c r="Q1097" s="3"/>
    </row>
    <row r="1098" spans="17:17" x14ac:dyDescent="0.3">
      <c r="Q1098" s="3"/>
    </row>
    <row r="1099" spans="17:17" x14ac:dyDescent="0.3">
      <c r="Q1099" s="3"/>
    </row>
    <row r="1100" spans="17:17" x14ac:dyDescent="0.3">
      <c r="Q1100" s="3"/>
    </row>
    <row r="1101" spans="17:17" x14ac:dyDescent="0.3">
      <c r="Q1101" s="3"/>
    </row>
    <row r="1102" spans="17:17" x14ac:dyDescent="0.3">
      <c r="Q1102" s="3"/>
    </row>
    <row r="1103" spans="17:17" x14ac:dyDescent="0.3">
      <c r="Q1103" s="3"/>
    </row>
    <row r="1104" spans="17:17" x14ac:dyDescent="0.3">
      <c r="Q1104" s="3"/>
    </row>
    <row r="1105" spans="17:17" x14ac:dyDescent="0.3">
      <c r="Q1105" s="3"/>
    </row>
    <row r="1106" spans="17:17" x14ac:dyDescent="0.3">
      <c r="Q1106" s="3"/>
    </row>
    <row r="1107" spans="17:17" x14ac:dyDescent="0.3">
      <c r="Q1107" s="3"/>
    </row>
    <row r="1108" spans="17:17" x14ac:dyDescent="0.3">
      <c r="Q1108" s="3"/>
    </row>
    <row r="1109" spans="17:17" x14ac:dyDescent="0.3">
      <c r="Q1109" s="3"/>
    </row>
    <row r="1110" spans="17:17" x14ac:dyDescent="0.3">
      <c r="Q1110" s="3"/>
    </row>
    <row r="1111" spans="17:17" x14ac:dyDescent="0.3">
      <c r="Q1111" s="3"/>
    </row>
    <row r="1112" spans="17:17" x14ac:dyDescent="0.3">
      <c r="Q1112" s="3"/>
    </row>
    <row r="1113" spans="17:17" x14ac:dyDescent="0.3">
      <c r="Q1113" s="3"/>
    </row>
    <row r="1114" spans="17:17" x14ac:dyDescent="0.3">
      <c r="Q1114" s="3"/>
    </row>
    <row r="1115" spans="17:17" x14ac:dyDescent="0.3">
      <c r="Q1115" s="3"/>
    </row>
    <row r="1116" spans="17:17" x14ac:dyDescent="0.3">
      <c r="Q1116" s="3"/>
    </row>
    <row r="1117" spans="17:17" x14ac:dyDescent="0.3">
      <c r="Q1117" s="3"/>
    </row>
    <row r="1118" spans="17:17" x14ac:dyDescent="0.3">
      <c r="Q1118" s="3"/>
    </row>
    <row r="1119" spans="17:17" x14ac:dyDescent="0.3">
      <c r="Q1119" s="3"/>
    </row>
    <row r="1120" spans="17:17" x14ac:dyDescent="0.3">
      <c r="Q1120" s="3"/>
    </row>
    <row r="1121" spans="17:17" x14ac:dyDescent="0.3">
      <c r="Q1121" s="3"/>
    </row>
    <row r="1122" spans="17:17" x14ac:dyDescent="0.3">
      <c r="Q1122" s="3"/>
    </row>
    <row r="1123" spans="17:17" x14ac:dyDescent="0.3">
      <c r="Q1123" s="3"/>
    </row>
    <row r="1124" spans="17:17" x14ac:dyDescent="0.3">
      <c r="Q1124" s="3"/>
    </row>
    <row r="1125" spans="17:17" x14ac:dyDescent="0.3">
      <c r="Q1125" s="3"/>
    </row>
    <row r="1126" spans="17:17" x14ac:dyDescent="0.3">
      <c r="Q1126" s="3"/>
    </row>
    <row r="1127" spans="17:17" x14ac:dyDescent="0.3">
      <c r="Q1127" s="3"/>
    </row>
    <row r="1128" spans="17:17" x14ac:dyDescent="0.3">
      <c r="Q1128" s="3"/>
    </row>
    <row r="1129" spans="17:17" x14ac:dyDescent="0.3">
      <c r="Q1129" s="3"/>
    </row>
    <row r="1130" spans="17:17" x14ac:dyDescent="0.3">
      <c r="Q1130" s="3"/>
    </row>
    <row r="1131" spans="17:17" x14ac:dyDescent="0.3">
      <c r="Q1131" s="3"/>
    </row>
    <row r="1132" spans="17:17" x14ac:dyDescent="0.3">
      <c r="Q1132" s="3"/>
    </row>
    <row r="1133" spans="17:17" x14ac:dyDescent="0.3">
      <c r="Q1133" s="3"/>
    </row>
    <row r="1134" spans="17:17" x14ac:dyDescent="0.3">
      <c r="Q1134" s="3"/>
    </row>
    <row r="1135" spans="17:17" x14ac:dyDescent="0.3">
      <c r="Q1135" s="3"/>
    </row>
    <row r="1136" spans="17:17" x14ac:dyDescent="0.3">
      <c r="Q1136" s="3"/>
    </row>
    <row r="1137" spans="17:17" x14ac:dyDescent="0.3">
      <c r="Q1137" s="3"/>
    </row>
    <row r="1138" spans="17:17" x14ac:dyDescent="0.3">
      <c r="Q1138" s="3"/>
    </row>
    <row r="1139" spans="17:17" x14ac:dyDescent="0.3">
      <c r="Q1139" s="3"/>
    </row>
    <row r="1140" spans="17:17" x14ac:dyDescent="0.3">
      <c r="Q1140" s="3"/>
    </row>
    <row r="1141" spans="17:17" x14ac:dyDescent="0.3">
      <c r="Q1141" s="3"/>
    </row>
    <row r="1142" spans="17:17" x14ac:dyDescent="0.3">
      <c r="Q1142" s="3"/>
    </row>
    <row r="1143" spans="17:17" x14ac:dyDescent="0.3">
      <c r="Q1143" s="3"/>
    </row>
    <row r="1144" spans="17:17" x14ac:dyDescent="0.3">
      <c r="Q1144" s="3"/>
    </row>
    <row r="1145" spans="17:17" x14ac:dyDescent="0.3">
      <c r="Q1145" s="3"/>
    </row>
    <row r="1146" spans="17:17" x14ac:dyDescent="0.3">
      <c r="Q1146" s="3"/>
    </row>
    <row r="1147" spans="17:17" x14ac:dyDescent="0.3">
      <c r="Q1147" s="3"/>
    </row>
    <row r="1148" spans="17:17" x14ac:dyDescent="0.3">
      <c r="Q1148" s="3"/>
    </row>
    <row r="1149" spans="17:17" x14ac:dyDescent="0.3">
      <c r="Q1149" s="3"/>
    </row>
    <row r="1150" spans="17:17" x14ac:dyDescent="0.3">
      <c r="Q1150" s="3"/>
    </row>
    <row r="1151" spans="17:17" x14ac:dyDescent="0.3">
      <c r="Q1151" s="3"/>
    </row>
    <row r="1152" spans="17:17" x14ac:dyDescent="0.3">
      <c r="Q1152" s="3"/>
    </row>
    <row r="1153" spans="17:17" x14ac:dyDescent="0.3">
      <c r="Q1153" s="3"/>
    </row>
    <row r="1154" spans="17:17" x14ac:dyDescent="0.3">
      <c r="Q1154" s="3"/>
    </row>
    <row r="1155" spans="17:17" x14ac:dyDescent="0.3">
      <c r="Q1155" s="3"/>
    </row>
    <row r="1156" spans="17:17" x14ac:dyDescent="0.3">
      <c r="Q1156" s="3"/>
    </row>
    <row r="1157" spans="17:17" x14ac:dyDescent="0.3">
      <c r="Q1157" s="3"/>
    </row>
    <row r="1158" spans="17:17" x14ac:dyDescent="0.3">
      <c r="Q1158" s="3"/>
    </row>
    <row r="1159" spans="17:17" x14ac:dyDescent="0.3">
      <c r="Q1159" s="3"/>
    </row>
    <row r="1160" spans="17:17" x14ac:dyDescent="0.3">
      <c r="Q1160" s="3"/>
    </row>
    <row r="1161" spans="17:17" x14ac:dyDescent="0.3">
      <c r="Q1161" s="3"/>
    </row>
    <row r="1162" spans="17:17" x14ac:dyDescent="0.3">
      <c r="Q1162" s="3"/>
    </row>
    <row r="1163" spans="17:17" x14ac:dyDescent="0.3">
      <c r="Q1163" s="3"/>
    </row>
    <row r="1164" spans="17:17" x14ac:dyDescent="0.3">
      <c r="Q1164" s="3"/>
    </row>
    <row r="1165" spans="17:17" x14ac:dyDescent="0.3">
      <c r="Q1165" s="3"/>
    </row>
    <row r="1166" spans="17:17" x14ac:dyDescent="0.3">
      <c r="Q1166" s="3"/>
    </row>
    <row r="1167" spans="17:17" x14ac:dyDescent="0.3">
      <c r="Q1167" s="3"/>
    </row>
    <row r="1168" spans="17:17" x14ac:dyDescent="0.3">
      <c r="Q1168" s="3"/>
    </row>
    <row r="1169" spans="17:17" x14ac:dyDescent="0.3">
      <c r="Q1169" s="3"/>
    </row>
    <row r="1170" spans="17:17" x14ac:dyDescent="0.3">
      <c r="Q1170" s="3"/>
    </row>
    <row r="1171" spans="17:17" x14ac:dyDescent="0.3">
      <c r="Q1171" s="3"/>
    </row>
    <row r="1172" spans="17:17" x14ac:dyDescent="0.3">
      <c r="Q1172" s="3"/>
    </row>
    <row r="1173" spans="17:17" x14ac:dyDescent="0.3">
      <c r="Q1173" s="3"/>
    </row>
    <row r="1174" spans="17:17" x14ac:dyDescent="0.3">
      <c r="Q1174" s="3"/>
    </row>
    <row r="1175" spans="17:17" x14ac:dyDescent="0.3">
      <c r="Q1175" s="3"/>
    </row>
    <row r="1176" spans="17:17" x14ac:dyDescent="0.3">
      <c r="Q1176" s="3"/>
    </row>
    <row r="1177" spans="17:17" x14ac:dyDescent="0.3">
      <c r="Q1177" s="3"/>
    </row>
    <row r="1178" spans="17:17" x14ac:dyDescent="0.3">
      <c r="Q1178" s="3"/>
    </row>
    <row r="1179" spans="17:17" x14ac:dyDescent="0.3">
      <c r="Q1179" s="3"/>
    </row>
    <row r="1180" spans="17:17" x14ac:dyDescent="0.3">
      <c r="Q1180" s="3"/>
    </row>
    <row r="1181" spans="17:17" x14ac:dyDescent="0.3">
      <c r="Q1181" s="3"/>
    </row>
    <row r="1182" spans="17:17" x14ac:dyDescent="0.3">
      <c r="Q1182" s="3"/>
    </row>
    <row r="1183" spans="17:17" x14ac:dyDescent="0.3">
      <c r="Q1183" s="3"/>
    </row>
    <row r="1184" spans="17:17" x14ac:dyDescent="0.3">
      <c r="Q1184" s="3"/>
    </row>
    <row r="1185" spans="17:17" x14ac:dyDescent="0.3">
      <c r="Q1185" s="3"/>
    </row>
    <row r="1186" spans="17:17" x14ac:dyDescent="0.3">
      <c r="Q1186" s="3"/>
    </row>
    <row r="1187" spans="17:17" x14ac:dyDescent="0.3">
      <c r="Q1187" s="3"/>
    </row>
    <row r="1188" spans="17:17" x14ac:dyDescent="0.3">
      <c r="Q1188" s="3"/>
    </row>
    <row r="1189" spans="17:17" x14ac:dyDescent="0.3">
      <c r="Q1189" s="3"/>
    </row>
    <row r="1190" spans="17:17" x14ac:dyDescent="0.3">
      <c r="Q1190" s="3"/>
    </row>
    <row r="1191" spans="17:17" x14ac:dyDescent="0.3">
      <c r="Q1191" s="3"/>
    </row>
    <row r="1192" spans="17:17" x14ac:dyDescent="0.3">
      <c r="Q1192" s="3"/>
    </row>
    <row r="1193" spans="17:17" x14ac:dyDescent="0.3">
      <c r="Q1193" s="3"/>
    </row>
    <row r="1194" spans="17:17" x14ac:dyDescent="0.3">
      <c r="Q1194" s="3"/>
    </row>
    <row r="1195" spans="17:17" x14ac:dyDescent="0.3">
      <c r="Q1195" s="3"/>
    </row>
    <row r="1196" spans="17:17" x14ac:dyDescent="0.3">
      <c r="Q1196" s="3"/>
    </row>
    <row r="1197" spans="17:17" x14ac:dyDescent="0.3">
      <c r="Q1197" s="3"/>
    </row>
    <row r="1198" spans="17:17" x14ac:dyDescent="0.3">
      <c r="Q1198" s="3"/>
    </row>
    <row r="1199" spans="17:17" x14ac:dyDescent="0.3">
      <c r="Q1199" s="3"/>
    </row>
    <row r="1200" spans="17:17" x14ac:dyDescent="0.3">
      <c r="Q1200" s="3"/>
    </row>
    <row r="1201" spans="17:17" x14ac:dyDescent="0.3">
      <c r="Q1201" s="3"/>
    </row>
    <row r="1202" spans="17:17" x14ac:dyDescent="0.3">
      <c r="Q1202" s="3"/>
    </row>
    <row r="1203" spans="17:17" x14ac:dyDescent="0.3">
      <c r="Q1203" s="3"/>
    </row>
    <row r="1204" spans="17:17" x14ac:dyDescent="0.3">
      <c r="Q1204" s="3"/>
    </row>
    <row r="1205" spans="17:17" x14ac:dyDescent="0.3">
      <c r="Q1205" s="3"/>
    </row>
    <row r="1206" spans="17:17" x14ac:dyDescent="0.3">
      <c r="Q1206" s="3"/>
    </row>
    <row r="1207" spans="17:17" x14ac:dyDescent="0.3">
      <c r="Q1207" s="3"/>
    </row>
    <row r="1208" spans="17:17" x14ac:dyDescent="0.3">
      <c r="Q1208" s="3"/>
    </row>
    <row r="1209" spans="17:17" x14ac:dyDescent="0.3">
      <c r="Q1209" s="3"/>
    </row>
    <row r="1210" spans="17:17" x14ac:dyDescent="0.3">
      <c r="Q1210" s="3"/>
    </row>
    <row r="1211" spans="17:17" x14ac:dyDescent="0.3">
      <c r="Q1211" s="3"/>
    </row>
    <row r="1212" spans="17:17" x14ac:dyDescent="0.3">
      <c r="Q1212" s="3"/>
    </row>
    <row r="1213" spans="17:17" x14ac:dyDescent="0.3">
      <c r="Q1213" s="3"/>
    </row>
    <row r="1214" spans="17:17" x14ac:dyDescent="0.3">
      <c r="Q1214" s="3"/>
    </row>
    <row r="1215" spans="17:17" x14ac:dyDescent="0.3">
      <c r="Q1215" s="3"/>
    </row>
    <row r="1216" spans="17:17" x14ac:dyDescent="0.3">
      <c r="Q1216" s="3"/>
    </row>
    <row r="1217" spans="17:17" x14ac:dyDescent="0.3">
      <c r="Q1217" s="3"/>
    </row>
    <row r="1218" spans="17:17" x14ac:dyDescent="0.3">
      <c r="Q1218" s="3"/>
    </row>
    <row r="1219" spans="17:17" x14ac:dyDescent="0.3">
      <c r="Q1219" s="3"/>
    </row>
    <row r="1220" spans="17:17" x14ac:dyDescent="0.3">
      <c r="Q1220" s="3"/>
    </row>
    <row r="1221" spans="17:17" x14ac:dyDescent="0.3">
      <c r="Q1221" s="3"/>
    </row>
    <row r="1222" spans="17:17" x14ac:dyDescent="0.3">
      <c r="Q1222" s="3"/>
    </row>
    <row r="1223" spans="17:17" x14ac:dyDescent="0.3">
      <c r="Q1223" s="3"/>
    </row>
    <row r="1224" spans="17:17" x14ac:dyDescent="0.3">
      <c r="Q1224" s="3"/>
    </row>
    <row r="1225" spans="17:17" x14ac:dyDescent="0.3">
      <c r="Q1225" s="3"/>
    </row>
    <row r="1226" spans="17:17" x14ac:dyDescent="0.3">
      <c r="Q1226" s="3"/>
    </row>
    <row r="1227" spans="17:17" x14ac:dyDescent="0.3">
      <c r="Q1227" s="3"/>
    </row>
    <row r="1228" spans="17:17" x14ac:dyDescent="0.3">
      <c r="Q1228" s="3"/>
    </row>
    <row r="1229" spans="17:17" x14ac:dyDescent="0.3">
      <c r="Q1229" s="3"/>
    </row>
    <row r="1230" spans="17:17" x14ac:dyDescent="0.3">
      <c r="Q1230" s="3"/>
    </row>
    <row r="1231" spans="17:17" x14ac:dyDescent="0.3">
      <c r="Q1231" s="3"/>
    </row>
    <row r="1232" spans="17:17" x14ac:dyDescent="0.3">
      <c r="Q1232" s="3"/>
    </row>
    <row r="1233" spans="17:17" x14ac:dyDescent="0.3">
      <c r="Q1233" s="3"/>
    </row>
    <row r="1234" spans="17:17" x14ac:dyDescent="0.3">
      <c r="Q1234" s="3"/>
    </row>
    <row r="1235" spans="17:17" x14ac:dyDescent="0.3">
      <c r="Q1235" s="3"/>
    </row>
    <row r="1236" spans="17:17" x14ac:dyDescent="0.3">
      <c r="Q1236" s="3"/>
    </row>
    <row r="1237" spans="17:17" x14ac:dyDescent="0.3">
      <c r="Q1237" s="3"/>
    </row>
    <row r="1238" spans="17:17" x14ac:dyDescent="0.3">
      <c r="Q1238" s="3"/>
    </row>
    <row r="1239" spans="17:17" x14ac:dyDescent="0.3">
      <c r="Q1239" s="3"/>
    </row>
    <row r="1240" spans="17:17" x14ac:dyDescent="0.3">
      <c r="Q1240" s="3"/>
    </row>
    <row r="1241" spans="17:17" x14ac:dyDescent="0.3">
      <c r="Q1241" s="3"/>
    </row>
    <row r="1242" spans="17:17" x14ac:dyDescent="0.3">
      <c r="Q1242" s="3"/>
    </row>
    <row r="1243" spans="17:17" x14ac:dyDescent="0.3">
      <c r="Q1243" s="3"/>
    </row>
    <row r="1244" spans="17:17" x14ac:dyDescent="0.3">
      <c r="Q1244" s="3"/>
    </row>
    <row r="1245" spans="17:17" x14ac:dyDescent="0.3">
      <c r="Q1245" s="3"/>
    </row>
    <row r="1246" spans="17:17" x14ac:dyDescent="0.3">
      <c r="Q1246" s="3"/>
    </row>
    <row r="1247" spans="17:17" x14ac:dyDescent="0.3">
      <c r="Q1247" s="3"/>
    </row>
    <row r="1248" spans="17:17" x14ac:dyDescent="0.3">
      <c r="Q1248" s="3"/>
    </row>
    <row r="1249" spans="17:17" x14ac:dyDescent="0.3">
      <c r="Q1249" s="3"/>
    </row>
    <row r="1250" spans="17:17" x14ac:dyDescent="0.3">
      <c r="Q1250" s="3"/>
    </row>
    <row r="1251" spans="17:17" x14ac:dyDescent="0.3">
      <c r="Q1251" s="3"/>
    </row>
    <row r="1252" spans="17:17" x14ac:dyDescent="0.3">
      <c r="Q1252" s="3"/>
    </row>
    <row r="1253" spans="17:17" x14ac:dyDescent="0.3">
      <c r="Q1253" s="3"/>
    </row>
    <row r="1254" spans="17:17" x14ac:dyDescent="0.3">
      <c r="Q1254" s="3"/>
    </row>
    <row r="1255" spans="17:17" x14ac:dyDescent="0.3">
      <c r="Q1255" s="3"/>
    </row>
    <row r="1256" spans="17:17" x14ac:dyDescent="0.3">
      <c r="Q1256" s="3"/>
    </row>
    <row r="1257" spans="17:17" x14ac:dyDescent="0.3">
      <c r="Q1257" s="3"/>
    </row>
    <row r="1258" spans="17:17" x14ac:dyDescent="0.3">
      <c r="Q1258" s="3"/>
    </row>
    <row r="1259" spans="17:17" x14ac:dyDescent="0.3">
      <c r="Q1259" s="3"/>
    </row>
    <row r="1260" spans="17:17" x14ac:dyDescent="0.3">
      <c r="Q1260" s="3"/>
    </row>
    <row r="1261" spans="17:17" x14ac:dyDescent="0.3">
      <c r="Q1261" s="3"/>
    </row>
    <row r="1262" spans="17:17" x14ac:dyDescent="0.3">
      <c r="Q1262" s="3"/>
    </row>
    <row r="1263" spans="17:17" x14ac:dyDescent="0.3">
      <c r="Q1263" s="3"/>
    </row>
    <row r="1264" spans="17:17" x14ac:dyDescent="0.3">
      <c r="Q1264" s="3"/>
    </row>
    <row r="1265" spans="17:17" x14ac:dyDescent="0.3">
      <c r="Q1265" s="3"/>
    </row>
    <row r="1266" spans="17:17" x14ac:dyDescent="0.3">
      <c r="Q1266" s="3"/>
    </row>
    <row r="1267" spans="17:17" x14ac:dyDescent="0.3">
      <c r="Q1267" s="3"/>
    </row>
    <row r="1268" spans="17:17" x14ac:dyDescent="0.3">
      <c r="Q1268" s="3"/>
    </row>
    <row r="1269" spans="17:17" x14ac:dyDescent="0.3">
      <c r="Q1269" s="3"/>
    </row>
    <row r="1270" spans="17:17" x14ac:dyDescent="0.3">
      <c r="Q1270" s="3"/>
    </row>
    <row r="1271" spans="17:17" x14ac:dyDescent="0.3">
      <c r="Q1271" s="3"/>
    </row>
    <row r="1272" spans="17:17" x14ac:dyDescent="0.3">
      <c r="Q1272" s="3"/>
    </row>
    <row r="1273" spans="17:17" x14ac:dyDescent="0.3">
      <c r="Q1273" s="3"/>
    </row>
    <row r="1274" spans="17:17" x14ac:dyDescent="0.3">
      <c r="Q1274" s="3"/>
    </row>
    <row r="1275" spans="17:17" x14ac:dyDescent="0.3">
      <c r="Q1275" s="3"/>
    </row>
    <row r="1276" spans="17:17" x14ac:dyDescent="0.3">
      <c r="Q1276" s="3"/>
    </row>
    <row r="1277" spans="17:17" x14ac:dyDescent="0.3">
      <c r="Q1277" s="3"/>
    </row>
    <row r="1278" spans="17:17" x14ac:dyDescent="0.3">
      <c r="Q1278" s="3"/>
    </row>
    <row r="1279" spans="17:17" x14ac:dyDescent="0.3">
      <c r="Q1279" s="3"/>
    </row>
    <row r="1280" spans="17:17" x14ac:dyDescent="0.3">
      <c r="Q1280" s="3"/>
    </row>
    <row r="1281" spans="17:17" x14ac:dyDescent="0.3">
      <c r="Q1281" s="3"/>
    </row>
    <row r="1282" spans="17:17" x14ac:dyDescent="0.3">
      <c r="Q1282" s="3"/>
    </row>
    <row r="1283" spans="17:17" x14ac:dyDescent="0.3">
      <c r="Q1283" s="3"/>
    </row>
    <row r="1284" spans="17:17" x14ac:dyDescent="0.3">
      <c r="Q1284" s="3"/>
    </row>
    <row r="1285" spans="17:17" x14ac:dyDescent="0.3">
      <c r="Q1285" s="3"/>
    </row>
    <row r="1286" spans="17:17" x14ac:dyDescent="0.3">
      <c r="Q1286" s="3"/>
    </row>
    <row r="1287" spans="17:17" x14ac:dyDescent="0.3">
      <c r="Q1287" s="3"/>
    </row>
    <row r="1288" spans="17:17" x14ac:dyDescent="0.3">
      <c r="Q1288" s="3"/>
    </row>
    <row r="1289" spans="17:17" x14ac:dyDescent="0.3">
      <c r="Q1289" s="3"/>
    </row>
    <row r="1290" spans="17:17" x14ac:dyDescent="0.3">
      <c r="Q1290" s="3"/>
    </row>
    <row r="1291" spans="17:17" x14ac:dyDescent="0.3">
      <c r="Q1291" s="3"/>
    </row>
    <row r="1292" spans="17:17" x14ac:dyDescent="0.3">
      <c r="Q1292" s="3"/>
    </row>
    <row r="1293" spans="17:17" x14ac:dyDescent="0.3">
      <c r="Q1293" s="3"/>
    </row>
    <row r="1294" spans="17:17" x14ac:dyDescent="0.3">
      <c r="Q1294" s="3"/>
    </row>
    <row r="1295" spans="17:17" x14ac:dyDescent="0.3">
      <c r="Q1295" s="3"/>
    </row>
    <row r="1296" spans="17:17" x14ac:dyDescent="0.3">
      <c r="Q1296" s="3"/>
    </row>
    <row r="1297" spans="17:17" x14ac:dyDescent="0.3">
      <c r="Q1297" s="3"/>
    </row>
    <row r="1298" spans="17:17" x14ac:dyDescent="0.3">
      <c r="Q1298" s="3"/>
    </row>
    <row r="1299" spans="17:17" x14ac:dyDescent="0.3">
      <c r="Q1299" s="3"/>
    </row>
    <row r="1300" spans="17:17" x14ac:dyDescent="0.3">
      <c r="Q1300" s="3"/>
    </row>
    <row r="1301" spans="17:17" x14ac:dyDescent="0.3">
      <c r="Q1301" s="3"/>
    </row>
    <row r="1302" spans="17:17" x14ac:dyDescent="0.3">
      <c r="Q1302" s="3"/>
    </row>
    <row r="1303" spans="17:17" x14ac:dyDescent="0.3">
      <c r="Q1303" s="3"/>
    </row>
    <row r="1304" spans="17:17" x14ac:dyDescent="0.3">
      <c r="Q1304" s="3"/>
    </row>
    <row r="1305" spans="17:17" x14ac:dyDescent="0.3">
      <c r="Q1305" s="3"/>
    </row>
    <row r="1306" spans="17:17" x14ac:dyDescent="0.3">
      <c r="Q1306" s="3"/>
    </row>
    <row r="1307" spans="17:17" x14ac:dyDescent="0.3">
      <c r="Q1307" s="3"/>
    </row>
    <row r="1308" spans="17:17" x14ac:dyDescent="0.3">
      <c r="Q1308" s="3"/>
    </row>
    <row r="1309" spans="17:17" x14ac:dyDescent="0.3">
      <c r="Q1309" s="3"/>
    </row>
    <row r="1310" spans="17:17" x14ac:dyDescent="0.3">
      <c r="Q1310" s="3"/>
    </row>
    <row r="1311" spans="17:17" x14ac:dyDescent="0.3">
      <c r="Q1311" s="3"/>
    </row>
    <row r="1312" spans="17:17" x14ac:dyDescent="0.3">
      <c r="Q1312" s="3"/>
    </row>
    <row r="1313" spans="17:17" x14ac:dyDescent="0.3">
      <c r="Q1313" s="3"/>
    </row>
    <row r="1314" spans="17:17" x14ac:dyDescent="0.3">
      <c r="Q1314" s="3"/>
    </row>
    <row r="1315" spans="17:17" x14ac:dyDescent="0.3">
      <c r="Q1315" s="3"/>
    </row>
    <row r="1316" spans="17:17" x14ac:dyDescent="0.3">
      <c r="Q1316" s="3"/>
    </row>
    <row r="1317" spans="17:17" x14ac:dyDescent="0.3">
      <c r="Q1317" s="3"/>
    </row>
    <row r="1318" spans="17:17" x14ac:dyDescent="0.3">
      <c r="Q1318" s="3"/>
    </row>
    <row r="1319" spans="17:17" x14ac:dyDescent="0.3">
      <c r="Q1319" s="3"/>
    </row>
    <row r="1320" spans="17:17" x14ac:dyDescent="0.3">
      <c r="Q1320" s="3"/>
    </row>
    <row r="1321" spans="17:17" x14ac:dyDescent="0.3">
      <c r="Q1321" s="3"/>
    </row>
    <row r="1322" spans="17:17" x14ac:dyDescent="0.3">
      <c r="Q1322" s="3"/>
    </row>
    <row r="1323" spans="17:17" x14ac:dyDescent="0.3">
      <c r="Q1323" s="3"/>
    </row>
    <row r="1324" spans="17:17" x14ac:dyDescent="0.3">
      <c r="Q1324" s="3"/>
    </row>
    <row r="1325" spans="17:17" x14ac:dyDescent="0.3">
      <c r="Q1325" s="3"/>
    </row>
    <row r="1326" spans="17:17" x14ac:dyDescent="0.3">
      <c r="Q1326" s="3"/>
    </row>
    <row r="1327" spans="17:17" x14ac:dyDescent="0.3">
      <c r="Q1327" s="3"/>
    </row>
    <row r="1328" spans="17:17" x14ac:dyDescent="0.3">
      <c r="Q1328" s="3"/>
    </row>
    <row r="1329" spans="17:17" x14ac:dyDescent="0.3">
      <c r="Q1329" s="3"/>
    </row>
    <row r="1330" spans="17:17" x14ac:dyDescent="0.3">
      <c r="Q1330" s="3"/>
    </row>
    <row r="1331" spans="17:17" x14ac:dyDescent="0.3">
      <c r="Q1331" s="3"/>
    </row>
    <row r="1332" spans="17:17" x14ac:dyDescent="0.3">
      <c r="Q1332" s="3"/>
    </row>
    <row r="1333" spans="17:17" x14ac:dyDescent="0.3">
      <c r="Q1333" s="3"/>
    </row>
    <row r="1334" spans="17:17" x14ac:dyDescent="0.3">
      <c r="Q1334" s="3"/>
    </row>
    <row r="1335" spans="17:17" x14ac:dyDescent="0.3">
      <c r="Q1335" s="3"/>
    </row>
    <row r="1336" spans="17:17" x14ac:dyDescent="0.3">
      <c r="Q1336" s="3"/>
    </row>
    <row r="1337" spans="17:17" x14ac:dyDescent="0.3">
      <c r="Q1337" s="3"/>
    </row>
    <row r="1338" spans="17:17" x14ac:dyDescent="0.3">
      <c r="Q1338" s="3"/>
    </row>
    <row r="1339" spans="17:17" x14ac:dyDescent="0.3">
      <c r="Q1339" s="3"/>
    </row>
    <row r="1340" spans="17:17" x14ac:dyDescent="0.3">
      <c r="Q1340" s="3"/>
    </row>
    <row r="1341" spans="17:17" x14ac:dyDescent="0.3">
      <c r="Q1341" s="3"/>
    </row>
    <row r="1342" spans="17:17" x14ac:dyDescent="0.3">
      <c r="Q1342" s="3"/>
    </row>
    <row r="1343" spans="17:17" x14ac:dyDescent="0.3">
      <c r="Q1343" s="3"/>
    </row>
    <row r="1344" spans="17:17" x14ac:dyDescent="0.3">
      <c r="Q1344" s="3"/>
    </row>
    <row r="1345" spans="17:17" x14ac:dyDescent="0.3">
      <c r="Q1345" s="3"/>
    </row>
    <row r="1346" spans="17:17" x14ac:dyDescent="0.3">
      <c r="Q1346" s="3"/>
    </row>
    <row r="1347" spans="17:17" x14ac:dyDescent="0.3">
      <c r="Q1347" s="3"/>
    </row>
    <row r="1348" spans="17:17" x14ac:dyDescent="0.3">
      <c r="Q1348" s="3"/>
    </row>
    <row r="1349" spans="17:17" x14ac:dyDescent="0.3">
      <c r="Q1349" s="3"/>
    </row>
    <row r="1350" spans="17:17" x14ac:dyDescent="0.3">
      <c r="Q1350" s="3"/>
    </row>
    <row r="1351" spans="17:17" x14ac:dyDescent="0.3">
      <c r="Q1351" s="3"/>
    </row>
    <row r="1352" spans="17:17" x14ac:dyDescent="0.3">
      <c r="Q1352" s="3"/>
    </row>
    <row r="1353" spans="17:17" x14ac:dyDescent="0.3">
      <c r="Q1353" s="3"/>
    </row>
    <row r="1354" spans="17:17" x14ac:dyDescent="0.3">
      <c r="Q1354" s="3"/>
    </row>
    <row r="1355" spans="17:17" x14ac:dyDescent="0.3">
      <c r="Q1355" s="3"/>
    </row>
    <row r="1356" spans="17:17" x14ac:dyDescent="0.3">
      <c r="Q1356" s="3"/>
    </row>
    <row r="1357" spans="17:17" x14ac:dyDescent="0.3">
      <c r="Q1357" s="3"/>
    </row>
    <row r="1358" spans="17:17" x14ac:dyDescent="0.3">
      <c r="Q1358" s="3"/>
    </row>
    <row r="1359" spans="17:17" x14ac:dyDescent="0.3">
      <c r="Q1359" s="3"/>
    </row>
    <row r="1360" spans="17:17" x14ac:dyDescent="0.3">
      <c r="Q1360" s="3"/>
    </row>
    <row r="1361" spans="17:17" x14ac:dyDescent="0.3">
      <c r="Q1361" s="3"/>
    </row>
    <row r="1362" spans="17:17" x14ac:dyDescent="0.3">
      <c r="Q1362" s="3"/>
    </row>
    <row r="1363" spans="17:17" x14ac:dyDescent="0.3">
      <c r="Q1363" s="3"/>
    </row>
    <row r="1364" spans="17:17" x14ac:dyDescent="0.3">
      <c r="Q1364" s="3"/>
    </row>
    <row r="1365" spans="17:17" x14ac:dyDescent="0.3">
      <c r="Q1365" s="3"/>
    </row>
    <row r="1366" spans="17:17" x14ac:dyDescent="0.3">
      <c r="Q1366" s="3"/>
    </row>
    <row r="1367" spans="17:17" x14ac:dyDescent="0.3">
      <c r="Q1367" s="3"/>
    </row>
    <row r="1368" spans="17:17" x14ac:dyDescent="0.3">
      <c r="Q1368" s="3"/>
    </row>
    <row r="1369" spans="17:17" x14ac:dyDescent="0.3">
      <c r="Q1369" s="3"/>
    </row>
    <row r="1370" spans="17:17" x14ac:dyDescent="0.3">
      <c r="Q1370" s="3"/>
    </row>
    <row r="1371" spans="17:17" x14ac:dyDescent="0.3">
      <c r="Q1371" s="3"/>
    </row>
    <row r="1372" spans="17:17" x14ac:dyDescent="0.3">
      <c r="Q1372" s="3"/>
    </row>
    <row r="1373" spans="17:17" x14ac:dyDescent="0.3">
      <c r="Q1373" s="3"/>
    </row>
    <row r="1374" spans="17:17" x14ac:dyDescent="0.3">
      <c r="Q1374" s="3"/>
    </row>
    <row r="1375" spans="17:17" x14ac:dyDescent="0.3">
      <c r="Q1375" s="3"/>
    </row>
    <row r="1376" spans="17:17" x14ac:dyDescent="0.3">
      <c r="Q1376" s="3"/>
    </row>
    <row r="1377" spans="17:17" x14ac:dyDescent="0.3">
      <c r="Q1377" s="3"/>
    </row>
    <row r="1378" spans="17:17" x14ac:dyDescent="0.3">
      <c r="Q1378" s="3"/>
    </row>
    <row r="1379" spans="17:17" x14ac:dyDescent="0.3">
      <c r="Q1379" s="3"/>
    </row>
    <row r="1380" spans="17:17" x14ac:dyDescent="0.3">
      <c r="Q1380" s="3"/>
    </row>
    <row r="1381" spans="17:17" x14ac:dyDescent="0.3">
      <c r="Q1381" s="3"/>
    </row>
    <row r="1382" spans="17:17" x14ac:dyDescent="0.3">
      <c r="Q1382" s="3"/>
    </row>
    <row r="1383" spans="17:17" x14ac:dyDescent="0.3">
      <c r="Q1383" s="3"/>
    </row>
    <row r="1384" spans="17:17" x14ac:dyDescent="0.3">
      <c r="Q1384" s="3"/>
    </row>
    <row r="1385" spans="17:17" x14ac:dyDescent="0.3">
      <c r="Q1385" s="3"/>
    </row>
    <row r="1386" spans="17:17" x14ac:dyDescent="0.3">
      <c r="Q1386" s="3"/>
    </row>
    <row r="1387" spans="17:17" x14ac:dyDescent="0.3">
      <c r="Q1387" s="3"/>
    </row>
    <row r="1388" spans="17:17" x14ac:dyDescent="0.3">
      <c r="Q1388" s="3"/>
    </row>
    <row r="1389" spans="17:17" x14ac:dyDescent="0.3">
      <c r="Q1389" s="3"/>
    </row>
    <row r="1390" spans="17:17" x14ac:dyDescent="0.3">
      <c r="Q1390" s="3"/>
    </row>
    <row r="1391" spans="17:17" x14ac:dyDescent="0.3">
      <c r="Q1391" s="3"/>
    </row>
    <row r="1392" spans="17:17" x14ac:dyDescent="0.3">
      <c r="Q1392" s="3"/>
    </row>
    <row r="1393" spans="17:17" x14ac:dyDescent="0.3">
      <c r="Q1393" s="3"/>
    </row>
    <row r="1394" spans="17:17" x14ac:dyDescent="0.3">
      <c r="Q1394" s="3"/>
    </row>
    <row r="1395" spans="17:17" x14ac:dyDescent="0.3">
      <c r="Q1395" s="3"/>
    </row>
    <row r="1396" spans="17:17" x14ac:dyDescent="0.3">
      <c r="Q1396" s="3"/>
    </row>
    <row r="1397" spans="17:17" x14ac:dyDescent="0.3">
      <c r="Q1397" s="3"/>
    </row>
    <row r="1398" spans="17:17" x14ac:dyDescent="0.3">
      <c r="Q1398" s="3"/>
    </row>
    <row r="1399" spans="17:17" x14ac:dyDescent="0.3">
      <c r="Q1399" s="3"/>
    </row>
    <row r="1400" spans="17:17" x14ac:dyDescent="0.3">
      <c r="Q1400" s="3"/>
    </row>
    <row r="1401" spans="17:17" x14ac:dyDescent="0.3">
      <c r="Q1401" s="3"/>
    </row>
    <row r="1402" spans="17:17" x14ac:dyDescent="0.3">
      <c r="Q1402" s="3"/>
    </row>
    <row r="1403" spans="17:17" x14ac:dyDescent="0.3">
      <c r="Q1403" s="3"/>
    </row>
    <row r="1404" spans="17:17" x14ac:dyDescent="0.3">
      <c r="Q1404" s="3"/>
    </row>
    <row r="1405" spans="17:17" x14ac:dyDescent="0.3">
      <c r="Q1405" s="3"/>
    </row>
    <row r="1406" spans="17:17" x14ac:dyDescent="0.3">
      <c r="Q1406" s="3"/>
    </row>
    <row r="1407" spans="17:17" x14ac:dyDescent="0.3">
      <c r="Q1407" s="3"/>
    </row>
    <row r="1408" spans="17:17" x14ac:dyDescent="0.3">
      <c r="Q1408" s="3"/>
    </row>
    <row r="1409" spans="17:17" x14ac:dyDescent="0.3">
      <c r="Q1409" s="3"/>
    </row>
    <row r="1410" spans="17:17" x14ac:dyDescent="0.3">
      <c r="Q1410" s="3"/>
    </row>
    <row r="1411" spans="17:17" x14ac:dyDescent="0.3">
      <c r="Q1411" s="3"/>
    </row>
    <row r="1412" spans="17:17" x14ac:dyDescent="0.3">
      <c r="Q1412" s="3"/>
    </row>
    <row r="1413" spans="17:17" x14ac:dyDescent="0.3">
      <c r="Q1413" s="3"/>
    </row>
    <row r="1414" spans="17:17" x14ac:dyDescent="0.3">
      <c r="Q1414" s="3"/>
    </row>
    <row r="1415" spans="17:17" x14ac:dyDescent="0.3">
      <c r="Q1415" s="3"/>
    </row>
    <row r="1416" spans="17:17" x14ac:dyDescent="0.3">
      <c r="Q1416" s="3"/>
    </row>
    <row r="1417" spans="17:17" x14ac:dyDescent="0.3">
      <c r="Q1417" s="3"/>
    </row>
    <row r="1418" spans="17:17" x14ac:dyDescent="0.3">
      <c r="Q1418" s="3"/>
    </row>
    <row r="1419" spans="17:17" x14ac:dyDescent="0.3">
      <c r="Q1419" s="3"/>
    </row>
    <row r="1420" spans="17:17" x14ac:dyDescent="0.3">
      <c r="Q1420" s="3"/>
    </row>
    <row r="1421" spans="17:17" x14ac:dyDescent="0.3">
      <c r="Q1421" s="3"/>
    </row>
    <row r="1422" spans="17:17" x14ac:dyDescent="0.3">
      <c r="Q1422" s="3"/>
    </row>
    <row r="1423" spans="17:17" x14ac:dyDescent="0.3">
      <c r="Q1423" s="3"/>
    </row>
    <row r="1424" spans="17:17" x14ac:dyDescent="0.3">
      <c r="Q1424" s="3"/>
    </row>
    <row r="1425" spans="17:17" x14ac:dyDescent="0.3">
      <c r="Q1425" s="3"/>
    </row>
    <row r="1426" spans="17:17" x14ac:dyDescent="0.3">
      <c r="Q1426" s="3"/>
    </row>
    <row r="1427" spans="17:17" x14ac:dyDescent="0.3">
      <c r="Q1427" s="3"/>
    </row>
    <row r="1428" spans="17:17" x14ac:dyDescent="0.3">
      <c r="Q1428" s="3"/>
    </row>
    <row r="1429" spans="17:17" x14ac:dyDescent="0.3">
      <c r="Q1429" s="3"/>
    </row>
    <row r="1430" spans="17:17" x14ac:dyDescent="0.3">
      <c r="Q1430" s="3"/>
    </row>
    <row r="1431" spans="17:17" x14ac:dyDescent="0.3">
      <c r="Q1431" s="3"/>
    </row>
    <row r="1432" spans="17:17" x14ac:dyDescent="0.3">
      <c r="Q1432" s="3"/>
    </row>
    <row r="1433" spans="17:17" x14ac:dyDescent="0.3">
      <c r="Q1433" s="3"/>
    </row>
    <row r="1434" spans="17:17" x14ac:dyDescent="0.3">
      <c r="Q1434" s="3"/>
    </row>
    <row r="1435" spans="17:17" x14ac:dyDescent="0.3">
      <c r="Q1435" s="3"/>
    </row>
    <row r="1436" spans="17:17" x14ac:dyDescent="0.3">
      <c r="Q1436" s="3"/>
    </row>
    <row r="1437" spans="17:17" x14ac:dyDescent="0.3">
      <c r="Q1437" s="3"/>
    </row>
    <row r="1438" spans="17:17" x14ac:dyDescent="0.3">
      <c r="Q1438" s="3"/>
    </row>
    <row r="1439" spans="17:17" x14ac:dyDescent="0.3">
      <c r="Q1439" s="3"/>
    </row>
    <row r="1440" spans="17:17" x14ac:dyDescent="0.3">
      <c r="Q1440" s="3"/>
    </row>
    <row r="1441" spans="17:17" x14ac:dyDescent="0.3">
      <c r="Q1441" s="3"/>
    </row>
    <row r="1442" spans="17:17" x14ac:dyDescent="0.3">
      <c r="Q1442" s="3"/>
    </row>
    <row r="1443" spans="17:17" x14ac:dyDescent="0.3">
      <c r="Q1443" s="3"/>
    </row>
    <row r="1444" spans="17:17" x14ac:dyDescent="0.3">
      <c r="Q1444" s="3"/>
    </row>
    <row r="1445" spans="17:17" x14ac:dyDescent="0.3">
      <c r="Q1445" s="3"/>
    </row>
    <row r="1446" spans="17:17" x14ac:dyDescent="0.3">
      <c r="Q1446" s="3"/>
    </row>
    <row r="1447" spans="17:17" x14ac:dyDescent="0.3">
      <c r="Q1447" s="3"/>
    </row>
    <row r="1448" spans="17:17" x14ac:dyDescent="0.3">
      <c r="Q1448" s="3"/>
    </row>
    <row r="1449" spans="17:17" x14ac:dyDescent="0.3">
      <c r="Q1449" s="3"/>
    </row>
    <row r="1450" spans="17:17" x14ac:dyDescent="0.3">
      <c r="Q1450" s="3"/>
    </row>
    <row r="1451" spans="17:17" x14ac:dyDescent="0.3">
      <c r="Q1451" s="3"/>
    </row>
    <row r="1452" spans="17:17" x14ac:dyDescent="0.3">
      <c r="Q1452" s="3"/>
    </row>
    <row r="1453" spans="17:17" x14ac:dyDescent="0.3">
      <c r="Q1453" s="3"/>
    </row>
    <row r="1454" spans="17:17" x14ac:dyDescent="0.3">
      <c r="Q1454" s="3"/>
    </row>
    <row r="1455" spans="17:17" x14ac:dyDescent="0.3">
      <c r="Q1455" s="3"/>
    </row>
    <row r="1456" spans="17:17" x14ac:dyDescent="0.3">
      <c r="Q1456" s="3"/>
    </row>
    <row r="1457" spans="17:17" x14ac:dyDescent="0.3">
      <c r="Q1457" s="3"/>
    </row>
    <row r="1458" spans="17:17" x14ac:dyDescent="0.3">
      <c r="Q1458" s="3"/>
    </row>
    <row r="1459" spans="17:17" x14ac:dyDescent="0.3">
      <c r="Q1459" s="3"/>
    </row>
    <row r="1460" spans="17:17" x14ac:dyDescent="0.3">
      <c r="Q1460" s="3"/>
    </row>
    <row r="1461" spans="17:17" x14ac:dyDescent="0.3">
      <c r="Q1461" s="3"/>
    </row>
    <row r="1462" spans="17:17" x14ac:dyDescent="0.3">
      <c r="Q1462" s="3"/>
    </row>
    <row r="1463" spans="17:17" x14ac:dyDescent="0.3">
      <c r="Q1463" s="3"/>
    </row>
    <row r="1464" spans="17:17" x14ac:dyDescent="0.3">
      <c r="Q1464" s="3"/>
    </row>
    <row r="1465" spans="17:17" x14ac:dyDescent="0.3">
      <c r="Q1465" s="3"/>
    </row>
    <row r="1466" spans="17:17" x14ac:dyDescent="0.3">
      <c r="Q1466" s="3"/>
    </row>
    <row r="1467" spans="17:17" x14ac:dyDescent="0.3">
      <c r="Q1467" s="3"/>
    </row>
    <row r="1468" spans="17:17" x14ac:dyDescent="0.3">
      <c r="Q1468" s="3"/>
    </row>
    <row r="1469" spans="17:17" x14ac:dyDescent="0.3">
      <c r="Q1469" s="3"/>
    </row>
    <row r="1470" spans="17:17" x14ac:dyDescent="0.3">
      <c r="Q1470" s="3"/>
    </row>
    <row r="1471" spans="17:17" x14ac:dyDescent="0.3">
      <c r="Q1471" s="3"/>
    </row>
    <row r="1472" spans="17:17" x14ac:dyDescent="0.3">
      <c r="Q1472" s="3"/>
    </row>
    <row r="1473" spans="17:17" x14ac:dyDescent="0.3">
      <c r="Q1473" s="3"/>
    </row>
    <row r="1474" spans="17:17" x14ac:dyDescent="0.3">
      <c r="Q1474" s="3"/>
    </row>
    <row r="1475" spans="17:17" x14ac:dyDescent="0.3">
      <c r="Q1475" s="3"/>
    </row>
    <row r="1476" spans="17:17" x14ac:dyDescent="0.3">
      <c r="Q1476" s="3"/>
    </row>
    <row r="1477" spans="17:17" x14ac:dyDescent="0.3">
      <c r="Q1477" s="3"/>
    </row>
    <row r="1478" spans="17:17" x14ac:dyDescent="0.3">
      <c r="Q1478" s="3"/>
    </row>
    <row r="1479" spans="17:17" x14ac:dyDescent="0.3">
      <c r="Q1479" s="3"/>
    </row>
    <row r="1480" spans="17:17" x14ac:dyDescent="0.3">
      <c r="Q1480" s="3"/>
    </row>
    <row r="1481" spans="17:17" x14ac:dyDescent="0.3">
      <c r="Q1481" s="3"/>
    </row>
    <row r="1482" spans="17:17" x14ac:dyDescent="0.3">
      <c r="Q1482" s="3"/>
    </row>
    <row r="1483" spans="17:17" x14ac:dyDescent="0.3">
      <c r="Q1483" s="3"/>
    </row>
    <row r="1484" spans="17:17" x14ac:dyDescent="0.3">
      <c r="Q1484" s="3"/>
    </row>
    <row r="1485" spans="17:17" x14ac:dyDescent="0.3">
      <c r="Q1485" s="3"/>
    </row>
    <row r="1486" spans="17:17" x14ac:dyDescent="0.3">
      <c r="Q1486" s="3"/>
    </row>
    <row r="1487" spans="17:17" x14ac:dyDescent="0.3">
      <c r="Q1487" s="3"/>
    </row>
    <row r="1488" spans="17:17" x14ac:dyDescent="0.3">
      <c r="Q1488" s="3"/>
    </row>
    <row r="1489" spans="17:17" x14ac:dyDescent="0.3">
      <c r="Q1489" s="3"/>
    </row>
    <row r="1490" spans="17:17" x14ac:dyDescent="0.3">
      <c r="Q1490" s="3"/>
    </row>
    <row r="1491" spans="17:17" x14ac:dyDescent="0.3">
      <c r="Q1491" s="3"/>
    </row>
    <row r="1492" spans="17:17" x14ac:dyDescent="0.3">
      <c r="Q1492" s="3"/>
    </row>
    <row r="1493" spans="17:17" x14ac:dyDescent="0.3">
      <c r="Q1493" s="3"/>
    </row>
    <row r="1494" spans="17:17" x14ac:dyDescent="0.3">
      <c r="Q1494" s="3"/>
    </row>
    <row r="1495" spans="17:17" x14ac:dyDescent="0.3">
      <c r="Q1495" s="3"/>
    </row>
    <row r="1496" spans="17:17" x14ac:dyDescent="0.3">
      <c r="Q1496" s="3"/>
    </row>
    <row r="1497" spans="17:17" x14ac:dyDescent="0.3">
      <c r="Q1497" s="3"/>
    </row>
    <row r="1498" spans="17:17" x14ac:dyDescent="0.3">
      <c r="Q1498" s="3"/>
    </row>
    <row r="1499" spans="17:17" x14ac:dyDescent="0.3">
      <c r="Q1499" s="3"/>
    </row>
    <row r="1500" spans="17:17" x14ac:dyDescent="0.3">
      <c r="Q1500" s="3"/>
    </row>
    <row r="1501" spans="17:17" x14ac:dyDescent="0.3">
      <c r="Q1501" s="3"/>
    </row>
    <row r="1502" spans="17:17" x14ac:dyDescent="0.3">
      <c r="Q1502" s="3"/>
    </row>
    <row r="1503" spans="17:17" x14ac:dyDescent="0.3">
      <c r="Q1503" s="3"/>
    </row>
    <row r="1504" spans="17:17" x14ac:dyDescent="0.3">
      <c r="Q1504" s="3"/>
    </row>
    <row r="1505" spans="17:17" x14ac:dyDescent="0.3">
      <c r="Q1505" s="3"/>
    </row>
    <row r="1506" spans="17:17" x14ac:dyDescent="0.3">
      <c r="Q1506" s="3"/>
    </row>
    <row r="1507" spans="17:17" x14ac:dyDescent="0.3">
      <c r="Q1507" s="3"/>
    </row>
    <row r="1508" spans="17:17" x14ac:dyDescent="0.3">
      <c r="Q1508" s="3"/>
    </row>
    <row r="1509" spans="17:17" x14ac:dyDescent="0.3">
      <c r="Q1509" s="3"/>
    </row>
    <row r="1510" spans="17:17" x14ac:dyDescent="0.3">
      <c r="Q1510" s="3"/>
    </row>
    <row r="1511" spans="17:17" x14ac:dyDescent="0.3">
      <c r="Q1511" s="3"/>
    </row>
    <row r="1512" spans="17:17" x14ac:dyDescent="0.3">
      <c r="Q1512" s="3"/>
    </row>
    <row r="1513" spans="17:17" x14ac:dyDescent="0.3">
      <c r="Q1513" s="3"/>
    </row>
    <row r="1514" spans="17:17" x14ac:dyDescent="0.3">
      <c r="Q1514" s="3"/>
    </row>
    <row r="1515" spans="17:17" x14ac:dyDescent="0.3">
      <c r="Q1515" s="3"/>
    </row>
    <row r="1516" spans="17:17" x14ac:dyDescent="0.3">
      <c r="Q1516" s="3"/>
    </row>
    <row r="1517" spans="17:17" x14ac:dyDescent="0.3">
      <c r="Q1517" s="3"/>
    </row>
    <row r="1518" spans="17:17" x14ac:dyDescent="0.3">
      <c r="Q1518" s="3"/>
    </row>
    <row r="1519" spans="17:17" x14ac:dyDescent="0.3">
      <c r="Q1519" s="3"/>
    </row>
    <row r="1520" spans="17:17" x14ac:dyDescent="0.3">
      <c r="Q1520" s="3"/>
    </row>
    <row r="1521" spans="17:17" x14ac:dyDescent="0.3">
      <c r="Q1521" s="3"/>
    </row>
    <row r="1522" spans="17:17" x14ac:dyDescent="0.3">
      <c r="Q1522" s="3"/>
    </row>
    <row r="1523" spans="17:17" x14ac:dyDescent="0.3">
      <c r="Q1523" s="3"/>
    </row>
    <row r="1524" spans="17:17" x14ac:dyDescent="0.3">
      <c r="Q1524" s="3"/>
    </row>
    <row r="1525" spans="17:17" x14ac:dyDescent="0.3">
      <c r="Q1525" s="3"/>
    </row>
    <row r="1526" spans="17:17" x14ac:dyDescent="0.3">
      <c r="Q1526" s="3"/>
    </row>
    <row r="1527" spans="17:17" x14ac:dyDescent="0.3">
      <c r="Q1527" s="3"/>
    </row>
    <row r="1528" spans="17:17" x14ac:dyDescent="0.3">
      <c r="Q1528" s="3"/>
    </row>
    <row r="1529" spans="17:17" x14ac:dyDescent="0.3">
      <c r="Q1529" s="3"/>
    </row>
    <row r="1530" spans="17:17" x14ac:dyDescent="0.3">
      <c r="Q1530" s="3"/>
    </row>
    <row r="1531" spans="17:17" x14ac:dyDescent="0.3">
      <c r="Q1531" s="3"/>
    </row>
    <row r="1532" spans="17:17" x14ac:dyDescent="0.3">
      <c r="Q1532" s="3"/>
    </row>
    <row r="1533" spans="17:17" x14ac:dyDescent="0.3">
      <c r="Q1533" s="3"/>
    </row>
    <row r="1534" spans="17:17" x14ac:dyDescent="0.3">
      <c r="Q1534" s="3"/>
    </row>
    <row r="1535" spans="17:17" x14ac:dyDescent="0.3">
      <c r="Q1535" s="3"/>
    </row>
    <row r="1536" spans="17:17" x14ac:dyDescent="0.3">
      <c r="Q1536" s="3"/>
    </row>
    <row r="1537" spans="17:17" x14ac:dyDescent="0.3">
      <c r="Q1537" s="3"/>
    </row>
    <row r="1538" spans="17:17" x14ac:dyDescent="0.3">
      <c r="Q1538" s="3"/>
    </row>
    <row r="1539" spans="17:17" x14ac:dyDescent="0.3">
      <c r="Q1539" s="3"/>
    </row>
    <row r="1540" spans="17:17" x14ac:dyDescent="0.3">
      <c r="Q1540" s="3"/>
    </row>
    <row r="1541" spans="17:17" x14ac:dyDescent="0.3">
      <c r="Q1541" s="3"/>
    </row>
    <row r="1542" spans="17:17" x14ac:dyDescent="0.3">
      <c r="Q1542" s="3"/>
    </row>
    <row r="1543" spans="17:17" x14ac:dyDescent="0.3">
      <c r="Q1543" s="3"/>
    </row>
    <row r="1544" spans="17:17" x14ac:dyDescent="0.3">
      <c r="Q1544" s="3"/>
    </row>
    <row r="1545" spans="17:17" x14ac:dyDescent="0.3">
      <c r="Q1545" s="3"/>
    </row>
    <row r="1546" spans="17:17" x14ac:dyDescent="0.3">
      <c r="Q1546" s="3"/>
    </row>
    <row r="1547" spans="17:17" x14ac:dyDescent="0.3">
      <c r="Q1547" s="3"/>
    </row>
    <row r="1548" spans="17:17" x14ac:dyDescent="0.3">
      <c r="Q1548" s="3"/>
    </row>
    <row r="1549" spans="17:17" x14ac:dyDescent="0.3">
      <c r="Q1549" s="3"/>
    </row>
    <row r="1550" spans="17:17" x14ac:dyDescent="0.3">
      <c r="Q1550" s="3"/>
    </row>
    <row r="1551" spans="17:17" x14ac:dyDescent="0.3">
      <c r="Q1551" s="3"/>
    </row>
    <row r="1552" spans="17:17" x14ac:dyDescent="0.3">
      <c r="Q1552" s="3"/>
    </row>
    <row r="1553" spans="17:17" x14ac:dyDescent="0.3">
      <c r="Q1553" s="3"/>
    </row>
    <row r="1554" spans="17:17" x14ac:dyDescent="0.3">
      <c r="Q1554" s="3"/>
    </row>
    <row r="1555" spans="17:17" x14ac:dyDescent="0.3">
      <c r="Q1555" s="3"/>
    </row>
    <row r="1556" spans="17:17" x14ac:dyDescent="0.3">
      <c r="Q1556" s="3"/>
    </row>
    <row r="1557" spans="17:17" x14ac:dyDescent="0.3">
      <c r="Q1557" s="3"/>
    </row>
    <row r="1558" spans="17:17" x14ac:dyDescent="0.3">
      <c r="Q1558" s="3"/>
    </row>
    <row r="1559" spans="17:17" x14ac:dyDescent="0.3">
      <c r="Q1559" s="3"/>
    </row>
    <row r="1560" spans="17:17" x14ac:dyDescent="0.3">
      <c r="Q1560" s="3"/>
    </row>
    <row r="1561" spans="17:17" x14ac:dyDescent="0.3">
      <c r="Q1561" s="3"/>
    </row>
    <row r="1562" spans="17:17" x14ac:dyDescent="0.3">
      <c r="Q1562" s="3"/>
    </row>
    <row r="1563" spans="17:17" x14ac:dyDescent="0.3">
      <c r="Q1563" s="3"/>
    </row>
    <row r="1564" spans="17:17" x14ac:dyDescent="0.3">
      <c r="Q1564" s="3"/>
    </row>
    <row r="1565" spans="17:17" x14ac:dyDescent="0.3">
      <c r="Q1565" s="3"/>
    </row>
    <row r="1566" spans="17:17" x14ac:dyDescent="0.3">
      <c r="Q1566" s="3"/>
    </row>
    <row r="1567" spans="17:17" x14ac:dyDescent="0.3">
      <c r="Q1567" s="3"/>
    </row>
    <row r="1568" spans="17:17" x14ac:dyDescent="0.3">
      <c r="Q1568" s="3"/>
    </row>
    <row r="1569" spans="17:17" x14ac:dyDescent="0.3">
      <c r="Q1569" s="3"/>
    </row>
    <row r="1570" spans="17:17" x14ac:dyDescent="0.3">
      <c r="Q1570" s="3"/>
    </row>
    <row r="1571" spans="17:17" x14ac:dyDescent="0.3">
      <c r="Q1571" s="3"/>
    </row>
    <row r="1572" spans="17:17" x14ac:dyDescent="0.3">
      <c r="Q1572" s="3"/>
    </row>
    <row r="1573" spans="17:17" x14ac:dyDescent="0.3">
      <c r="Q1573" s="3"/>
    </row>
    <row r="1574" spans="17:17" x14ac:dyDescent="0.3">
      <c r="Q1574" s="3"/>
    </row>
    <row r="1575" spans="17:17" x14ac:dyDescent="0.3">
      <c r="Q1575" s="3"/>
    </row>
    <row r="1576" spans="17:17" x14ac:dyDescent="0.3">
      <c r="Q1576" s="3"/>
    </row>
    <row r="1577" spans="17:17" x14ac:dyDescent="0.3">
      <c r="Q1577" s="3"/>
    </row>
    <row r="1578" spans="17:17" x14ac:dyDescent="0.3">
      <c r="Q1578" s="3"/>
    </row>
    <row r="1579" spans="17:17" x14ac:dyDescent="0.3">
      <c r="Q1579" s="3"/>
    </row>
    <row r="1580" spans="17:17" x14ac:dyDescent="0.3">
      <c r="Q1580" s="3"/>
    </row>
    <row r="1581" spans="17:17" x14ac:dyDescent="0.3">
      <c r="Q1581" s="3"/>
    </row>
    <row r="1582" spans="17:17" x14ac:dyDescent="0.3">
      <c r="Q1582" s="3"/>
    </row>
    <row r="1583" spans="17:17" x14ac:dyDescent="0.3">
      <c r="Q1583" s="3"/>
    </row>
    <row r="1584" spans="17:17" x14ac:dyDescent="0.3">
      <c r="Q1584" s="3"/>
    </row>
    <row r="1585" spans="17:17" x14ac:dyDescent="0.3">
      <c r="Q1585" s="3"/>
    </row>
    <row r="1586" spans="17:17" x14ac:dyDescent="0.3">
      <c r="Q1586" s="3"/>
    </row>
    <row r="1587" spans="17:17" x14ac:dyDescent="0.3">
      <c r="Q1587" s="3"/>
    </row>
    <row r="1588" spans="17:17" x14ac:dyDescent="0.3">
      <c r="Q1588" s="3"/>
    </row>
    <row r="1589" spans="17:17" x14ac:dyDescent="0.3">
      <c r="Q1589" s="3"/>
    </row>
    <row r="1590" spans="17:17" x14ac:dyDescent="0.3">
      <c r="Q1590" s="3"/>
    </row>
    <row r="1591" spans="17:17" x14ac:dyDescent="0.3">
      <c r="Q1591" s="3"/>
    </row>
    <row r="1592" spans="17:17" x14ac:dyDescent="0.3">
      <c r="Q1592" s="3"/>
    </row>
    <row r="1593" spans="17:17" x14ac:dyDescent="0.3">
      <c r="Q1593" s="3"/>
    </row>
    <row r="1594" spans="17:17" x14ac:dyDescent="0.3">
      <c r="Q1594" s="3"/>
    </row>
    <row r="1595" spans="17:17" x14ac:dyDescent="0.3">
      <c r="Q1595" s="3"/>
    </row>
    <row r="1596" spans="17:17" x14ac:dyDescent="0.3">
      <c r="Q1596" s="3"/>
    </row>
    <row r="1597" spans="17:17" x14ac:dyDescent="0.3">
      <c r="Q1597" s="3"/>
    </row>
    <row r="1598" spans="17:17" x14ac:dyDescent="0.3">
      <c r="Q1598" s="3"/>
    </row>
    <row r="1599" spans="17:17" x14ac:dyDescent="0.3">
      <c r="Q1599" s="3"/>
    </row>
    <row r="1600" spans="17:17" x14ac:dyDescent="0.3">
      <c r="Q1600" s="3"/>
    </row>
    <row r="1601" spans="17:17" x14ac:dyDescent="0.3">
      <c r="Q1601" s="3"/>
    </row>
    <row r="1602" spans="17:17" x14ac:dyDescent="0.3">
      <c r="Q1602" s="3"/>
    </row>
    <row r="1603" spans="17:17" x14ac:dyDescent="0.3">
      <c r="Q1603" s="3"/>
    </row>
    <row r="1604" spans="17:17" x14ac:dyDescent="0.3">
      <c r="Q1604" s="3"/>
    </row>
    <row r="1605" spans="17:17" x14ac:dyDescent="0.3">
      <c r="Q1605" s="3"/>
    </row>
    <row r="1606" spans="17:17" x14ac:dyDescent="0.3">
      <c r="Q1606" s="3"/>
    </row>
    <row r="1607" spans="17:17" x14ac:dyDescent="0.3">
      <c r="Q1607" s="3"/>
    </row>
    <row r="1608" spans="17:17" x14ac:dyDescent="0.3">
      <c r="Q1608" s="3"/>
    </row>
    <row r="1609" spans="17:17" x14ac:dyDescent="0.3">
      <c r="Q1609" s="3"/>
    </row>
    <row r="1610" spans="17:17" x14ac:dyDescent="0.3">
      <c r="Q1610" s="3"/>
    </row>
    <row r="1611" spans="17:17" x14ac:dyDescent="0.3">
      <c r="Q1611" s="3"/>
    </row>
    <row r="1612" spans="17:17" x14ac:dyDescent="0.3">
      <c r="Q1612" s="3"/>
    </row>
    <row r="1613" spans="17:17" x14ac:dyDescent="0.3">
      <c r="Q1613" s="3"/>
    </row>
    <row r="1614" spans="17:17" x14ac:dyDescent="0.3">
      <c r="Q1614" s="3"/>
    </row>
    <row r="1615" spans="17:17" x14ac:dyDescent="0.3">
      <c r="Q1615" s="3"/>
    </row>
    <row r="1616" spans="17:17" x14ac:dyDescent="0.3">
      <c r="Q1616" s="3"/>
    </row>
    <row r="1617" spans="17:17" x14ac:dyDescent="0.3">
      <c r="Q1617" s="3"/>
    </row>
    <row r="1618" spans="17:17" x14ac:dyDescent="0.3">
      <c r="Q1618" s="3"/>
    </row>
    <row r="1619" spans="17:17" x14ac:dyDescent="0.3">
      <c r="Q1619" s="3"/>
    </row>
    <row r="1620" spans="17:17" x14ac:dyDescent="0.3">
      <c r="Q1620" s="3"/>
    </row>
    <row r="1621" spans="17:17" x14ac:dyDescent="0.3">
      <c r="Q1621" s="3"/>
    </row>
    <row r="1622" spans="17:17" x14ac:dyDescent="0.3">
      <c r="Q1622" s="3"/>
    </row>
    <row r="1623" spans="17:17" x14ac:dyDescent="0.3">
      <c r="Q1623" s="3"/>
    </row>
    <row r="1624" spans="17:17" x14ac:dyDescent="0.3">
      <c r="Q1624" s="3"/>
    </row>
    <row r="1625" spans="17:17" x14ac:dyDescent="0.3">
      <c r="Q1625" s="3"/>
    </row>
    <row r="1626" spans="17:17" x14ac:dyDescent="0.3">
      <c r="Q1626" s="3"/>
    </row>
    <row r="1627" spans="17:17" x14ac:dyDescent="0.3">
      <c r="Q1627" s="3"/>
    </row>
    <row r="1628" spans="17:17" x14ac:dyDescent="0.3">
      <c r="Q1628" s="3"/>
    </row>
    <row r="1629" spans="17:17" x14ac:dyDescent="0.3">
      <c r="Q1629" s="3"/>
    </row>
    <row r="1630" spans="17:17" x14ac:dyDescent="0.3">
      <c r="Q1630" s="3"/>
    </row>
    <row r="1631" spans="17:17" x14ac:dyDescent="0.3">
      <c r="Q1631" s="3"/>
    </row>
    <row r="1632" spans="17:17" x14ac:dyDescent="0.3">
      <c r="Q1632" s="3"/>
    </row>
    <row r="1633" spans="17:17" x14ac:dyDescent="0.3">
      <c r="Q1633" s="3"/>
    </row>
    <row r="1634" spans="17:17" x14ac:dyDescent="0.3">
      <c r="Q1634" s="3"/>
    </row>
    <row r="1635" spans="17:17" x14ac:dyDescent="0.3">
      <c r="Q1635" s="3"/>
    </row>
    <row r="1636" spans="17:17" x14ac:dyDescent="0.3">
      <c r="Q1636" s="3"/>
    </row>
    <row r="1637" spans="17:17" x14ac:dyDescent="0.3">
      <c r="Q1637" s="3"/>
    </row>
    <row r="1638" spans="17:17" x14ac:dyDescent="0.3">
      <c r="Q1638" s="3"/>
    </row>
    <row r="1639" spans="17:17" x14ac:dyDescent="0.3">
      <c r="Q1639" s="3"/>
    </row>
    <row r="1640" spans="17:17" x14ac:dyDescent="0.3">
      <c r="Q1640" s="3"/>
    </row>
    <row r="1641" spans="17:17" x14ac:dyDescent="0.3">
      <c r="Q1641" s="3"/>
    </row>
    <row r="1642" spans="17:17" x14ac:dyDescent="0.3">
      <c r="Q1642" s="3"/>
    </row>
    <row r="1643" spans="17:17" x14ac:dyDescent="0.3">
      <c r="Q1643" s="3"/>
    </row>
    <row r="1644" spans="17:17" x14ac:dyDescent="0.3">
      <c r="Q1644" s="3"/>
    </row>
    <row r="1645" spans="17:17" x14ac:dyDescent="0.3">
      <c r="Q1645" s="3"/>
    </row>
    <row r="1646" spans="17:17" x14ac:dyDescent="0.3">
      <c r="Q1646" s="3"/>
    </row>
    <row r="1647" spans="17:17" x14ac:dyDescent="0.3">
      <c r="Q1647" s="3"/>
    </row>
    <row r="1648" spans="17:17" x14ac:dyDescent="0.3">
      <c r="Q1648" s="3"/>
    </row>
    <row r="1649" spans="17:17" x14ac:dyDescent="0.3">
      <c r="Q1649" s="3"/>
    </row>
    <row r="1650" spans="17:17" x14ac:dyDescent="0.3">
      <c r="Q1650" s="3"/>
    </row>
    <row r="1651" spans="17:17" x14ac:dyDescent="0.3">
      <c r="Q1651" s="3"/>
    </row>
    <row r="1652" spans="17:17" x14ac:dyDescent="0.3">
      <c r="Q1652" s="3"/>
    </row>
    <row r="1653" spans="17:17" x14ac:dyDescent="0.3">
      <c r="Q1653" s="3"/>
    </row>
    <row r="1654" spans="17:17" x14ac:dyDescent="0.3">
      <c r="Q1654" s="3"/>
    </row>
    <row r="1655" spans="17:17" x14ac:dyDescent="0.3">
      <c r="Q1655" s="3"/>
    </row>
    <row r="1656" spans="17:17" x14ac:dyDescent="0.3">
      <c r="Q1656" s="3"/>
    </row>
    <row r="1657" spans="17:17" x14ac:dyDescent="0.3">
      <c r="Q1657" s="3"/>
    </row>
    <row r="1658" spans="17:17" x14ac:dyDescent="0.3">
      <c r="Q1658" s="3"/>
    </row>
    <row r="1659" spans="17:17" x14ac:dyDescent="0.3">
      <c r="Q1659" s="3"/>
    </row>
    <row r="1660" spans="17:17" x14ac:dyDescent="0.3">
      <c r="Q1660" s="3"/>
    </row>
    <row r="1661" spans="17:17" x14ac:dyDescent="0.3">
      <c r="Q1661" s="3"/>
    </row>
    <row r="1662" spans="17:17" x14ac:dyDescent="0.3">
      <c r="Q1662" s="3"/>
    </row>
    <row r="1663" spans="17:17" x14ac:dyDescent="0.3">
      <c r="Q1663" s="3"/>
    </row>
    <row r="1664" spans="17:17" x14ac:dyDescent="0.3">
      <c r="Q1664" s="3"/>
    </row>
    <row r="1665" spans="17:17" x14ac:dyDescent="0.3">
      <c r="Q1665" s="3"/>
    </row>
    <row r="1666" spans="17:17" x14ac:dyDescent="0.3">
      <c r="Q1666" s="3"/>
    </row>
    <row r="1667" spans="17:17" x14ac:dyDescent="0.3">
      <c r="Q1667" s="3"/>
    </row>
    <row r="1668" spans="17:17" x14ac:dyDescent="0.3">
      <c r="Q1668" s="3"/>
    </row>
    <row r="1669" spans="17:17" x14ac:dyDescent="0.3">
      <c r="Q1669" s="3"/>
    </row>
    <row r="1670" spans="17:17" x14ac:dyDescent="0.3">
      <c r="Q1670" s="3"/>
    </row>
    <row r="1671" spans="17:17" x14ac:dyDescent="0.3">
      <c r="Q1671" s="3"/>
    </row>
    <row r="1672" spans="17:17" x14ac:dyDescent="0.3">
      <c r="Q1672" s="3"/>
    </row>
    <row r="1673" spans="17:17" x14ac:dyDescent="0.3">
      <c r="Q1673" s="3"/>
    </row>
    <row r="1674" spans="17:17" x14ac:dyDescent="0.3">
      <c r="Q1674" s="3"/>
    </row>
    <row r="1675" spans="17:17" x14ac:dyDescent="0.3">
      <c r="Q1675" s="3"/>
    </row>
    <row r="1676" spans="17:17" x14ac:dyDescent="0.3">
      <c r="Q1676" s="3"/>
    </row>
    <row r="1677" spans="17:17" x14ac:dyDescent="0.3">
      <c r="Q1677" s="3"/>
    </row>
    <row r="1678" spans="17:17" x14ac:dyDescent="0.3">
      <c r="Q1678" s="3"/>
    </row>
    <row r="1679" spans="17:17" x14ac:dyDescent="0.3">
      <c r="Q1679" s="3"/>
    </row>
    <row r="1680" spans="17:17" x14ac:dyDescent="0.3">
      <c r="Q1680" s="3"/>
    </row>
    <row r="1681" spans="17:17" x14ac:dyDescent="0.3">
      <c r="Q1681" s="3"/>
    </row>
    <row r="1682" spans="17:17" x14ac:dyDescent="0.3">
      <c r="Q1682" s="3"/>
    </row>
    <row r="1683" spans="17:17" x14ac:dyDescent="0.3">
      <c r="Q1683" s="3"/>
    </row>
    <row r="1684" spans="17:17" x14ac:dyDescent="0.3">
      <c r="Q1684" s="3"/>
    </row>
    <row r="1685" spans="17:17" x14ac:dyDescent="0.3">
      <c r="Q1685" s="3"/>
    </row>
    <row r="1686" spans="17:17" x14ac:dyDescent="0.3">
      <c r="Q1686" s="3"/>
    </row>
    <row r="1687" spans="17:17" x14ac:dyDescent="0.3">
      <c r="Q1687" s="3"/>
    </row>
    <row r="1688" spans="17:17" x14ac:dyDescent="0.3">
      <c r="Q1688" s="3"/>
    </row>
    <row r="1689" spans="17:17" x14ac:dyDescent="0.3">
      <c r="Q1689" s="3"/>
    </row>
    <row r="1690" spans="17:17" x14ac:dyDescent="0.3">
      <c r="Q1690" s="3"/>
    </row>
    <row r="1691" spans="17:17" x14ac:dyDescent="0.3">
      <c r="Q1691" s="3"/>
    </row>
    <row r="1692" spans="17:17" x14ac:dyDescent="0.3">
      <c r="Q1692" s="3"/>
    </row>
    <row r="1693" spans="17:17" x14ac:dyDescent="0.3">
      <c r="Q1693" s="3"/>
    </row>
    <row r="1694" spans="17:17" x14ac:dyDescent="0.3">
      <c r="Q1694" s="3"/>
    </row>
    <row r="1695" spans="17:17" x14ac:dyDescent="0.3">
      <c r="Q1695" s="3"/>
    </row>
    <row r="1696" spans="17:17" x14ac:dyDescent="0.3">
      <c r="Q1696" s="3"/>
    </row>
    <row r="1697" spans="17:17" x14ac:dyDescent="0.3">
      <c r="Q1697" s="3"/>
    </row>
    <row r="1698" spans="17:17" x14ac:dyDescent="0.3">
      <c r="Q1698" s="3"/>
    </row>
    <row r="1699" spans="17:17" x14ac:dyDescent="0.3">
      <c r="Q1699" s="3"/>
    </row>
    <row r="1700" spans="17:17" x14ac:dyDescent="0.3">
      <c r="Q1700" s="3"/>
    </row>
    <row r="1701" spans="17:17" x14ac:dyDescent="0.3">
      <c r="Q1701" s="3"/>
    </row>
    <row r="1702" spans="17:17" x14ac:dyDescent="0.3">
      <c r="Q1702" s="3"/>
    </row>
    <row r="1703" spans="17:17" x14ac:dyDescent="0.3">
      <c r="Q1703" s="3"/>
    </row>
    <row r="1704" spans="17:17" x14ac:dyDescent="0.3">
      <c r="Q1704" s="3"/>
    </row>
    <row r="1705" spans="17:17" x14ac:dyDescent="0.3">
      <c r="Q1705" s="3"/>
    </row>
    <row r="1706" spans="17:17" x14ac:dyDescent="0.3">
      <c r="Q1706" s="3"/>
    </row>
    <row r="1707" spans="17:17" x14ac:dyDescent="0.3">
      <c r="Q1707" s="3"/>
    </row>
    <row r="1708" spans="17:17" x14ac:dyDescent="0.3">
      <c r="Q1708" s="3"/>
    </row>
    <row r="1709" spans="17:17" x14ac:dyDescent="0.3">
      <c r="Q1709" s="3"/>
    </row>
    <row r="1710" spans="17:17" x14ac:dyDescent="0.3">
      <c r="Q1710" s="3"/>
    </row>
    <row r="1711" spans="17:17" x14ac:dyDescent="0.3">
      <c r="Q1711" s="3"/>
    </row>
    <row r="1712" spans="17:17" x14ac:dyDescent="0.3">
      <c r="Q1712" s="3"/>
    </row>
    <row r="1713" spans="17:17" x14ac:dyDescent="0.3">
      <c r="Q1713" s="3"/>
    </row>
    <row r="1714" spans="17:17" x14ac:dyDescent="0.3">
      <c r="Q1714" s="3"/>
    </row>
    <row r="1715" spans="17:17" x14ac:dyDescent="0.3">
      <c r="Q1715" s="3"/>
    </row>
    <row r="1716" spans="17:17" x14ac:dyDescent="0.3">
      <c r="Q1716" s="3"/>
    </row>
    <row r="1717" spans="17:17" x14ac:dyDescent="0.3">
      <c r="Q1717" s="3"/>
    </row>
    <row r="1718" spans="17:17" x14ac:dyDescent="0.3">
      <c r="Q1718" s="3"/>
    </row>
    <row r="1719" spans="17:17" x14ac:dyDescent="0.3">
      <c r="Q1719" s="3"/>
    </row>
    <row r="1720" spans="17:17" x14ac:dyDescent="0.3">
      <c r="Q1720" s="3"/>
    </row>
    <row r="1721" spans="17:17" x14ac:dyDescent="0.3">
      <c r="Q1721" s="3"/>
    </row>
    <row r="1722" spans="17:17" x14ac:dyDescent="0.3">
      <c r="Q1722" s="3"/>
    </row>
    <row r="1723" spans="17:17" x14ac:dyDescent="0.3">
      <c r="Q1723" s="3"/>
    </row>
    <row r="1724" spans="17:17" x14ac:dyDescent="0.3">
      <c r="Q1724" s="3"/>
    </row>
    <row r="1725" spans="17:17" x14ac:dyDescent="0.3">
      <c r="Q1725" s="3"/>
    </row>
    <row r="1726" spans="17:17" x14ac:dyDescent="0.3">
      <c r="Q1726" s="3"/>
    </row>
    <row r="1727" spans="17:17" x14ac:dyDescent="0.3">
      <c r="Q1727" s="3"/>
    </row>
    <row r="1728" spans="17:17" x14ac:dyDescent="0.3">
      <c r="Q1728" s="3"/>
    </row>
    <row r="1729" spans="17:17" x14ac:dyDescent="0.3">
      <c r="Q1729" s="3"/>
    </row>
    <row r="1730" spans="17:17" x14ac:dyDescent="0.3">
      <c r="Q1730" s="3"/>
    </row>
    <row r="1731" spans="17:17" x14ac:dyDescent="0.3">
      <c r="Q1731" s="3"/>
    </row>
    <row r="1732" spans="17:17" x14ac:dyDescent="0.3">
      <c r="Q1732" s="3"/>
    </row>
    <row r="1733" spans="17:17" x14ac:dyDescent="0.3">
      <c r="Q1733" s="3"/>
    </row>
    <row r="1734" spans="17:17" x14ac:dyDescent="0.3">
      <c r="Q1734" s="3"/>
    </row>
    <row r="1735" spans="17:17" x14ac:dyDescent="0.3">
      <c r="Q1735" s="3"/>
    </row>
    <row r="1736" spans="17:17" x14ac:dyDescent="0.3">
      <c r="Q1736" s="3"/>
    </row>
    <row r="1737" spans="17:17" x14ac:dyDescent="0.3">
      <c r="Q1737" s="3"/>
    </row>
    <row r="1738" spans="17:17" x14ac:dyDescent="0.3">
      <c r="Q1738" s="3"/>
    </row>
    <row r="1739" spans="17:17" x14ac:dyDescent="0.3">
      <c r="Q1739" s="3"/>
    </row>
    <row r="1740" spans="17:17" x14ac:dyDescent="0.3">
      <c r="Q1740" s="3"/>
    </row>
    <row r="1741" spans="17:17" x14ac:dyDescent="0.3">
      <c r="Q1741" s="3"/>
    </row>
    <row r="1742" spans="17:17" x14ac:dyDescent="0.3">
      <c r="Q1742" s="3"/>
    </row>
    <row r="1743" spans="17:17" x14ac:dyDescent="0.3">
      <c r="Q1743" s="3"/>
    </row>
    <row r="1744" spans="17:17" x14ac:dyDescent="0.3">
      <c r="Q1744" s="3"/>
    </row>
    <row r="1745" spans="17:17" x14ac:dyDescent="0.3">
      <c r="Q1745" s="3"/>
    </row>
    <row r="1746" spans="17:17" x14ac:dyDescent="0.3">
      <c r="Q1746" s="3"/>
    </row>
    <row r="1747" spans="17:17" x14ac:dyDescent="0.3">
      <c r="Q1747" s="3"/>
    </row>
    <row r="1748" spans="17:17" x14ac:dyDescent="0.3">
      <c r="Q1748" s="3"/>
    </row>
    <row r="1749" spans="17:17" x14ac:dyDescent="0.3">
      <c r="Q1749" s="3"/>
    </row>
    <row r="1750" spans="17:17" x14ac:dyDescent="0.3">
      <c r="Q1750" s="3"/>
    </row>
    <row r="1751" spans="17:17" x14ac:dyDescent="0.3">
      <c r="Q1751" s="3"/>
    </row>
    <row r="1752" spans="17:17" x14ac:dyDescent="0.3">
      <c r="Q1752" s="3"/>
    </row>
    <row r="1753" spans="17:17" x14ac:dyDescent="0.3">
      <c r="Q1753" s="3"/>
    </row>
    <row r="1754" spans="17:17" x14ac:dyDescent="0.3">
      <c r="Q1754" s="3"/>
    </row>
    <row r="1755" spans="17:17" x14ac:dyDescent="0.3">
      <c r="Q1755" s="3"/>
    </row>
    <row r="1756" spans="17:17" x14ac:dyDescent="0.3">
      <c r="Q1756" s="3"/>
    </row>
    <row r="1757" spans="17:17" x14ac:dyDescent="0.3">
      <c r="Q1757" s="3"/>
    </row>
    <row r="1758" spans="17:17" x14ac:dyDescent="0.3">
      <c r="Q1758" s="3"/>
    </row>
    <row r="1759" spans="17:17" x14ac:dyDescent="0.3">
      <c r="Q1759" s="3"/>
    </row>
    <row r="1760" spans="17:17" x14ac:dyDescent="0.3">
      <c r="Q1760" s="3"/>
    </row>
    <row r="1761" spans="17:17" x14ac:dyDescent="0.3">
      <c r="Q1761" s="3"/>
    </row>
    <row r="1762" spans="17:17" x14ac:dyDescent="0.3">
      <c r="Q1762" s="3"/>
    </row>
    <row r="1763" spans="17:17" x14ac:dyDescent="0.3">
      <c r="Q1763" s="3"/>
    </row>
    <row r="1764" spans="17:17" x14ac:dyDescent="0.3">
      <c r="Q1764" s="3"/>
    </row>
    <row r="1765" spans="17:17" x14ac:dyDescent="0.3">
      <c r="Q1765" s="3"/>
    </row>
    <row r="1766" spans="17:17" x14ac:dyDescent="0.3">
      <c r="Q1766" s="3"/>
    </row>
    <row r="1767" spans="17:17" x14ac:dyDescent="0.3">
      <c r="Q1767" s="3"/>
    </row>
    <row r="1768" spans="17:17" x14ac:dyDescent="0.3">
      <c r="Q1768" s="3"/>
    </row>
    <row r="1769" spans="17:17" x14ac:dyDescent="0.3">
      <c r="Q1769" s="3"/>
    </row>
    <row r="1770" spans="17:17" x14ac:dyDescent="0.3">
      <c r="Q1770" s="3"/>
    </row>
    <row r="1771" spans="17:17" x14ac:dyDescent="0.3">
      <c r="Q1771" s="3"/>
    </row>
    <row r="1772" spans="17:17" x14ac:dyDescent="0.3">
      <c r="Q1772" s="3"/>
    </row>
    <row r="1773" spans="17:17" x14ac:dyDescent="0.3">
      <c r="Q1773" s="3"/>
    </row>
    <row r="1774" spans="17:17" x14ac:dyDescent="0.3">
      <c r="Q1774" s="3"/>
    </row>
    <row r="1775" spans="17:17" x14ac:dyDescent="0.3">
      <c r="Q1775" s="3"/>
    </row>
    <row r="1776" spans="17:17" x14ac:dyDescent="0.3">
      <c r="Q1776" s="3"/>
    </row>
    <row r="1777" spans="17:17" x14ac:dyDescent="0.3">
      <c r="Q1777" s="3"/>
    </row>
    <row r="1778" spans="17:17" x14ac:dyDescent="0.3">
      <c r="Q1778" s="3"/>
    </row>
    <row r="1779" spans="17:17" x14ac:dyDescent="0.3">
      <c r="Q1779" s="3"/>
    </row>
    <row r="1780" spans="17:17" x14ac:dyDescent="0.3">
      <c r="Q1780" s="3"/>
    </row>
    <row r="1781" spans="17:17" x14ac:dyDescent="0.3">
      <c r="Q1781" s="3"/>
    </row>
    <row r="1782" spans="17:17" x14ac:dyDescent="0.3">
      <c r="Q1782" s="3"/>
    </row>
    <row r="1783" spans="17:17" x14ac:dyDescent="0.3">
      <c r="Q1783" s="3"/>
    </row>
    <row r="1784" spans="17:17" x14ac:dyDescent="0.3">
      <c r="Q1784" s="3"/>
    </row>
    <row r="1785" spans="17:17" x14ac:dyDescent="0.3">
      <c r="Q1785" s="3"/>
    </row>
    <row r="1786" spans="17:17" x14ac:dyDescent="0.3">
      <c r="Q1786" s="3"/>
    </row>
    <row r="1787" spans="17:17" x14ac:dyDescent="0.3">
      <c r="Q1787" s="3"/>
    </row>
    <row r="1788" spans="17:17" x14ac:dyDescent="0.3">
      <c r="Q1788" s="3"/>
    </row>
    <row r="1789" spans="17:17" x14ac:dyDescent="0.3">
      <c r="Q1789" s="3"/>
    </row>
    <row r="1790" spans="17:17" x14ac:dyDescent="0.3">
      <c r="Q1790" s="3"/>
    </row>
    <row r="1791" spans="17:17" x14ac:dyDescent="0.3">
      <c r="Q1791" s="3"/>
    </row>
    <row r="1792" spans="17:17" x14ac:dyDescent="0.3">
      <c r="Q1792" s="3"/>
    </row>
    <row r="1793" spans="17:17" x14ac:dyDescent="0.3">
      <c r="Q1793" s="3"/>
    </row>
    <row r="1794" spans="17:17" x14ac:dyDescent="0.3">
      <c r="Q1794" s="3"/>
    </row>
    <row r="1795" spans="17:17" x14ac:dyDescent="0.3">
      <c r="Q1795" s="3"/>
    </row>
    <row r="1796" spans="17:17" x14ac:dyDescent="0.3">
      <c r="Q1796" s="3"/>
    </row>
    <row r="1797" spans="17:17" x14ac:dyDescent="0.3">
      <c r="Q1797" s="3"/>
    </row>
    <row r="1798" spans="17:17" x14ac:dyDescent="0.3">
      <c r="Q1798" s="3"/>
    </row>
    <row r="1799" spans="17:17" x14ac:dyDescent="0.3">
      <c r="Q1799" s="3"/>
    </row>
    <row r="1800" spans="17:17" x14ac:dyDescent="0.3">
      <c r="Q1800" s="3"/>
    </row>
    <row r="1801" spans="17:17" x14ac:dyDescent="0.3">
      <c r="Q1801" s="3"/>
    </row>
    <row r="1802" spans="17:17" x14ac:dyDescent="0.3">
      <c r="Q1802" s="3"/>
    </row>
    <row r="1803" spans="17:17" x14ac:dyDescent="0.3">
      <c r="Q1803" s="3"/>
    </row>
    <row r="1804" spans="17:17" x14ac:dyDescent="0.3">
      <c r="Q1804" s="3"/>
    </row>
    <row r="1805" spans="17:17" x14ac:dyDescent="0.3">
      <c r="Q1805" s="3"/>
    </row>
    <row r="1806" spans="17:17" x14ac:dyDescent="0.3">
      <c r="Q1806" s="3"/>
    </row>
    <row r="1807" spans="17:17" x14ac:dyDescent="0.3">
      <c r="Q1807" s="3"/>
    </row>
    <row r="1808" spans="17:17" x14ac:dyDescent="0.3">
      <c r="Q1808" s="3"/>
    </row>
    <row r="1809" spans="17:17" x14ac:dyDescent="0.3">
      <c r="Q1809" s="3"/>
    </row>
    <row r="1810" spans="17:17" x14ac:dyDescent="0.3">
      <c r="Q1810" s="3"/>
    </row>
    <row r="1811" spans="17:17" x14ac:dyDescent="0.3">
      <c r="Q1811" s="3"/>
    </row>
    <row r="1812" spans="17:17" x14ac:dyDescent="0.3">
      <c r="Q1812" s="3"/>
    </row>
    <row r="1813" spans="17:17" x14ac:dyDescent="0.3">
      <c r="Q1813" s="3"/>
    </row>
    <row r="1814" spans="17:17" x14ac:dyDescent="0.3">
      <c r="Q1814" s="3"/>
    </row>
    <row r="1815" spans="17:17" x14ac:dyDescent="0.3">
      <c r="Q1815" s="3"/>
    </row>
    <row r="1816" spans="17:17" x14ac:dyDescent="0.3">
      <c r="Q1816" s="3"/>
    </row>
    <row r="1817" spans="17:17" x14ac:dyDescent="0.3">
      <c r="Q1817" s="3"/>
    </row>
    <row r="1818" spans="17:17" x14ac:dyDescent="0.3">
      <c r="Q1818" s="3"/>
    </row>
    <row r="1819" spans="17:17" x14ac:dyDescent="0.3">
      <c r="Q1819" s="3"/>
    </row>
    <row r="1820" spans="17:17" x14ac:dyDescent="0.3">
      <c r="Q1820" s="3"/>
    </row>
    <row r="1821" spans="17:17" x14ac:dyDescent="0.3">
      <c r="Q1821" s="3"/>
    </row>
    <row r="1822" spans="17:17" x14ac:dyDescent="0.3">
      <c r="Q1822" s="3"/>
    </row>
    <row r="1823" spans="17:17" x14ac:dyDescent="0.3">
      <c r="Q1823" s="3"/>
    </row>
    <row r="1824" spans="17:17" x14ac:dyDescent="0.3">
      <c r="Q1824" s="3"/>
    </row>
    <row r="1825" spans="17:17" x14ac:dyDescent="0.3">
      <c r="Q1825" s="3"/>
    </row>
    <row r="1826" spans="17:17" x14ac:dyDescent="0.3">
      <c r="Q1826" s="3"/>
    </row>
    <row r="1827" spans="17:17" x14ac:dyDescent="0.3">
      <c r="Q1827" s="3"/>
    </row>
    <row r="1828" spans="17:17" x14ac:dyDescent="0.3">
      <c r="Q1828" s="3"/>
    </row>
    <row r="1829" spans="17:17" x14ac:dyDescent="0.3">
      <c r="Q1829" s="3"/>
    </row>
    <row r="1830" spans="17:17" x14ac:dyDescent="0.3">
      <c r="Q1830" s="3"/>
    </row>
    <row r="1831" spans="17:17" x14ac:dyDescent="0.3">
      <c r="Q1831" s="3"/>
    </row>
    <row r="1832" spans="17:17" x14ac:dyDescent="0.3">
      <c r="Q1832" s="3"/>
    </row>
    <row r="1833" spans="17:17" x14ac:dyDescent="0.3">
      <c r="Q1833" s="3"/>
    </row>
    <row r="1834" spans="17:17" x14ac:dyDescent="0.3">
      <c r="Q1834" s="3"/>
    </row>
    <row r="1835" spans="17:17" x14ac:dyDescent="0.3">
      <c r="Q1835" s="3"/>
    </row>
    <row r="1836" spans="17:17" x14ac:dyDescent="0.3">
      <c r="Q1836" s="3"/>
    </row>
    <row r="1837" spans="17:17" x14ac:dyDescent="0.3">
      <c r="Q1837" s="3"/>
    </row>
    <row r="1838" spans="17:17" x14ac:dyDescent="0.3">
      <c r="Q1838" s="3"/>
    </row>
    <row r="1839" spans="17:17" x14ac:dyDescent="0.3">
      <c r="Q1839" s="3"/>
    </row>
    <row r="1840" spans="17:17" x14ac:dyDescent="0.3">
      <c r="Q1840" s="3"/>
    </row>
    <row r="1841" spans="17:17" x14ac:dyDescent="0.3">
      <c r="Q1841" s="3"/>
    </row>
    <row r="1842" spans="17:17" x14ac:dyDescent="0.3">
      <c r="Q1842" s="3"/>
    </row>
    <row r="1843" spans="17:17" x14ac:dyDescent="0.3">
      <c r="Q1843" s="3"/>
    </row>
    <row r="1844" spans="17:17" x14ac:dyDescent="0.3">
      <c r="Q1844" s="3"/>
    </row>
    <row r="1845" spans="17:17" x14ac:dyDescent="0.3">
      <c r="Q1845" s="3"/>
    </row>
    <row r="1846" spans="17:17" x14ac:dyDescent="0.3">
      <c r="Q1846" s="3"/>
    </row>
    <row r="1847" spans="17:17" x14ac:dyDescent="0.3">
      <c r="Q1847" s="3"/>
    </row>
    <row r="1848" spans="17:17" x14ac:dyDescent="0.3">
      <c r="Q1848" s="3"/>
    </row>
    <row r="1849" spans="17:17" x14ac:dyDescent="0.3">
      <c r="Q1849" s="3"/>
    </row>
    <row r="1850" spans="17:17" x14ac:dyDescent="0.3">
      <c r="Q1850" s="3"/>
    </row>
    <row r="1851" spans="17:17" x14ac:dyDescent="0.3">
      <c r="Q1851" s="3"/>
    </row>
    <row r="1852" spans="17:17" x14ac:dyDescent="0.3">
      <c r="Q1852" s="3"/>
    </row>
    <row r="1853" spans="17:17" x14ac:dyDescent="0.3">
      <c r="Q1853" s="3"/>
    </row>
    <row r="1854" spans="17:17" x14ac:dyDescent="0.3">
      <c r="Q1854" s="3"/>
    </row>
    <row r="1855" spans="17:17" x14ac:dyDescent="0.3">
      <c r="Q1855" s="3"/>
    </row>
    <row r="1856" spans="17:17" x14ac:dyDescent="0.3">
      <c r="Q1856" s="3"/>
    </row>
    <row r="1857" spans="17:17" x14ac:dyDescent="0.3">
      <c r="Q1857" s="3"/>
    </row>
    <row r="1858" spans="17:17" x14ac:dyDescent="0.3">
      <c r="Q1858" s="3"/>
    </row>
    <row r="1859" spans="17:17" x14ac:dyDescent="0.3">
      <c r="Q1859" s="3"/>
    </row>
    <row r="1860" spans="17:17" x14ac:dyDescent="0.3">
      <c r="Q1860" s="3"/>
    </row>
    <row r="1861" spans="17:17" x14ac:dyDescent="0.3">
      <c r="Q1861" s="3"/>
    </row>
    <row r="1862" spans="17:17" x14ac:dyDescent="0.3">
      <c r="Q1862" s="3"/>
    </row>
    <row r="1863" spans="17:17" x14ac:dyDescent="0.3">
      <c r="Q1863" s="3"/>
    </row>
    <row r="1864" spans="17:17" x14ac:dyDescent="0.3">
      <c r="Q1864" s="3"/>
    </row>
    <row r="1865" spans="17:17" x14ac:dyDescent="0.3">
      <c r="Q1865" s="3"/>
    </row>
    <row r="1866" spans="17:17" x14ac:dyDescent="0.3">
      <c r="Q1866" s="3"/>
    </row>
    <row r="1867" spans="17:17" x14ac:dyDescent="0.3">
      <c r="Q1867" s="3"/>
    </row>
    <row r="1868" spans="17:17" x14ac:dyDescent="0.3">
      <c r="Q1868" s="3"/>
    </row>
    <row r="1869" spans="17:17" x14ac:dyDescent="0.3">
      <c r="Q1869" s="3"/>
    </row>
    <row r="1870" spans="17:17" x14ac:dyDescent="0.3">
      <c r="Q1870" s="3"/>
    </row>
    <row r="1871" spans="17:17" x14ac:dyDescent="0.3">
      <c r="Q1871" s="3"/>
    </row>
    <row r="1872" spans="17:17" x14ac:dyDescent="0.3">
      <c r="Q1872" s="3"/>
    </row>
    <row r="1873" spans="17:17" x14ac:dyDescent="0.3">
      <c r="Q1873" s="3"/>
    </row>
    <row r="1874" spans="17:17" x14ac:dyDescent="0.3">
      <c r="Q1874" s="3"/>
    </row>
    <row r="1875" spans="17:17" x14ac:dyDescent="0.3">
      <c r="Q1875" s="3"/>
    </row>
    <row r="1876" spans="17:17" x14ac:dyDescent="0.3">
      <c r="Q1876" s="3"/>
    </row>
    <row r="1877" spans="17:17" x14ac:dyDescent="0.3">
      <c r="Q1877" s="3"/>
    </row>
    <row r="1878" spans="17:17" x14ac:dyDescent="0.3">
      <c r="Q1878" s="3"/>
    </row>
    <row r="1879" spans="17:17" x14ac:dyDescent="0.3">
      <c r="Q1879" s="3"/>
    </row>
    <row r="1880" spans="17:17" x14ac:dyDescent="0.3">
      <c r="Q1880" s="3"/>
    </row>
    <row r="1881" spans="17:17" x14ac:dyDescent="0.3">
      <c r="Q1881" s="3"/>
    </row>
    <row r="1882" spans="17:17" x14ac:dyDescent="0.3">
      <c r="Q1882" s="3"/>
    </row>
    <row r="1883" spans="17:17" x14ac:dyDescent="0.3">
      <c r="Q1883" s="3"/>
    </row>
    <row r="1884" spans="17:17" x14ac:dyDescent="0.3">
      <c r="Q1884" s="3"/>
    </row>
    <row r="1885" spans="17:17" x14ac:dyDescent="0.3">
      <c r="Q1885" s="3"/>
    </row>
    <row r="1886" spans="17:17" x14ac:dyDescent="0.3">
      <c r="Q1886" s="3"/>
    </row>
    <row r="1887" spans="17:17" x14ac:dyDescent="0.3">
      <c r="Q1887" s="3"/>
    </row>
    <row r="1888" spans="17:17" x14ac:dyDescent="0.3">
      <c r="Q1888" s="3"/>
    </row>
    <row r="1889" spans="17:17" x14ac:dyDescent="0.3">
      <c r="Q1889" s="3"/>
    </row>
    <row r="1890" spans="17:17" x14ac:dyDescent="0.3">
      <c r="Q1890" s="3"/>
    </row>
    <row r="1891" spans="17:17" x14ac:dyDescent="0.3">
      <c r="Q1891" s="3"/>
    </row>
    <row r="1892" spans="17:17" x14ac:dyDescent="0.3">
      <c r="Q1892" s="3"/>
    </row>
    <row r="1893" spans="17:17" x14ac:dyDescent="0.3">
      <c r="Q1893" s="3"/>
    </row>
    <row r="1894" spans="17:17" x14ac:dyDescent="0.3">
      <c r="Q1894" s="3"/>
    </row>
    <row r="1895" spans="17:17" x14ac:dyDescent="0.3">
      <c r="Q1895" s="3"/>
    </row>
    <row r="1896" spans="17:17" x14ac:dyDescent="0.3">
      <c r="Q1896" s="3"/>
    </row>
    <row r="1897" spans="17:17" x14ac:dyDescent="0.3">
      <c r="Q1897" s="3"/>
    </row>
    <row r="1898" spans="17:17" x14ac:dyDescent="0.3">
      <c r="Q1898" s="3"/>
    </row>
    <row r="1899" spans="17:17" x14ac:dyDescent="0.3">
      <c r="Q1899" s="3"/>
    </row>
    <row r="1900" spans="17:17" x14ac:dyDescent="0.3">
      <c r="Q1900" s="3"/>
    </row>
    <row r="1901" spans="17:17" x14ac:dyDescent="0.3">
      <c r="Q1901" s="3"/>
    </row>
    <row r="1902" spans="17:17" x14ac:dyDescent="0.3">
      <c r="Q1902" s="3"/>
    </row>
    <row r="1903" spans="17:17" x14ac:dyDescent="0.3">
      <c r="Q1903" s="3"/>
    </row>
    <row r="1904" spans="17:17" x14ac:dyDescent="0.3">
      <c r="Q1904" s="3"/>
    </row>
    <row r="1905" spans="17:17" x14ac:dyDescent="0.3">
      <c r="Q1905" s="3"/>
    </row>
    <row r="1906" spans="17:17" x14ac:dyDescent="0.3">
      <c r="Q1906" s="3"/>
    </row>
    <row r="1907" spans="17:17" x14ac:dyDescent="0.3">
      <c r="Q1907" s="3"/>
    </row>
    <row r="1908" spans="17:17" x14ac:dyDescent="0.3">
      <c r="Q1908" s="3"/>
    </row>
    <row r="1909" spans="17:17" x14ac:dyDescent="0.3">
      <c r="Q1909" s="3"/>
    </row>
    <row r="1910" spans="17:17" x14ac:dyDescent="0.3">
      <c r="Q1910" s="3"/>
    </row>
    <row r="1911" spans="17:17" x14ac:dyDescent="0.3">
      <c r="Q1911" s="3"/>
    </row>
    <row r="1912" spans="17:17" x14ac:dyDescent="0.3">
      <c r="Q1912" s="3"/>
    </row>
    <row r="1913" spans="17:17" x14ac:dyDescent="0.3">
      <c r="Q1913" s="3"/>
    </row>
    <row r="1914" spans="17:17" x14ac:dyDescent="0.3">
      <c r="Q1914" s="3"/>
    </row>
    <row r="1915" spans="17:17" x14ac:dyDescent="0.3">
      <c r="Q1915" s="3"/>
    </row>
    <row r="1916" spans="17:17" x14ac:dyDescent="0.3">
      <c r="Q1916" s="3"/>
    </row>
    <row r="1917" spans="17:17" x14ac:dyDescent="0.3">
      <c r="Q1917" s="3"/>
    </row>
    <row r="1918" spans="17:17" x14ac:dyDescent="0.3">
      <c r="Q1918" s="3"/>
    </row>
    <row r="1919" spans="17:17" x14ac:dyDescent="0.3">
      <c r="Q1919" s="3"/>
    </row>
    <row r="1920" spans="17:17" x14ac:dyDescent="0.3">
      <c r="Q1920" s="3"/>
    </row>
    <row r="1921" spans="17:17" x14ac:dyDescent="0.3">
      <c r="Q1921" s="3"/>
    </row>
    <row r="1922" spans="17:17" x14ac:dyDescent="0.3">
      <c r="Q1922" s="3"/>
    </row>
    <row r="1923" spans="17:17" x14ac:dyDescent="0.3">
      <c r="Q1923" s="3"/>
    </row>
    <row r="1924" spans="17:17" x14ac:dyDescent="0.3">
      <c r="Q1924" s="3"/>
    </row>
    <row r="1925" spans="17:17" x14ac:dyDescent="0.3">
      <c r="Q1925" s="3"/>
    </row>
    <row r="1926" spans="17:17" x14ac:dyDescent="0.3">
      <c r="Q1926" s="3"/>
    </row>
    <row r="1927" spans="17:17" x14ac:dyDescent="0.3">
      <c r="Q1927" s="3"/>
    </row>
    <row r="1928" spans="17:17" x14ac:dyDescent="0.3">
      <c r="Q1928" s="3"/>
    </row>
    <row r="1929" spans="17:17" x14ac:dyDescent="0.3">
      <c r="Q1929" s="3"/>
    </row>
    <row r="1930" spans="17:17" x14ac:dyDescent="0.3">
      <c r="Q1930" s="3"/>
    </row>
    <row r="1931" spans="17:17" x14ac:dyDescent="0.3">
      <c r="Q1931" s="3"/>
    </row>
    <row r="1932" spans="17:17" x14ac:dyDescent="0.3">
      <c r="Q1932" s="3"/>
    </row>
    <row r="1933" spans="17:17" x14ac:dyDescent="0.3">
      <c r="Q1933" s="3"/>
    </row>
    <row r="1934" spans="17:17" x14ac:dyDescent="0.3">
      <c r="Q1934" s="3"/>
    </row>
    <row r="1935" spans="17:17" x14ac:dyDescent="0.3">
      <c r="Q1935" s="3"/>
    </row>
    <row r="1936" spans="17:17" x14ac:dyDescent="0.3">
      <c r="Q1936" s="3"/>
    </row>
    <row r="1937" spans="17:17" x14ac:dyDescent="0.3">
      <c r="Q1937" s="3"/>
    </row>
    <row r="1938" spans="17:17" x14ac:dyDescent="0.3">
      <c r="Q1938" s="3"/>
    </row>
    <row r="1939" spans="17:17" x14ac:dyDescent="0.3">
      <c r="Q1939" s="3"/>
    </row>
    <row r="1940" spans="17:17" x14ac:dyDescent="0.3">
      <c r="Q1940" s="3"/>
    </row>
    <row r="1941" spans="17:17" x14ac:dyDescent="0.3">
      <c r="Q1941" s="3"/>
    </row>
    <row r="1942" spans="17:17" x14ac:dyDescent="0.3">
      <c r="Q1942" s="3"/>
    </row>
    <row r="1943" spans="17:17" x14ac:dyDescent="0.3">
      <c r="Q1943" s="3"/>
    </row>
    <row r="1944" spans="17:17" x14ac:dyDescent="0.3">
      <c r="Q1944" s="3"/>
    </row>
    <row r="1945" spans="17:17" x14ac:dyDescent="0.3">
      <c r="Q1945" s="3"/>
    </row>
    <row r="1946" spans="17:17" x14ac:dyDescent="0.3">
      <c r="Q1946" s="3"/>
    </row>
    <row r="1947" spans="17:17" x14ac:dyDescent="0.3">
      <c r="Q1947" s="3"/>
    </row>
    <row r="1948" spans="17:17" x14ac:dyDescent="0.3">
      <c r="Q1948" s="3"/>
    </row>
    <row r="1949" spans="17:17" x14ac:dyDescent="0.3">
      <c r="Q1949" s="3"/>
    </row>
    <row r="1950" spans="17:17" x14ac:dyDescent="0.3">
      <c r="Q1950" s="3"/>
    </row>
    <row r="1951" spans="17:17" x14ac:dyDescent="0.3">
      <c r="Q1951" s="3"/>
    </row>
    <row r="1952" spans="17:17" x14ac:dyDescent="0.3">
      <c r="Q1952" s="3"/>
    </row>
    <row r="1953" spans="17:17" x14ac:dyDescent="0.3">
      <c r="Q1953" s="3"/>
    </row>
    <row r="1954" spans="17:17" x14ac:dyDescent="0.3">
      <c r="Q1954" s="3"/>
    </row>
    <row r="1955" spans="17:17" x14ac:dyDescent="0.3">
      <c r="Q1955" s="3"/>
    </row>
    <row r="1956" spans="17:17" x14ac:dyDescent="0.3">
      <c r="Q1956" s="3"/>
    </row>
    <row r="1957" spans="17:17" x14ac:dyDescent="0.3">
      <c r="Q1957" s="3"/>
    </row>
    <row r="1958" spans="17:17" x14ac:dyDescent="0.3">
      <c r="Q1958" s="3"/>
    </row>
    <row r="1959" spans="17:17" x14ac:dyDescent="0.3">
      <c r="Q1959" s="3"/>
    </row>
    <row r="1960" spans="17:17" x14ac:dyDescent="0.3">
      <c r="Q1960" s="3"/>
    </row>
    <row r="1961" spans="17:17" x14ac:dyDescent="0.3">
      <c r="Q1961" s="3"/>
    </row>
    <row r="1962" spans="17:17" x14ac:dyDescent="0.3">
      <c r="Q1962" s="3"/>
    </row>
    <row r="1963" spans="17:17" x14ac:dyDescent="0.3">
      <c r="Q1963" s="3"/>
    </row>
    <row r="1964" spans="17:17" x14ac:dyDescent="0.3">
      <c r="Q1964" s="3"/>
    </row>
    <row r="1965" spans="17:17" x14ac:dyDescent="0.3">
      <c r="Q1965" s="3"/>
    </row>
    <row r="1966" spans="17:17" x14ac:dyDescent="0.3">
      <c r="Q1966" s="3"/>
    </row>
    <row r="1967" spans="17:17" x14ac:dyDescent="0.3">
      <c r="Q1967" s="3"/>
    </row>
    <row r="1968" spans="17:17" x14ac:dyDescent="0.3">
      <c r="Q1968" s="3"/>
    </row>
    <row r="1969" spans="17:17" x14ac:dyDescent="0.3">
      <c r="Q1969" s="3"/>
    </row>
    <row r="1970" spans="17:17" x14ac:dyDescent="0.3">
      <c r="Q1970" s="3"/>
    </row>
    <row r="1971" spans="17:17" x14ac:dyDescent="0.3">
      <c r="Q1971" s="3"/>
    </row>
    <row r="1972" spans="17:17" x14ac:dyDescent="0.3">
      <c r="Q1972" s="3"/>
    </row>
    <row r="1973" spans="17:17" x14ac:dyDescent="0.3">
      <c r="Q1973" s="3"/>
    </row>
    <row r="1974" spans="17:17" x14ac:dyDescent="0.3">
      <c r="Q1974" s="3"/>
    </row>
    <row r="1975" spans="17:17" x14ac:dyDescent="0.3">
      <c r="Q1975" s="3"/>
    </row>
    <row r="1976" spans="17:17" x14ac:dyDescent="0.3">
      <c r="Q1976" s="3"/>
    </row>
    <row r="1977" spans="17:17" x14ac:dyDescent="0.3">
      <c r="Q1977" s="3"/>
    </row>
    <row r="1978" spans="17:17" x14ac:dyDescent="0.3">
      <c r="Q1978" s="3"/>
    </row>
    <row r="1979" spans="17:17" x14ac:dyDescent="0.3">
      <c r="Q1979" s="3"/>
    </row>
    <row r="1980" spans="17:17" x14ac:dyDescent="0.3">
      <c r="Q1980" s="3"/>
    </row>
    <row r="1981" spans="17:17" x14ac:dyDescent="0.3">
      <c r="Q1981" s="3"/>
    </row>
    <row r="1982" spans="17:17" x14ac:dyDescent="0.3">
      <c r="Q1982" s="3"/>
    </row>
    <row r="1983" spans="17:17" x14ac:dyDescent="0.3">
      <c r="Q1983" s="3"/>
    </row>
    <row r="1984" spans="17:17" x14ac:dyDescent="0.3">
      <c r="Q1984" s="3"/>
    </row>
    <row r="1985" spans="17:17" x14ac:dyDescent="0.3">
      <c r="Q1985" s="3"/>
    </row>
    <row r="1986" spans="17:17" x14ac:dyDescent="0.3">
      <c r="Q1986" s="3"/>
    </row>
    <row r="1987" spans="17:17" x14ac:dyDescent="0.3">
      <c r="Q1987" s="3"/>
    </row>
    <row r="1988" spans="17:17" x14ac:dyDescent="0.3">
      <c r="Q1988" s="3"/>
    </row>
    <row r="1989" spans="17:17" x14ac:dyDescent="0.3">
      <c r="Q1989" s="3"/>
    </row>
    <row r="1990" spans="17:17" x14ac:dyDescent="0.3">
      <c r="Q1990" s="3"/>
    </row>
    <row r="1991" spans="17:17" x14ac:dyDescent="0.3">
      <c r="Q1991" s="3"/>
    </row>
    <row r="1992" spans="17:17" x14ac:dyDescent="0.3">
      <c r="Q1992" s="3"/>
    </row>
    <row r="1993" spans="17:17" x14ac:dyDescent="0.3">
      <c r="Q1993" s="3"/>
    </row>
    <row r="1994" spans="17:17" x14ac:dyDescent="0.3">
      <c r="Q1994" s="3"/>
    </row>
    <row r="1995" spans="17:17" x14ac:dyDescent="0.3">
      <c r="Q1995" s="3"/>
    </row>
    <row r="1996" spans="17:17" x14ac:dyDescent="0.3">
      <c r="Q1996" s="3"/>
    </row>
    <row r="1997" spans="17:17" x14ac:dyDescent="0.3">
      <c r="Q1997" s="3"/>
    </row>
    <row r="1998" spans="17:17" x14ac:dyDescent="0.3">
      <c r="Q1998" s="3"/>
    </row>
    <row r="1999" spans="17:17" x14ac:dyDescent="0.3">
      <c r="Q1999" s="3"/>
    </row>
    <row r="2000" spans="17:17" x14ac:dyDescent="0.3">
      <c r="Q2000" s="3"/>
    </row>
  </sheetData>
  <conditionalFormatting sqref="M1:Q1 A1:L1001">
    <cfRule type="containsBlanks" dxfId="0" priority="1">
      <formula>LEN(TRIM(A1))=0</formula>
    </cfRule>
  </conditionalFormatting>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E3:F17"/>
  <sheetViews>
    <sheetView workbookViewId="0">
      <selection activeCell="H13" sqref="H13"/>
    </sheetView>
  </sheetViews>
  <sheetFormatPr defaultRowHeight="14.4" x14ac:dyDescent="0.3"/>
  <cols>
    <col min="5" max="6" width="20.21875" customWidth="1"/>
    <col min="12" max="12" width="12.6640625" customWidth="1"/>
  </cols>
  <sheetData>
    <row r="3" spans="5:6" ht="15" thickBot="1" x14ac:dyDescent="0.35"/>
    <row r="4" spans="5:6" x14ac:dyDescent="0.3">
      <c r="E4" s="19" t="s">
        <v>1449</v>
      </c>
      <c r="F4" s="20" t="s">
        <v>1450</v>
      </c>
    </row>
    <row r="5" spans="5:6" x14ac:dyDescent="0.3">
      <c r="E5" s="21"/>
      <c r="F5" s="22"/>
    </row>
    <row r="6" spans="5:6" x14ac:dyDescent="0.3">
      <c r="E6" s="21" t="s">
        <v>1461</v>
      </c>
      <c r="F6" s="22">
        <f>SUM(Clean_Data!M2:M1001)</f>
        <v>47763300</v>
      </c>
    </row>
    <row r="7" spans="5:6" x14ac:dyDescent="0.3">
      <c r="E7" s="21" t="s">
        <v>1462</v>
      </c>
      <c r="F7" s="22">
        <f>SUM(Clean_Data!O2:O1001)</f>
        <v>9157700</v>
      </c>
    </row>
    <row r="8" spans="5:6" x14ac:dyDescent="0.3">
      <c r="E8" s="21" t="s">
        <v>1463</v>
      </c>
      <c r="F8" s="23">
        <f>F7/F6</f>
        <v>0.191730889616086</v>
      </c>
    </row>
    <row r="9" spans="5:6" x14ac:dyDescent="0.3">
      <c r="E9" s="21" t="s">
        <v>1464</v>
      </c>
      <c r="F9" s="22">
        <f>COUNTA(Clean_Data!A2:A1001)</f>
        <v>1000</v>
      </c>
    </row>
    <row r="10" spans="5:6" x14ac:dyDescent="0.3">
      <c r="E10" s="21" t="s">
        <v>1465</v>
      </c>
      <c r="F10" s="22">
        <f>SUM(Clean_Data!F2:F1001)</f>
        <v>3031</v>
      </c>
    </row>
    <row r="11" spans="5:6" x14ac:dyDescent="0.3">
      <c r="E11" s="21" t="s">
        <v>1466</v>
      </c>
      <c r="F11" s="22">
        <f>AVERAGE(Clean_Data!M2:M1001)</f>
        <v>47763.3</v>
      </c>
    </row>
    <row r="12" spans="5:6" x14ac:dyDescent="0.3">
      <c r="E12" s="21" t="s">
        <v>1467</v>
      </c>
      <c r="F12" s="22">
        <f>MAX(Clean_Data!M2:M1001)</f>
        <v>250000</v>
      </c>
    </row>
    <row r="13" spans="5:6" x14ac:dyDescent="0.3">
      <c r="E13" s="21" t="s">
        <v>1468</v>
      </c>
      <c r="F13" s="22">
        <f>MIN(Clean_Data!M3:M1002)</f>
        <v>800</v>
      </c>
    </row>
    <row r="14" spans="5:6" x14ac:dyDescent="0.3">
      <c r="E14" s="21" t="s">
        <v>1469</v>
      </c>
      <c r="F14" s="24" t="str">
        <f>_xlfn.XLOOKUP(LARGE(Clean_Data!M2:M1001,1 ),Clean_Data!M2:M1001,Clean_Data!I2:I1001)</f>
        <v>Laptop</v>
      </c>
    </row>
    <row r="15" spans="5:6" x14ac:dyDescent="0.3">
      <c r="E15" s="21" t="s">
        <v>1470</v>
      </c>
      <c r="F15" s="24" t="s">
        <v>1488</v>
      </c>
    </row>
    <row r="16" spans="5:6" ht="15" thickBot="1" x14ac:dyDescent="0.35">
      <c r="E16" s="25" t="s">
        <v>1471</v>
      </c>
      <c r="F16" s="26" t="s">
        <v>14</v>
      </c>
    </row>
    <row r="17" spans="6:6" x14ac:dyDescent="0.3">
      <c r="F17" s="6"/>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35"/>
  <sheetViews>
    <sheetView showGridLines="0" tabSelected="1" topLeftCell="A3" zoomScale="70" zoomScaleNormal="70" workbookViewId="0">
      <selection activeCell="AB24" sqref="AB24"/>
    </sheetView>
  </sheetViews>
  <sheetFormatPr defaultRowHeight="14.4" x14ac:dyDescent="0.3"/>
  <cols>
    <col min="12" max="12" width="17.21875" bestFit="1" customWidth="1"/>
    <col min="20" max="20" width="4.5546875" customWidth="1"/>
    <col min="21" max="21" width="19" customWidth="1"/>
  </cols>
  <sheetData>
    <row r="1" spans="1:31" x14ac:dyDescent="0.3">
      <c r="A1" t="s">
        <v>1451</v>
      </c>
    </row>
    <row r="3" spans="1:31" ht="14.4" customHeight="1" x14ac:dyDescent="0.3">
      <c r="B3" s="37" t="s">
        <v>1497</v>
      </c>
      <c r="C3" s="37"/>
      <c r="D3" s="37"/>
      <c r="E3" s="37"/>
      <c r="F3" s="37"/>
      <c r="G3" s="37"/>
      <c r="H3" s="37"/>
      <c r="I3" s="37"/>
      <c r="J3" s="37"/>
      <c r="K3" s="37"/>
      <c r="L3" s="37"/>
      <c r="M3" s="37"/>
      <c r="N3" s="37"/>
      <c r="O3" s="37"/>
      <c r="P3" s="37"/>
      <c r="Q3" s="37"/>
      <c r="R3" s="37"/>
      <c r="S3" s="37"/>
      <c r="T3" s="11"/>
      <c r="U3" s="11"/>
      <c r="V3" s="11"/>
      <c r="W3" s="11"/>
      <c r="X3" s="11"/>
      <c r="Y3" s="11"/>
      <c r="Z3" s="11"/>
      <c r="AA3" s="11"/>
      <c r="AB3" s="11"/>
      <c r="AC3" s="11"/>
      <c r="AD3" s="11"/>
      <c r="AE3" s="11"/>
    </row>
    <row r="4" spans="1:31" ht="14.4" customHeight="1" x14ac:dyDescent="0.3">
      <c r="B4" s="37"/>
      <c r="C4" s="37"/>
      <c r="D4" s="37"/>
      <c r="E4" s="37"/>
      <c r="F4" s="37"/>
      <c r="G4" s="37"/>
      <c r="H4" s="37"/>
      <c r="I4" s="37"/>
      <c r="J4" s="37"/>
      <c r="K4" s="37"/>
      <c r="L4" s="37"/>
      <c r="M4" s="37"/>
      <c r="N4" s="37"/>
      <c r="O4" s="37"/>
      <c r="P4" s="37"/>
      <c r="Q4" s="37"/>
      <c r="R4" s="37"/>
      <c r="S4" s="37"/>
      <c r="T4" s="11"/>
      <c r="U4" s="11"/>
      <c r="V4" s="11"/>
      <c r="W4" s="11"/>
      <c r="X4" s="11"/>
      <c r="Y4" s="11"/>
      <c r="Z4" s="11"/>
      <c r="AA4" s="11"/>
      <c r="AB4" s="11"/>
      <c r="AC4" s="11"/>
      <c r="AD4" s="11"/>
      <c r="AE4" s="11"/>
    </row>
    <row r="5" spans="1:31" ht="14.4" customHeight="1" x14ac:dyDescent="0.3">
      <c r="B5" s="7"/>
      <c r="C5" s="7"/>
      <c r="D5" s="7"/>
      <c r="E5" s="7"/>
      <c r="F5" s="7"/>
      <c r="G5" s="7"/>
      <c r="H5" s="7"/>
      <c r="I5" s="7"/>
      <c r="J5" s="7"/>
      <c r="K5" s="7"/>
      <c r="L5" s="7"/>
      <c r="M5" s="7"/>
      <c r="N5" s="7"/>
      <c r="O5" s="7"/>
      <c r="P5" s="7"/>
      <c r="Q5" s="7"/>
      <c r="R5" s="7"/>
      <c r="S5" s="7"/>
    </row>
    <row r="6" spans="1:31" ht="14.4" customHeight="1" x14ac:dyDescent="0.3">
      <c r="B6" s="7"/>
      <c r="C6" s="7"/>
      <c r="D6" s="7"/>
      <c r="E6" s="7"/>
      <c r="F6" s="7"/>
      <c r="G6" s="7"/>
      <c r="H6" s="7"/>
      <c r="I6" s="7"/>
      <c r="J6" s="7"/>
      <c r="K6" s="7"/>
      <c r="L6" s="7"/>
      <c r="M6" s="7"/>
      <c r="N6" s="7"/>
      <c r="O6" s="7"/>
      <c r="P6" s="7"/>
      <c r="Q6" s="7"/>
      <c r="R6" s="7"/>
      <c r="S6" s="7"/>
      <c r="U6" s="40" t="s">
        <v>1496</v>
      </c>
      <c r="V6" s="41"/>
      <c r="W6" s="13"/>
      <c r="X6" s="13"/>
      <c r="Y6" s="13"/>
      <c r="Z6" s="13"/>
      <c r="AA6" s="14"/>
    </row>
    <row r="7" spans="1:31" x14ac:dyDescent="0.3">
      <c r="B7" s="7"/>
      <c r="C7" s="7"/>
      <c r="D7" s="7"/>
      <c r="E7" s="7"/>
      <c r="F7" s="7"/>
      <c r="G7" s="7"/>
      <c r="H7" s="7"/>
      <c r="I7" s="7"/>
      <c r="J7" s="7"/>
      <c r="K7" s="7"/>
      <c r="L7" s="7"/>
      <c r="M7" s="7"/>
      <c r="N7" s="7"/>
      <c r="O7" s="7"/>
      <c r="P7" s="7"/>
      <c r="Q7" s="7"/>
      <c r="R7" s="7"/>
      <c r="S7" s="7"/>
      <c r="U7" s="42"/>
      <c r="V7" s="43"/>
      <c r="AA7" s="15"/>
    </row>
    <row r="8" spans="1:31" ht="14.4" customHeight="1" x14ac:dyDescent="0.3">
      <c r="B8" s="7"/>
      <c r="C8" s="7"/>
      <c r="D8" s="7"/>
      <c r="E8" s="7"/>
      <c r="F8" s="7"/>
      <c r="G8" s="7"/>
      <c r="H8" s="7"/>
      <c r="I8" s="7"/>
      <c r="J8" s="7"/>
      <c r="K8" s="7"/>
      <c r="L8" s="7"/>
      <c r="M8" s="7"/>
      <c r="N8" s="7"/>
      <c r="O8" s="7"/>
      <c r="P8" s="7"/>
      <c r="Q8" s="7"/>
      <c r="R8" s="7"/>
      <c r="S8" s="7"/>
      <c r="U8" s="16"/>
      <c r="V8" s="12"/>
      <c r="W8" s="12"/>
      <c r="X8" s="12"/>
      <c r="Y8" s="12"/>
      <c r="AA8" s="15"/>
    </row>
    <row r="9" spans="1:31" ht="14.4" customHeight="1" x14ac:dyDescent="0.3">
      <c r="B9" s="7"/>
      <c r="C9" s="7"/>
      <c r="D9" s="7"/>
      <c r="E9" s="7"/>
      <c r="F9" s="7"/>
      <c r="G9" s="7"/>
      <c r="H9" s="7"/>
      <c r="I9" s="7"/>
      <c r="J9" s="7"/>
      <c r="K9" s="8"/>
      <c r="L9" s="7"/>
      <c r="M9" s="7"/>
      <c r="N9" s="7"/>
      <c r="O9" s="7"/>
      <c r="P9" s="7"/>
      <c r="Q9" s="7"/>
      <c r="R9" s="7"/>
      <c r="S9" s="7"/>
      <c r="U9" s="38" t="s">
        <v>1492</v>
      </c>
      <c r="V9" s="39"/>
      <c r="W9" s="39"/>
      <c r="X9" s="39"/>
      <c r="Y9" s="39"/>
      <c r="AA9" s="15"/>
    </row>
    <row r="10" spans="1:31" x14ac:dyDescent="0.3">
      <c r="B10" s="7"/>
      <c r="C10" s="7"/>
      <c r="D10" s="7"/>
      <c r="E10" s="7"/>
      <c r="F10" s="7"/>
      <c r="G10" s="7"/>
      <c r="H10" s="7"/>
      <c r="I10" s="7"/>
      <c r="J10" s="7"/>
      <c r="K10" s="7"/>
      <c r="L10" s="9"/>
      <c r="M10" s="7"/>
      <c r="N10" s="7"/>
      <c r="O10" s="7"/>
      <c r="P10" s="7"/>
      <c r="Q10" s="7"/>
      <c r="R10" s="7"/>
      <c r="S10" s="7"/>
      <c r="U10" s="38"/>
      <c r="V10" s="39"/>
      <c r="W10" s="39"/>
      <c r="X10" s="39"/>
      <c r="Y10" s="39"/>
      <c r="AA10" s="15"/>
    </row>
    <row r="11" spans="1:31" ht="15.6" customHeight="1" x14ac:dyDescent="0.3">
      <c r="B11" s="7"/>
      <c r="C11" s="7"/>
      <c r="D11" s="7"/>
      <c r="E11" s="7"/>
      <c r="F11" s="7"/>
      <c r="G11" s="7"/>
      <c r="H11" s="7"/>
      <c r="I11" s="7"/>
      <c r="J11" s="7"/>
      <c r="K11" s="7"/>
      <c r="L11" s="7"/>
      <c r="M11" s="7"/>
      <c r="N11" s="7"/>
      <c r="O11" s="7"/>
      <c r="P11" s="7"/>
      <c r="Q11" s="7"/>
      <c r="R11" s="7"/>
      <c r="S11" s="7"/>
      <c r="U11" s="38" t="s">
        <v>1491</v>
      </c>
      <c r="V11" s="39"/>
      <c r="W11" s="39"/>
      <c r="X11" s="39"/>
      <c r="Y11" s="39"/>
      <c r="AA11" s="15"/>
    </row>
    <row r="12" spans="1:31" x14ac:dyDescent="0.3">
      <c r="B12" s="7"/>
      <c r="C12" s="7"/>
      <c r="D12" s="7"/>
      <c r="E12" s="7"/>
      <c r="F12" s="7"/>
      <c r="G12" s="7"/>
      <c r="H12" s="7"/>
      <c r="I12" s="7"/>
      <c r="J12" s="7"/>
      <c r="K12" s="7"/>
      <c r="L12" s="10"/>
      <c r="M12" s="7"/>
      <c r="N12" s="7"/>
      <c r="O12" s="7"/>
      <c r="P12" s="7"/>
      <c r="Q12" s="7"/>
      <c r="R12" s="7"/>
      <c r="S12" s="7"/>
      <c r="U12" s="38"/>
      <c r="V12" s="39"/>
      <c r="W12" s="39"/>
      <c r="X12" s="39"/>
      <c r="Y12" s="39"/>
      <c r="AA12" s="15"/>
    </row>
    <row r="13" spans="1:31" x14ac:dyDescent="0.3">
      <c r="B13" s="7"/>
      <c r="C13" s="7"/>
      <c r="D13" s="7"/>
      <c r="E13" s="7"/>
      <c r="F13" s="7"/>
      <c r="G13" s="7"/>
      <c r="H13" s="7"/>
      <c r="I13" s="7"/>
      <c r="J13" s="7"/>
      <c r="K13" s="7"/>
      <c r="L13" s="7"/>
      <c r="M13" s="7"/>
      <c r="N13" s="7"/>
      <c r="O13" s="7"/>
      <c r="P13" s="7"/>
      <c r="Q13" s="7"/>
      <c r="R13" s="7"/>
      <c r="S13" s="7"/>
      <c r="U13" s="27" t="s">
        <v>1493</v>
      </c>
      <c r="V13" s="28"/>
      <c r="W13" s="28"/>
      <c r="X13" s="28"/>
      <c r="Y13" s="28"/>
      <c r="AA13" s="15"/>
    </row>
    <row r="14" spans="1:31" ht="14.4" customHeight="1" x14ac:dyDescent="0.3">
      <c r="B14" s="7"/>
      <c r="C14" s="7"/>
      <c r="D14" s="7"/>
      <c r="E14" s="7"/>
      <c r="F14" s="7"/>
      <c r="G14" s="7"/>
      <c r="H14" s="7"/>
      <c r="I14" s="7"/>
      <c r="J14" s="7"/>
      <c r="K14" s="7"/>
      <c r="L14" s="7"/>
      <c r="M14" s="7"/>
      <c r="N14" s="7"/>
      <c r="O14" s="7"/>
      <c r="P14" s="7"/>
      <c r="Q14" s="7"/>
      <c r="R14" s="7"/>
      <c r="S14" s="7"/>
      <c r="U14" s="27"/>
      <c r="V14" s="28"/>
      <c r="W14" s="28"/>
      <c r="X14" s="28"/>
      <c r="Y14" s="28"/>
      <c r="AA14" s="15"/>
    </row>
    <row r="15" spans="1:31" ht="14.4" customHeight="1" x14ac:dyDescent="0.3">
      <c r="B15" s="7"/>
      <c r="C15" s="7"/>
      <c r="D15" s="7"/>
      <c r="E15" s="7"/>
      <c r="F15" s="7"/>
      <c r="G15" s="7"/>
      <c r="H15" s="7"/>
      <c r="I15" s="7"/>
      <c r="J15" s="7"/>
      <c r="K15" s="7"/>
      <c r="L15" s="7"/>
      <c r="M15" s="7"/>
      <c r="N15" s="7"/>
      <c r="O15" s="7"/>
      <c r="P15" s="7"/>
      <c r="Q15" s="7"/>
      <c r="R15" s="7"/>
      <c r="S15" s="7"/>
      <c r="U15" s="29" t="s">
        <v>1494</v>
      </c>
      <c r="V15" s="30"/>
      <c r="W15" s="30"/>
      <c r="X15" s="30"/>
      <c r="Y15" s="30"/>
      <c r="Z15" s="30"/>
      <c r="AA15" s="15"/>
    </row>
    <row r="16" spans="1:31" ht="14.4" customHeight="1" x14ac:dyDescent="0.3">
      <c r="B16" s="7"/>
      <c r="C16" s="7"/>
      <c r="D16" s="7"/>
      <c r="E16" s="7"/>
      <c r="F16" s="7"/>
      <c r="G16" s="7"/>
      <c r="H16" s="7"/>
      <c r="I16" s="7"/>
      <c r="J16" s="7"/>
      <c r="K16" s="7"/>
      <c r="L16" s="7"/>
      <c r="M16" s="7"/>
      <c r="N16" s="7"/>
      <c r="O16" s="7"/>
      <c r="P16" s="7"/>
      <c r="Q16" s="7"/>
      <c r="R16" s="7"/>
      <c r="S16" s="7"/>
      <c r="U16" s="29"/>
      <c r="V16" s="30"/>
      <c r="W16" s="30"/>
      <c r="X16" s="30"/>
      <c r="Y16" s="30"/>
      <c r="Z16" s="30"/>
      <c r="AA16" s="15"/>
    </row>
    <row r="17" spans="2:27" ht="14.4" customHeight="1" x14ac:dyDescent="0.3">
      <c r="B17" s="7"/>
      <c r="C17" s="7"/>
      <c r="D17" s="7"/>
      <c r="E17" s="7"/>
      <c r="F17" s="7"/>
      <c r="G17" s="7"/>
      <c r="H17" s="7"/>
      <c r="I17" s="7"/>
      <c r="J17" s="7"/>
      <c r="K17" s="7"/>
      <c r="L17" s="7"/>
      <c r="M17" s="7"/>
      <c r="N17" s="7"/>
      <c r="O17" s="7"/>
      <c r="P17" s="7"/>
      <c r="Q17" s="7"/>
      <c r="R17" s="7"/>
      <c r="S17" s="7"/>
      <c r="U17" s="31" t="s">
        <v>1495</v>
      </c>
      <c r="V17" s="32"/>
      <c r="W17" s="32"/>
      <c r="X17" s="32"/>
      <c r="Y17" s="32"/>
      <c r="Z17" s="32"/>
      <c r="AA17" s="33"/>
    </row>
    <row r="18" spans="2:27" ht="14.4" customHeight="1" x14ac:dyDescent="0.3">
      <c r="B18" s="7"/>
      <c r="C18" s="7"/>
      <c r="D18" s="7"/>
      <c r="E18" s="7"/>
      <c r="F18" s="7"/>
      <c r="G18" s="7"/>
      <c r="H18" s="7"/>
      <c r="I18" s="7"/>
      <c r="J18" s="7"/>
      <c r="K18" s="7"/>
      <c r="L18" s="7"/>
      <c r="M18" s="7"/>
      <c r="N18" s="7"/>
      <c r="O18" s="7"/>
      <c r="P18" s="7"/>
      <c r="Q18" s="7"/>
      <c r="R18" s="7"/>
      <c r="S18" s="7"/>
      <c r="U18" s="34"/>
      <c r="V18" s="35"/>
      <c r="W18" s="35"/>
      <c r="X18" s="35"/>
      <c r="Y18" s="35"/>
      <c r="Z18" s="35"/>
      <c r="AA18" s="36"/>
    </row>
    <row r="19" spans="2:27" x14ac:dyDescent="0.3">
      <c r="B19" s="7"/>
      <c r="C19" s="7"/>
      <c r="D19" s="7"/>
      <c r="E19" s="7"/>
      <c r="F19" s="7"/>
      <c r="G19" s="7"/>
      <c r="H19" s="7"/>
      <c r="I19" s="7"/>
      <c r="J19" s="7"/>
      <c r="K19" s="7"/>
      <c r="L19" s="7"/>
      <c r="M19" s="7"/>
      <c r="N19" s="7"/>
      <c r="O19" s="7"/>
      <c r="P19" s="7"/>
      <c r="Q19" s="7"/>
      <c r="R19" s="7"/>
      <c r="S19" s="7"/>
    </row>
    <row r="20" spans="2:27" x14ac:dyDescent="0.3">
      <c r="B20" s="7"/>
      <c r="C20" s="7"/>
      <c r="D20" s="7"/>
      <c r="E20" s="7"/>
      <c r="F20" s="7"/>
      <c r="G20" s="7"/>
      <c r="H20" s="7"/>
      <c r="I20" s="7"/>
      <c r="J20" s="7"/>
      <c r="K20" s="7"/>
      <c r="L20" s="7"/>
      <c r="M20" s="7"/>
      <c r="N20" s="7"/>
      <c r="O20" s="7"/>
      <c r="P20" s="7"/>
      <c r="Q20" s="7"/>
      <c r="R20" s="7"/>
      <c r="S20" s="7"/>
    </row>
    <row r="21" spans="2:27" x14ac:dyDescent="0.3">
      <c r="B21" s="7"/>
      <c r="C21" s="7"/>
      <c r="D21" s="7"/>
      <c r="E21" s="7"/>
      <c r="F21" s="7"/>
      <c r="G21" s="7"/>
      <c r="H21" s="7"/>
      <c r="I21" s="7"/>
      <c r="J21" s="7"/>
      <c r="K21" s="7"/>
      <c r="L21" s="7"/>
      <c r="M21" s="7"/>
      <c r="N21" s="7"/>
      <c r="O21" s="7"/>
      <c r="P21" s="7"/>
      <c r="Q21" s="7"/>
      <c r="R21" s="7"/>
      <c r="S21" s="7"/>
    </row>
    <row r="22" spans="2:27" x14ac:dyDescent="0.3">
      <c r="B22" s="7"/>
      <c r="C22" s="7"/>
      <c r="D22" s="7"/>
      <c r="E22" s="7"/>
      <c r="F22" s="7"/>
      <c r="G22" s="7"/>
      <c r="H22" s="7"/>
      <c r="I22" s="7"/>
      <c r="J22" s="7"/>
      <c r="K22" s="7"/>
      <c r="L22" s="7"/>
      <c r="M22" s="7"/>
      <c r="N22" s="7"/>
      <c r="O22" s="7"/>
      <c r="P22" s="7"/>
      <c r="Q22" s="7"/>
      <c r="R22" s="7"/>
      <c r="S22" s="7"/>
    </row>
    <row r="23" spans="2:27" x14ac:dyDescent="0.3">
      <c r="B23" s="7"/>
      <c r="C23" s="7"/>
      <c r="D23" s="7"/>
      <c r="E23" s="7"/>
      <c r="F23" s="7"/>
      <c r="G23" s="7"/>
      <c r="H23" s="7"/>
      <c r="I23" s="7"/>
      <c r="J23" s="7"/>
      <c r="K23" s="7"/>
      <c r="L23" s="7"/>
      <c r="M23" s="7"/>
      <c r="N23" s="7"/>
      <c r="O23" s="7"/>
      <c r="P23" s="7"/>
      <c r="Q23" s="7"/>
      <c r="R23" s="7"/>
      <c r="S23" s="7"/>
    </row>
    <row r="24" spans="2:27" x14ac:dyDescent="0.3">
      <c r="B24" s="7"/>
      <c r="C24" s="7"/>
      <c r="D24" s="7"/>
      <c r="E24" s="7"/>
      <c r="F24" s="7"/>
      <c r="G24" s="7"/>
      <c r="H24" s="7"/>
      <c r="I24" s="7"/>
      <c r="J24" s="7"/>
      <c r="K24" s="7"/>
      <c r="L24" s="7"/>
      <c r="M24" s="7"/>
      <c r="N24" s="7"/>
      <c r="O24" s="7"/>
      <c r="P24" s="7"/>
      <c r="Q24" s="7"/>
      <c r="R24" s="7"/>
      <c r="S24" s="7"/>
    </row>
    <row r="25" spans="2:27" x14ac:dyDescent="0.3">
      <c r="B25" s="7"/>
      <c r="C25" s="7"/>
      <c r="D25" s="7"/>
      <c r="E25" s="7"/>
      <c r="F25" s="7"/>
      <c r="G25" s="7"/>
      <c r="H25" s="7"/>
      <c r="I25" s="7"/>
      <c r="J25" s="7"/>
      <c r="K25" s="7"/>
      <c r="L25" s="7"/>
      <c r="M25" s="7"/>
      <c r="N25" s="7"/>
      <c r="O25" s="7"/>
      <c r="P25" s="7"/>
      <c r="Q25" s="7"/>
      <c r="R25" s="7"/>
      <c r="S25" s="7"/>
    </row>
    <row r="26" spans="2:27" x14ac:dyDescent="0.3">
      <c r="B26" s="7"/>
      <c r="C26" s="7"/>
      <c r="D26" s="7"/>
      <c r="E26" s="7"/>
      <c r="F26" s="7"/>
      <c r="G26" s="7"/>
      <c r="H26" s="7"/>
      <c r="I26" s="7"/>
      <c r="J26" s="7"/>
      <c r="K26" s="7"/>
      <c r="L26" s="7"/>
      <c r="M26" s="7"/>
      <c r="N26" s="7"/>
      <c r="O26" s="7"/>
      <c r="P26" s="7"/>
      <c r="Q26" s="7"/>
      <c r="R26" s="7"/>
      <c r="S26" s="7"/>
    </row>
    <row r="27" spans="2:27" x14ac:dyDescent="0.3">
      <c r="B27" s="7"/>
      <c r="C27" s="7"/>
      <c r="D27" s="7"/>
      <c r="E27" s="7"/>
      <c r="F27" s="7"/>
      <c r="G27" s="7"/>
      <c r="H27" s="7"/>
      <c r="I27" s="7"/>
      <c r="J27" s="7"/>
      <c r="K27" s="7"/>
      <c r="L27" s="7"/>
      <c r="M27" s="7"/>
      <c r="N27" s="7"/>
      <c r="O27" s="7"/>
      <c r="P27" s="7"/>
      <c r="Q27" s="7"/>
      <c r="R27" s="7"/>
      <c r="S27" s="7"/>
    </row>
    <row r="28" spans="2:27" x14ac:dyDescent="0.3">
      <c r="B28" s="7"/>
      <c r="C28" s="7"/>
      <c r="D28" s="7"/>
      <c r="E28" s="7"/>
      <c r="F28" s="7"/>
      <c r="G28" s="7"/>
      <c r="H28" s="7"/>
      <c r="I28" s="7"/>
      <c r="J28" s="7"/>
      <c r="K28" s="7"/>
      <c r="L28" s="7"/>
      <c r="M28" s="7"/>
      <c r="N28" s="7"/>
      <c r="O28" s="7"/>
      <c r="P28" s="7"/>
      <c r="Q28" s="7"/>
      <c r="R28" s="7"/>
      <c r="S28" s="7"/>
    </row>
    <row r="29" spans="2:27" x14ac:dyDescent="0.3">
      <c r="B29" s="7"/>
      <c r="C29" s="7"/>
      <c r="D29" s="7"/>
      <c r="E29" s="7"/>
      <c r="F29" s="7"/>
      <c r="G29" s="7"/>
      <c r="H29" s="7"/>
      <c r="I29" s="7"/>
      <c r="J29" s="7"/>
      <c r="K29" s="7"/>
      <c r="L29" s="7"/>
      <c r="M29" s="7"/>
      <c r="N29" s="7"/>
      <c r="O29" s="7"/>
      <c r="P29" s="7"/>
      <c r="Q29" s="7"/>
      <c r="R29" s="7"/>
      <c r="S29" s="7"/>
    </row>
    <row r="30" spans="2:27" x14ac:dyDescent="0.3">
      <c r="B30" s="7"/>
      <c r="C30" s="7"/>
      <c r="D30" s="7"/>
      <c r="E30" s="7"/>
      <c r="F30" s="7"/>
      <c r="G30" s="7"/>
      <c r="H30" s="7"/>
      <c r="I30" s="7"/>
      <c r="J30" s="7"/>
      <c r="K30" s="7"/>
      <c r="L30" s="7"/>
      <c r="M30" s="7"/>
      <c r="N30" s="7"/>
      <c r="O30" s="7"/>
      <c r="P30" s="7"/>
      <c r="Q30" s="7"/>
      <c r="R30" s="7"/>
      <c r="S30" s="7"/>
    </row>
    <row r="31" spans="2:27" x14ac:dyDescent="0.3">
      <c r="B31" s="7"/>
      <c r="C31" s="7"/>
      <c r="D31" s="7"/>
      <c r="E31" s="7"/>
      <c r="F31" s="7"/>
      <c r="G31" s="7"/>
      <c r="H31" s="7"/>
      <c r="I31" s="7"/>
      <c r="J31" s="7"/>
      <c r="K31" s="7"/>
      <c r="L31" s="7"/>
      <c r="M31" s="7"/>
      <c r="N31" s="7"/>
      <c r="O31" s="7"/>
      <c r="P31" s="7"/>
      <c r="Q31" s="7"/>
      <c r="R31" s="7"/>
      <c r="S31" s="7"/>
    </row>
    <row r="32" spans="2:27" x14ac:dyDescent="0.3">
      <c r="B32" s="7"/>
      <c r="C32" s="7"/>
      <c r="D32" s="7"/>
      <c r="E32" s="7"/>
      <c r="F32" s="7"/>
      <c r="G32" s="7"/>
      <c r="H32" s="7"/>
      <c r="I32" s="7"/>
      <c r="J32" s="7"/>
      <c r="K32" s="7"/>
      <c r="L32" s="7"/>
      <c r="M32" s="7"/>
      <c r="N32" s="7"/>
      <c r="O32" s="7"/>
      <c r="P32" s="7"/>
      <c r="Q32" s="7"/>
      <c r="R32" s="7"/>
      <c r="S32" s="7"/>
    </row>
    <row r="33" spans="2:19" x14ac:dyDescent="0.3">
      <c r="B33" s="7"/>
      <c r="C33" s="7"/>
      <c r="D33" s="7"/>
      <c r="E33" s="7"/>
      <c r="F33" s="7"/>
      <c r="G33" s="7"/>
      <c r="H33" s="7"/>
      <c r="I33" s="7"/>
      <c r="J33" s="7"/>
      <c r="K33" s="7"/>
      <c r="L33" s="7"/>
      <c r="M33" s="7"/>
      <c r="N33" s="7"/>
      <c r="O33" s="7"/>
      <c r="P33" s="7"/>
      <c r="Q33" s="7"/>
      <c r="R33" s="7"/>
      <c r="S33" s="7"/>
    </row>
    <row r="34" spans="2:19" x14ac:dyDescent="0.3">
      <c r="B34" s="7"/>
      <c r="C34" s="7"/>
      <c r="D34" s="7"/>
      <c r="E34" s="7"/>
      <c r="F34" s="7"/>
      <c r="G34" s="7"/>
      <c r="H34" s="7"/>
      <c r="I34" s="7"/>
      <c r="J34" s="7"/>
      <c r="K34" s="7"/>
      <c r="L34" s="7"/>
      <c r="M34" s="7"/>
      <c r="N34" s="7"/>
      <c r="O34" s="7"/>
      <c r="P34" s="7"/>
      <c r="Q34" s="7"/>
      <c r="R34" s="7"/>
      <c r="S34" s="7"/>
    </row>
    <row r="35" spans="2:19" x14ac:dyDescent="0.3">
      <c r="B35" s="7"/>
      <c r="C35" s="7"/>
      <c r="D35" s="7"/>
      <c r="E35" s="7"/>
      <c r="F35" s="7"/>
      <c r="G35" s="7"/>
      <c r="H35" s="7"/>
      <c r="I35" s="7"/>
      <c r="J35" s="7"/>
      <c r="K35" s="7"/>
      <c r="L35" s="7"/>
      <c r="M35" s="7"/>
      <c r="N35" s="7"/>
      <c r="O35" s="7"/>
      <c r="P35" s="7"/>
      <c r="Q35" s="7"/>
      <c r="R35" s="7"/>
      <c r="S35" s="7"/>
    </row>
  </sheetData>
  <mergeCells count="7">
    <mergeCell ref="U13:Y14"/>
    <mergeCell ref="U15:Z16"/>
    <mergeCell ref="U17:AA18"/>
    <mergeCell ref="B3:S4"/>
    <mergeCell ref="U11:Y12"/>
    <mergeCell ref="U9:Y10"/>
    <mergeCell ref="U6:V7"/>
  </mergeCells>
  <pageMargins left="0.75" right="0.75" top="1" bottom="1" header="0.5" footer="0.5"/>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Customer_Master</vt:lpstr>
      <vt:lpstr>Product_Master</vt:lpstr>
      <vt:lpstr>Sales_Data</vt:lpstr>
      <vt:lpstr>Pivot Table 1</vt:lpstr>
      <vt:lpstr>Pivot Table 2</vt:lpstr>
      <vt:lpstr>Pivot Table 3</vt:lpstr>
      <vt:lpstr>Pivot Table 4</vt:lpstr>
      <vt:lpstr>Pivot Table 5</vt:lpstr>
      <vt:lpstr>Pivot Table 6</vt:lpstr>
      <vt:lpstr>Sheet7</vt:lpstr>
      <vt:lpstr>Clean_Data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Rohit Verma</cp:lastModifiedBy>
  <dcterms:created xsi:type="dcterms:W3CDTF">2026-07-03T03:27:49Z</dcterms:created>
  <dcterms:modified xsi:type="dcterms:W3CDTF">2026-07-16T04:41:09Z</dcterms:modified>
</cp:coreProperties>
</file>